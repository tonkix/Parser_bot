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tables/table1.xml" ContentType="application/vnd.openxmlformats-officedocument.spreadsheetml.table+xml"/>
  <Override PartName="/xl/queryTables/queryTable1.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4332" codeName="{00000000-0000-0000-0000-000000000000}"/>
  <workbookPr codeName="ЭтаКнига" defaultThemeVersion="166925"/>
  <mc:AlternateContent xmlns:mc="http://schemas.openxmlformats.org/markup-compatibility/2006">
    <mc:Choice Requires="x15">
      <x15ac:absPath xmlns:x15ac="http://schemas.microsoft.com/office/spreadsheetml/2010/11/ac" url="C:\Users\Admin\tonk1x\TT data\Прайс-листы\"/>
    </mc:Choice>
  </mc:AlternateContent>
  <xr:revisionPtr revIDLastSave="0" documentId="13_ncr:1_{3A81C7AC-BCAF-4026-BDAA-2B9ABC075073}" xr6:coauthVersionLast="47" xr6:coauthVersionMax="47" xr10:uidLastSave="{00000000-0000-0000-0000-000000000000}"/>
  <bookViews>
    <workbookView xWindow="28680" yWindow="-120" windowWidth="29040" windowHeight="15990" activeTab="5" xr2:uid="{00000000-000D-0000-FFFF-FFFF00000000}"/>
  </bookViews>
  <sheets>
    <sheet name="Кат" sheetId="2" r:id="rId1"/>
    <sheet name="Торг" sheetId="5" r:id="rId2"/>
    <sheet name="Наценка" sheetId="3" r:id="rId3"/>
    <sheet name="Выгр Кат" sheetId="1" r:id="rId4"/>
    <sheet name="Выгр Торг" sheetId="4" r:id="rId5"/>
    <sheet name="ссылки" sheetId="6" r:id="rId6"/>
    <sheet name="Из Гугла" sheetId="11" r:id="rId7"/>
  </sheets>
  <definedNames>
    <definedName name="_xlnm._FilterDatabase" localSheetId="3" hidden="1">'Выгр Кат'!$A$1:$O$590</definedName>
    <definedName name="_xlnm._FilterDatabase" localSheetId="4" hidden="1">'Выгр Торг'!$A$1:$R$146</definedName>
    <definedName name="_xlnm._FilterDatabase" localSheetId="0" hidden="1">Кат!$A$2:$X$591</definedName>
    <definedName name="_xlnm._FilterDatabase" localSheetId="1" hidden="1">Торг!$A$2:$AA$139</definedName>
    <definedName name="ExternalData_1" localSheetId="6" hidden="1">'Из Гугла'!$A$1:$S$734</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V255" i="2" l="1"/>
  <c r="R255" i="2"/>
  <c r="N255" i="2"/>
  <c r="M255" i="2"/>
  <c r="O255" i="2" s="1"/>
  <c r="J255" i="2"/>
  <c r="K255" i="2" s="1"/>
  <c r="L255" i="2" s="1"/>
  <c r="Q255" i="2" s="1"/>
  <c r="G255" i="2"/>
  <c r="F255" i="2"/>
  <c r="D255" i="2"/>
  <c r="C255" i="2"/>
  <c r="B255" i="2"/>
  <c r="N143" i="5"/>
  <c r="M140" i="5"/>
  <c r="M142" i="5"/>
  <c r="M147" i="5"/>
  <c r="M146" i="5"/>
  <c r="M145" i="5"/>
  <c r="M144" i="5"/>
  <c r="A141" i="5"/>
  <c r="C141" i="5"/>
  <c r="D141" i="5"/>
  <c r="E141" i="5"/>
  <c r="G141" i="5"/>
  <c r="L141" i="5"/>
  <c r="O141" i="5"/>
  <c r="Q141" i="5" s="1"/>
  <c r="P141" i="5"/>
  <c r="T141" i="5"/>
  <c r="Y141" i="5"/>
  <c r="A142" i="5"/>
  <c r="C142" i="5"/>
  <c r="D142" i="5"/>
  <c r="E142" i="5"/>
  <c r="G142" i="5"/>
  <c r="L142" i="5"/>
  <c r="N142" i="5" s="1"/>
  <c r="S142" i="5" s="1"/>
  <c r="O142" i="5"/>
  <c r="Q142" i="5" s="1"/>
  <c r="P142" i="5"/>
  <c r="T142" i="5"/>
  <c r="Y142" i="5"/>
  <c r="A143" i="5"/>
  <c r="C143" i="5"/>
  <c r="D143" i="5"/>
  <c r="E143" i="5"/>
  <c r="G143" i="5"/>
  <c r="L143" i="5"/>
  <c r="O143" i="5"/>
  <c r="Q143" i="5" s="1"/>
  <c r="P143" i="5"/>
  <c r="T143" i="5"/>
  <c r="Y143" i="5"/>
  <c r="A144" i="5"/>
  <c r="C144" i="5"/>
  <c r="D144" i="5"/>
  <c r="E144" i="5"/>
  <c r="G144" i="5"/>
  <c r="L144" i="5"/>
  <c r="O144" i="5"/>
  <c r="Q144" i="5" s="1"/>
  <c r="P144" i="5"/>
  <c r="T144" i="5"/>
  <c r="Y144" i="5"/>
  <c r="A145" i="5"/>
  <c r="C145" i="5"/>
  <c r="D145" i="5"/>
  <c r="E145" i="5"/>
  <c r="G145" i="5"/>
  <c r="L145" i="5"/>
  <c r="N145" i="5" s="1"/>
  <c r="S145" i="5" s="1"/>
  <c r="O145" i="5"/>
  <c r="Q145" i="5" s="1"/>
  <c r="P145" i="5"/>
  <c r="T145" i="5"/>
  <c r="Y145" i="5"/>
  <c r="A146" i="5"/>
  <c r="C146" i="5"/>
  <c r="D146" i="5"/>
  <c r="E146" i="5"/>
  <c r="G146" i="5"/>
  <c r="L146" i="5"/>
  <c r="N146" i="5" s="1"/>
  <c r="S146" i="5" s="1"/>
  <c r="O146" i="5"/>
  <c r="Q146" i="5" s="1"/>
  <c r="P146" i="5"/>
  <c r="T146" i="5"/>
  <c r="Y146" i="5"/>
  <c r="A147" i="5"/>
  <c r="C147" i="5"/>
  <c r="D147" i="5"/>
  <c r="E147" i="5"/>
  <c r="F147" i="5"/>
  <c r="G147" i="5"/>
  <c r="L147" i="5"/>
  <c r="N147" i="5" s="1"/>
  <c r="S147" i="5" s="1"/>
  <c r="O147" i="5"/>
  <c r="Q147" i="5" s="1"/>
  <c r="P147" i="5"/>
  <c r="T147" i="5"/>
  <c r="Y147" i="5"/>
  <c r="A140" i="5"/>
  <c r="C140" i="5"/>
  <c r="D140" i="5"/>
  <c r="E140" i="5"/>
  <c r="G140" i="5"/>
  <c r="L140" i="5"/>
  <c r="N140" i="5" s="1"/>
  <c r="S140" i="5" s="1"/>
  <c r="O140" i="5"/>
  <c r="Q140" i="5" s="1"/>
  <c r="P140" i="5"/>
  <c r="T140" i="5"/>
  <c r="Y140" i="5"/>
  <c r="P139" i="4"/>
  <c r="Q139" i="4"/>
  <c r="P140" i="4"/>
  <c r="Q140" i="4"/>
  <c r="P141" i="4"/>
  <c r="Q141" i="4"/>
  <c r="P142" i="4"/>
  <c r="F143" i="5" s="1"/>
  <c r="Q142" i="4"/>
  <c r="P143" i="4"/>
  <c r="F144" i="5" s="1"/>
  <c r="Q143" i="4"/>
  <c r="P144" i="4"/>
  <c r="F145" i="5" s="1"/>
  <c r="Q144" i="4"/>
  <c r="P145" i="4"/>
  <c r="F146" i="5" s="1"/>
  <c r="Q145" i="4"/>
  <c r="P146" i="4"/>
  <c r="Q146" i="4"/>
  <c r="M94" i="5"/>
  <c r="M95" i="5"/>
  <c r="M135" i="5"/>
  <c r="M134" i="5"/>
  <c r="T4" i="5"/>
  <c r="T5" i="5"/>
  <c r="T6" i="5"/>
  <c r="T7" i="5"/>
  <c r="T8" i="5"/>
  <c r="T9" i="5"/>
  <c r="T10" i="5"/>
  <c r="T11" i="5"/>
  <c r="T12" i="5"/>
  <c r="T13" i="5"/>
  <c r="T14" i="5"/>
  <c r="T15" i="5"/>
  <c r="T16" i="5"/>
  <c r="T17" i="5"/>
  <c r="T18" i="5"/>
  <c r="T19" i="5"/>
  <c r="T20" i="5"/>
  <c r="T21" i="5"/>
  <c r="T22" i="5"/>
  <c r="T23" i="5"/>
  <c r="T24" i="5"/>
  <c r="T25" i="5"/>
  <c r="T26" i="5"/>
  <c r="T27" i="5"/>
  <c r="T28" i="5"/>
  <c r="T29" i="5"/>
  <c r="T30" i="5"/>
  <c r="T31" i="5"/>
  <c r="T32" i="5"/>
  <c r="T33" i="5"/>
  <c r="T34" i="5"/>
  <c r="T35" i="5"/>
  <c r="T36" i="5"/>
  <c r="T37" i="5"/>
  <c r="T38" i="5"/>
  <c r="T39" i="5"/>
  <c r="T40" i="5"/>
  <c r="T41" i="5"/>
  <c r="T42" i="5"/>
  <c r="T43" i="5"/>
  <c r="T44" i="5"/>
  <c r="T45" i="5"/>
  <c r="T46" i="5"/>
  <c r="T47" i="5"/>
  <c r="T48" i="5"/>
  <c r="T49" i="5"/>
  <c r="T50" i="5"/>
  <c r="T51" i="5"/>
  <c r="T52" i="5"/>
  <c r="T53" i="5"/>
  <c r="T54" i="5"/>
  <c r="T55" i="5"/>
  <c r="T56" i="5"/>
  <c r="T57" i="5"/>
  <c r="T58" i="5"/>
  <c r="T59" i="5"/>
  <c r="T60" i="5"/>
  <c r="T61" i="5"/>
  <c r="T62" i="5"/>
  <c r="T63" i="5"/>
  <c r="T64" i="5"/>
  <c r="T65" i="5"/>
  <c r="T66" i="5"/>
  <c r="T67" i="5"/>
  <c r="T68" i="5"/>
  <c r="T69" i="5"/>
  <c r="T70" i="5"/>
  <c r="T71" i="5"/>
  <c r="T72" i="5"/>
  <c r="T73" i="5"/>
  <c r="T74" i="5"/>
  <c r="T75" i="5"/>
  <c r="T76" i="5"/>
  <c r="T77" i="5"/>
  <c r="T78" i="5"/>
  <c r="T79" i="5"/>
  <c r="T80" i="5"/>
  <c r="T81" i="5"/>
  <c r="T82" i="5"/>
  <c r="T83" i="5"/>
  <c r="T84" i="5"/>
  <c r="T85" i="5"/>
  <c r="T86" i="5"/>
  <c r="T87" i="5"/>
  <c r="T88" i="5"/>
  <c r="T89" i="5"/>
  <c r="T90" i="5"/>
  <c r="T91" i="5"/>
  <c r="T92" i="5"/>
  <c r="T93" i="5"/>
  <c r="T94" i="5"/>
  <c r="T95" i="5"/>
  <c r="T96" i="5"/>
  <c r="T97" i="5"/>
  <c r="T98" i="5"/>
  <c r="T99" i="5"/>
  <c r="T100" i="5"/>
  <c r="T101" i="5"/>
  <c r="T102" i="5"/>
  <c r="T103" i="5"/>
  <c r="T104" i="5"/>
  <c r="T105" i="5"/>
  <c r="T106" i="5"/>
  <c r="T107" i="5"/>
  <c r="T108" i="5"/>
  <c r="T109" i="5"/>
  <c r="T110" i="5"/>
  <c r="T111" i="5"/>
  <c r="T112" i="5"/>
  <c r="T113" i="5"/>
  <c r="T114" i="5"/>
  <c r="T115" i="5"/>
  <c r="T116" i="5"/>
  <c r="T117" i="5"/>
  <c r="T118" i="5"/>
  <c r="T119" i="5"/>
  <c r="T120" i="5"/>
  <c r="T121" i="5"/>
  <c r="T122" i="5"/>
  <c r="T123" i="5"/>
  <c r="T124" i="5"/>
  <c r="T125" i="5"/>
  <c r="T126" i="5"/>
  <c r="T127" i="5"/>
  <c r="T128" i="5"/>
  <c r="T129" i="5"/>
  <c r="T130" i="5"/>
  <c r="T131" i="5"/>
  <c r="T132" i="5"/>
  <c r="T133" i="5"/>
  <c r="T134" i="5"/>
  <c r="T135" i="5"/>
  <c r="T136" i="5"/>
  <c r="T137" i="5"/>
  <c r="T138" i="5"/>
  <c r="T139" i="5"/>
  <c r="T3" i="5"/>
  <c r="G3" i="2"/>
  <c r="G278" i="2"/>
  <c r="G559" i="2"/>
  <c r="G4" i="2"/>
  <c r="G444" i="2"/>
  <c r="G445" i="2"/>
  <c r="G446" i="2"/>
  <c r="G447" i="2"/>
  <c r="G6" i="2"/>
  <c r="G448" i="2"/>
  <c r="G7" i="2"/>
  <c r="G8" i="2"/>
  <c r="G9" i="2"/>
  <c r="G10" i="2"/>
  <c r="G451" i="2"/>
  <c r="G452" i="2"/>
  <c r="G453" i="2"/>
  <c r="G11" i="2"/>
  <c r="G12" i="2"/>
  <c r="G458" i="2"/>
  <c r="G13" i="2"/>
  <c r="G14" i="2"/>
  <c r="G15" i="2"/>
  <c r="G16" i="2"/>
  <c r="G17" i="2"/>
  <c r="G18" i="2"/>
  <c r="G19" i="2"/>
  <c r="G21" i="2"/>
  <c r="G22" i="2"/>
  <c r="G23" i="2"/>
  <c r="G24" i="2"/>
  <c r="G26" i="2"/>
  <c r="G27" i="2"/>
  <c r="G28" i="2"/>
  <c r="G29" i="2"/>
  <c r="G30" i="2"/>
  <c r="G31" i="2"/>
  <c r="G32" i="2"/>
  <c r="G33" i="2"/>
  <c r="G34" i="2"/>
  <c r="G35" i="2"/>
  <c r="G36" i="2"/>
  <c r="G37" i="2"/>
  <c r="G38" i="2"/>
  <c r="G459" i="2"/>
  <c r="G39" i="2"/>
  <c r="G40" i="2"/>
  <c r="G41" i="2"/>
  <c r="G42" i="2"/>
  <c r="G43" i="2"/>
  <c r="G44" i="2"/>
  <c r="G45" i="2"/>
  <c r="G46" i="2"/>
  <c r="G47" i="2"/>
  <c r="G48" i="2"/>
  <c r="G50" i="2"/>
  <c r="G51" i="2"/>
  <c r="G93" i="2"/>
  <c r="G52" i="2"/>
  <c r="G53" i="2"/>
  <c r="G54" i="2"/>
  <c r="G55" i="2"/>
  <c r="G56" i="2"/>
  <c r="G57" i="2"/>
  <c r="G58" i="2"/>
  <c r="G59" i="2"/>
  <c r="G60" i="2"/>
  <c r="G61" i="2"/>
  <c r="G62" i="2"/>
  <c r="G63" i="2"/>
  <c r="G64" i="2"/>
  <c r="G65" i="2"/>
  <c r="G66" i="2"/>
  <c r="G67" i="2"/>
  <c r="G68" i="2"/>
  <c r="G69" i="2"/>
  <c r="G70" i="2"/>
  <c r="G71" i="2"/>
  <c r="G72" i="2"/>
  <c r="G73" i="2"/>
  <c r="G74" i="2"/>
  <c r="G75" i="2"/>
  <c r="G76" i="2"/>
  <c r="G77" i="2"/>
  <c r="G84" i="2"/>
  <c r="G85" i="2"/>
  <c r="G86" i="2"/>
  <c r="G87" i="2"/>
  <c r="G78" i="2"/>
  <c r="G88" i="2"/>
  <c r="G79" i="2"/>
  <c r="G89" i="2"/>
  <c r="G90" i="2"/>
  <c r="G91" i="2"/>
  <c r="G80" i="2"/>
  <c r="G81" i="2"/>
  <c r="G92" i="2"/>
  <c r="G82" i="2"/>
  <c r="G94" i="2"/>
  <c r="G95" i="2"/>
  <c r="G479" i="2"/>
  <c r="G96" i="2"/>
  <c r="G97" i="2"/>
  <c r="G83" i="2"/>
  <c r="G478" i="2"/>
  <c r="G480" i="2"/>
  <c r="G481" i="2"/>
  <c r="G98" i="2"/>
  <c r="G99" i="2"/>
  <c r="G100" i="2"/>
  <c r="G101" i="2"/>
  <c r="G102" i="2"/>
  <c r="G103" i="2"/>
  <c r="G104" i="2"/>
  <c r="G105" i="2"/>
  <c r="G106" i="2"/>
  <c r="G107" i="2"/>
  <c r="G108" i="2"/>
  <c r="G109" i="2"/>
  <c r="G115" i="2"/>
  <c r="G110" i="2"/>
  <c r="G111" i="2"/>
  <c r="G112" i="2"/>
  <c r="G113" i="2"/>
  <c r="G486" i="2"/>
  <c r="G116" i="2"/>
  <c r="G117" i="2"/>
  <c r="G118" i="2"/>
  <c r="G119" i="2"/>
  <c r="G120" i="2"/>
  <c r="G121" i="2"/>
  <c r="G122" i="2"/>
  <c r="G123" i="2"/>
  <c r="G124" i="2"/>
  <c r="G487" i="2"/>
  <c r="G125" i="2"/>
  <c r="G126" i="2"/>
  <c r="G127" i="2"/>
  <c r="G128" i="2"/>
  <c r="G157" i="2"/>
  <c r="G129" i="2"/>
  <c r="G130" i="2"/>
  <c r="G131" i="2"/>
  <c r="G490" i="2"/>
  <c r="G132" i="2"/>
  <c r="G133" i="2"/>
  <c r="G134" i="2"/>
  <c r="G135" i="2"/>
  <c r="G491" i="2"/>
  <c r="G136" i="2"/>
  <c r="G137" i="2"/>
  <c r="G484" i="2"/>
  <c r="G138" i="2"/>
  <c r="G139" i="2"/>
  <c r="G158" i="2"/>
  <c r="G140" i="2"/>
  <c r="G141" i="2"/>
  <c r="G142" i="2"/>
  <c r="G143" i="2"/>
  <c r="G144" i="2"/>
  <c r="G145" i="2"/>
  <c r="G146" i="2"/>
  <c r="G147" i="2"/>
  <c r="G148" i="2"/>
  <c r="G149" i="2"/>
  <c r="G159" i="2"/>
  <c r="G150" i="2"/>
  <c r="G151" i="2"/>
  <c r="G152" i="2"/>
  <c r="G153" i="2"/>
  <c r="G154" i="2"/>
  <c r="G155" i="2"/>
  <c r="G156" i="2"/>
  <c r="G160" i="2"/>
  <c r="G161" i="2"/>
  <c r="G162" i="2"/>
  <c r="G163" i="2"/>
  <c r="G164" i="2"/>
  <c r="G177" i="2"/>
  <c r="G165" i="2"/>
  <c r="G502" i="2"/>
  <c r="G166" i="2"/>
  <c r="G178" i="2"/>
  <c r="G503" i="2"/>
  <c r="G167" i="2"/>
  <c r="G504" i="2"/>
  <c r="G168" i="2"/>
  <c r="G169" i="2"/>
  <c r="G170" i="2"/>
  <c r="G171" i="2"/>
  <c r="G172" i="2"/>
  <c r="G173" i="2"/>
  <c r="G174" i="2"/>
  <c r="G175" i="2"/>
  <c r="G204" i="2"/>
  <c r="G179" i="2"/>
  <c r="G180" i="2"/>
  <c r="G181" i="2"/>
  <c r="G182" i="2"/>
  <c r="G183" i="2"/>
  <c r="G184" i="2"/>
  <c r="G185" i="2"/>
  <c r="G186" i="2"/>
  <c r="G187" i="2"/>
  <c r="G188" i="2"/>
  <c r="G189" i="2"/>
  <c r="G190" i="2"/>
  <c r="G514" i="2"/>
  <c r="G192" i="2"/>
  <c r="G193" i="2"/>
  <c r="G526" i="2"/>
  <c r="G194" i="2"/>
  <c r="G195" i="2"/>
  <c r="G196" i="2"/>
  <c r="G197" i="2"/>
  <c r="G198" i="2"/>
  <c r="G199" i="2"/>
  <c r="G532" i="2"/>
  <c r="G205" i="2"/>
  <c r="G524" i="2"/>
  <c r="G200" i="2"/>
  <c r="G201" i="2"/>
  <c r="G202" i="2"/>
  <c r="G203" i="2"/>
  <c r="G206" i="2"/>
  <c r="G527" i="2"/>
  <c r="G207" i="2"/>
  <c r="G208" i="2"/>
  <c r="G528" i="2"/>
  <c r="G209" i="2"/>
  <c r="G210" i="2"/>
  <c r="G211" i="2"/>
  <c r="G212" i="2"/>
  <c r="G213" i="2"/>
  <c r="G214" i="2"/>
  <c r="G218" i="2"/>
  <c r="G529" i="2"/>
  <c r="G215" i="2"/>
  <c r="G277" i="2"/>
  <c r="G219" i="2"/>
  <c r="G191" i="2"/>
  <c r="G220" i="2"/>
  <c r="G221" i="2"/>
  <c r="G222" i="2"/>
  <c r="G533" i="2"/>
  <c r="G530" i="2"/>
  <c r="G223" i="2"/>
  <c r="G224" i="2"/>
  <c r="G225" i="2"/>
  <c r="G226" i="2"/>
  <c r="G227" i="2"/>
  <c r="G216" i="2"/>
  <c r="G231" i="2"/>
  <c r="G232" i="2"/>
  <c r="G233" i="2"/>
  <c r="G234" i="2"/>
  <c r="G235" i="2"/>
  <c r="G236" i="2"/>
  <c r="G237" i="2"/>
  <c r="G238" i="2"/>
  <c r="G239" i="2"/>
  <c r="G240" i="2"/>
  <c r="G241" i="2"/>
  <c r="G242" i="2"/>
  <c r="G243" i="2"/>
  <c r="G217" i="2"/>
  <c r="G540" i="2"/>
  <c r="G247" i="2"/>
  <c r="G248" i="2"/>
  <c r="G545" i="2"/>
  <c r="G250" i="2"/>
  <c r="G249" i="2"/>
  <c r="G228" i="2"/>
  <c r="G550" i="2"/>
  <c r="G229" i="2"/>
  <c r="G256" i="2"/>
  <c r="G251" i="2"/>
  <c r="G252" i="2"/>
  <c r="G253" i="2"/>
  <c r="G257" i="2"/>
  <c r="G258" i="2"/>
  <c r="G259" i="2"/>
  <c r="G260" i="2"/>
  <c r="G261" i="2"/>
  <c r="G262" i="2"/>
  <c r="G263" i="2"/>
  <c r="G268" i="2"/>
  <c r="G264" i="2"/>
  <c r="G265" i="2"/>
  <c r="G266" i="2"/>
  <c r="G267" i="2"/>
  <c r="G546" i="2"/>
  <c r="G282" i="2"/>
  <c r="G254" i="2"/>
  <c r="G269" i="2"/>
  <c r="G270" i="2"/>
  <c r="G273" i="2"/>
  <c r="G274" i="2"/>
  <c r="G553" i="2"/>
  <c r="G275" i="2"/>
  <c r="G276" i="2"/>
  <c r="G279" i="2"/>
  <c r="G280" i="2"/>
  <c r="G271" i="2"/>
  <c r="G281" i="2"/>
  <c r="G283" i="2"/>
  <c r="G556" i="2"/>
  <c r="G290" i="2"/>
  <c r="G291" i="2"/>
  <c r="G292" i="2"/>
  <c r="G293" i="2"/>
  <c r="G296" i="2"/>
  <c r="G309" i="2"/>
  <c r="G294" i="2"/>
  <c r="G557" i="2"/>
  <c r="G297" i="2"/>
  <c r="G298" i="2"/>
  <c r="G318" i="2"/>
  <c r="G299" i="2"/>
  <c r="G300" i="2"/>
  <c r="G284" i="2"/>
  <c r="G285" i="2"/>
  <c r="G301" i="2"/>
  <c r="G302" i="2"/>
  <c r="G303" i="2"/>
  <c r="G304" i="2"/>
  <c r="G305" i="2"/>
  <c r="G306" i="2"/>
  <c r="G307" i="2"/>
  <c r="G310" i="2"/>
  <c r="G561" i="2"/>
  <c r="G311" i="2"/>
  <c r="G312" i="2"/>
  <c r="G316" i="2"/>
  <c r="G350" i="2"/>
  <c r="G338" i="2"/>
  <c r="G562" i="2"/>
  <c r="G563" i="2"/>
  <c r="G564" i="2"/>
  <c r="G295" i="2"/>
  <c r="G319" i="2"/>
  <c r="G320" i="2"/>
  <c r="G321" i="2"/>
  <c r="G322" i="2"/>
  <c r="G339" i="2"/>
  <c r="G340" i="2"/>
  <c r="G323" i="2"/>
  <c r="G324" i="2"/>
  <c r="G325" i="2"/>
  <c r="G326" i="2"/>
  <c r="G328" i="2"/>
  <c r="G329" i="2"/>
  <c r="G330" i="2"/>
  <c r="G331" i="2"/>
  <c r="G332" i="2"/>
  <c r="G333" i="2"/>
  <c r="G334" i="2"/>
  <c r="G335" i="2"/>
  <c r="G286" i="2"/>
  <c r="G287" i="2"/>
  <c r="G570" i="2"/>
  <c r="G341" i="2"/>
  <c r="G342" i="2"/>
  <c r="G344" i="2"/>
  <c r="G345" i="2"/>
  <c r="G343" i="2"/>
  <c r="G346" i="2"/>
  <c r="G347" i="2"/>
  <c r="G348" i="2"/>
  <c r="G317" i="2"/>
  <c r="G349" i="2"/>
  <c r="G336" i="2"/>
  <c r="G354" i="2"/>
  <c r="G351" i="2"/>
  <c r="G352" i="2"/>
  <c r="G353" i="2"/>
  <c r="G579" i="2"/>
  <c r="G355" i="2"/>
  <c r="G356" i="2"/>
  <c r="G357" i="2"/>
  <c r="G581" i="2"/>
  <c r="G582" i="2"/>
  <c r="G358" i="2"/>
  <c r="G359" i="2"/>
  <c r="G584" i="2"/>
  <c r="G362" i="2"/>
  <c r="G363" i="2"/>
  <c r="G364" i="2"/>
  <c r="G587" i="2"/>
  <c r="G367" i="2"/>
  <c r="G588" i="2"/>
  <c r="G591" i="2"/>
  <c r="G369" i="2"/>
  <c r="G370" i="2"/>
  <c r="G371" i="2"/>
  <c r="G368" i="2"/>
  <c r="G372" i="2"/>
  <c r="G373" i="2"/>
  <c r="G374" i="2"/>
  <c r="G375" i="2"/>
  <c r="G380" i="2"/>
  <c r="G376" i="2"/>
  <c r="G384" i="2"/>
  <c r="G381" i="2"/>
  <c r="G385" i="2"/>
  <c r="G25" i="2"/>
  <c r="G288" i="2"/>
  <c r="G289" i="2"/>
  <c r="G377" i="2"/>
  <c r="G378" i="2"/>
  <c r="G230" i="2"/>
  <c r="G337" i="2"/>
  <c r="G560" i="2"/>
  <c r="G386" i="2"/>
  <c r="G379" i="2"/>
  <c r="G327" i="2"/>
  <c r="G382" i="2"/>
  <c r="G387" i="2"/>
  <c r="G365" i="2"/>
  <c r="G366" i="2"/>
  <c r="G20" i="2"/>
  <c r="G468" i="2"/>
  <c r="G470" i="2"/>
  <c r="G471" i="2"/>
  <c r="G472" i="2"/>
  <c r="G473" i="2"/>
  <c r="G474" i="2"/>
  <c r="G475" i="2"/>
  <c r="G476" i="2"/>
  <c r="G477" i="2"/>
  <c r="G482" i="2"/>
  <c r="G483" i="2"/>
  <c r="G485" i="2"/>
  <c r="G272" i="2"/>
  <c r="G488" i="2"/>
  <c r="G489" i="2"/>
  <c r="G492" i="2"/>
  <c r="G493" i="2"/>
  <c r="G494" i="2"/>
  <c r="G495" i="2"/>
  <c r="G496" i="2"/>
  <c r="G497" i="2"/>
  <c r="G498" i="2"/>
  <c r="G499" i="2"/>
  <c r="G500" i="2"/>
  <c r="G501" i="2"/>
  <c r="G505" i="2"/>
  <c r="G506" i="2"/>
  <c r="G507" i="2"/>
  <c r="G509" i="2"/>
  <c r="G510" i="2"/>
  <c r="G511" i="2"/>
  <c r="G512" i="2"/>
  <c r="G513" i="2"/>
  <c r="G515" i="2"/>
  <c r="G516" i="2"/>
  <c r="G517" i="2"/>
  <c r="G518" i="2"/>
  <c r="G519" i="2"/>
  <c r="G520" i="2"/>
  <c r="G521" i="2"/>
  <c r="G522" i="2"/>
  <c r="G523" i="2"/>
  <c r="G525" i="2"/>
  <c r="G531" i="2"/>
  <c r="G534" i="2"/>
  <c r="G308" i="2"/>
  <c r="G535" i="2"/>
  <c r="G536" i="2"/>
  <c r="G537" i="2"/>
  <c r="G538" i="2"/>
  <c r="G539" i="2"/>
  <c r="G541" i="2"/>
  <c r="G542" i="2"/>
  <c r="G543" i="2"/>
  <c r="G544" i="2"/>
  <c r="G547" i="2"/>
  <c r="G548" i="2"/>
  <c r="G549" i="2"/>
  <c r="G551" i="2"/>
  <c r="G552" i="2"/>
  <c r="G554" i="2"/>
  <c r="G567" i="2"/>
  <c r="G555" i="2"/>
  <c r="G558" i="2"/>
  <c r="G565" i="2"/>
  <c r="G568" i="2"/>
  <c r="G572" i="2"/>
  <c r="G569" i="2"/>
  <c r="G571" i="2"/>
  <c r="G589" i="2"/>
  <c r="G573" i="2"/>
  <c r="G574" i="2"/>
  <c r="G575" i="2"/>
  <c r="G576" i="2"/>
  <c r="G577" i="2"/>
  <c r="G578" i="2"/>
  <c r="G580" i="2"/>
  <c r="G360" i="2"/>
  <c r="G583" i="2"/>
  <c r="G585" i="2"/>
  <c r="G586" i="2"/>
  <c r="G469" i="2"/>
  <c r="G467" i="2"/>
  <c r="G465" i="2"/>
  <c r="G466" i="2"/>
  <c r="G460" i="2"/>
  <c r="G461" i="2"/>
  <c r="G454" i="2"/>
  <c r="G455" i="2"/>
  <c r="G456" i="2"/>
  <c r="G450" i="2"/>
  <c r="G449" i="2"/>
  <c r="G389" i="2"/>
  <c r="G390" i="2"/>
  <c r="G391" i="2"/>
  <c r="G392" i="2"/>
  <c r="G393" i="2"/>
  <c r="G394" i="2"/>
  <c r="G395" i="2"/>
  <c r="G396" i="2"/>
  <c r="G397" i="2"/>
  <c r="G398" i="2"/>
  <c r="G399" i="2"/>
  <c r="G400" i="2"/>
  <c r="G401" i="2"/>
  <c r="G402" i="2"/>
  <c r="G403" i="2"/>
  <c r="G404" i="2"/>
  <c r="G590" i="2"/>
  <c r="G405" i="2"/>
  <c r="G406" i="2"/>
  <c r="G407" i="2"/>
  <c r="G408" i="2"/>
  <c r="G409" i="2"/>
  <c r="G410" i="2"/>
  <c r="G411" i="2"/>
  <c r="G412" i="2"/>
  <c r="G413" i="2"/>
  <c r="G414" i="2"/>
  <c r="G415" i="2"/>
  <c r="G416" i="2"/>
  <c r="G417" i="2"/>
  <c r="G418" i="2"/>
  <c r="G419" i="2"/>
  <c r="G420" i="2"/>
  <c r="G421" i="2"/>
  <c r="G422" i="2"/>
  <c r="G423" i="2"/>
  <c r="G424" i="2"/>
  <c r="G425" i="2"/>
  <c r="G426" i="2"/>
  <c r="G427" i="2"/>
  <c r="G428" i="2"/>
  <c r="G114" i="2"/>
  <c r="G429" i="2"/>
  <c r="G430" i="2"/>
  <c r="G431" i="2"/>
  <c r="G432" i="2"/>
  <c r="G433" i="2"/>
  <c r="G434" i="2"/>
  <c r="G435" i="2"/>
  <c r="G436" i="2"/>
  <c r="G437" i="2"/>
  <c r="G438" i="2"/>
  <c r="G439" i="2"/>
  <c r="G440" i="2"/>
  <c r="G441" i="2"/>
  <c r="G442" i="2"/>
  <c r="G566" i="2"/>
  <c r="G443" i="2"/>
  <c r="G313" i="2"/>
  <c r="G462" i="2"/>
  <c r="G463" i="2"/>
  <c r="G464" i="2"/>
  <c r="G457" i="2"/>
  <c r="G314" i="2"/>
  <c r="G244" i="2"/>
  <c r="G176" i="2"/>
  <c r="G5" i="2"/>
  <c r="G508" i="2"/>
  <c r="G383" i="2"/>
  <c r="G49" i="2"/>
  <c r="G315" i="2"/>
  <c r="G245" i="2"/>
  <c r="G246" i="2"/>
  <c r="G361" i="2"/>
  <c r="G388" i="2"/>
  <c r="K227" i="2"/>
  <c r="K62" i="2"/>
  <c r="K69" i="2"/>
  <c r="K79" i="2"/>
  <c r="K80" i="2"/>
  <c r="K81" i="2"/>
  <c r="K478" i="2"/>
  <c r="K306" i="2"/>
  <c r="K345" i="2"/>
  <c r="K579" i="2"/>
  <c r="K498" i="2"/>
  <c r="K49" i="2"/>
  <c r="K152" i="2"/>
  <c r="K151" i="2"/>
  <c r="K159" i="2"/>
  <c r="K143" i="2"/>
  <c r="K158" i="2"/>
  <c r="K119" i="2"/>
  <c r="K98" i="2"/>
  <c r="K96" i="2"/>
  <c r="K85" i="2"/>
  <c r="K84" i="2"/>
  <c r="K74" i="2"/>
  <c r="K73" i="2"/>
  <c r="K71" i="2"/>
  <c r="K64" i="2"/>
  <c r="K35" i="2"/>
  <c r="K18" i="2"/>
  <c r="K16" i="2"/>
  <c r="K253" i="2"/>
  <c r="K238" i="2"/>
  <c r="K244" i="2"/>
  <c r="K313" i="2"/>
  <c r="K327" i="2"/>
  <c r="K289" i="2"/>
  <c r="K288" i="2"/>
  <c r="K317" i="2"/>
  <c r="K335" i="2"/>
  <c r="K333" i="2"/>
  <c r="K329" i="2"/>
  <c r="K326" i="2"/>
  <c r="K325" i="2"/>
  <c r="K324" i="2"/>
  <c r="K322" i="2"/>
  <c r="K319" i="2"/>
  <c r="K295" i="2"/>
  <c r="K338" i="2"/>
  <c r="K311" i="2"/>
  <c r="K561" i="2"/>
  <c r="K310" i="2"/>
  <c r="K305" i="2"/>
  <c r="K304" i="2"/>
  <c r="K303" i="2"/>
  <c r="K302" i="2"/>
  <c r="K301" i="2"/>
  <c r="K299" i="2"/>
  <c r="K318" i="2"/>
  <c r="K298" i="2"/>
  <c r="K294" i="2"/>
  <c r="K309" i="2"/>
  <c r="K296" i="2"/>
  <c r="K292" i="2"/>
  <c r="K279" i="2"/>
  <c r="K260" i="2"/>
  <c r="K259" i="2"/>
  <c r="K229" i="2"/>
  <c r="K550" i="2"/>
  <c r="K228" i="2"/>
  <c r="K247" i="2"/>
  <c r="K540" i="2"/>
  <c r="K242" i="2"/>
  <c r="K241" i="2"/>
  <c r="K240" i="2"/>
  <c r="K235" i="2"/>
  <c r="K232" i="2"/>
  <c r="K231" i="2"/>
  <c r="K216" i="2"/>
  <c r="K225" i="2"/>
  <c r="K223" i="2"/>
  <c r="K533" i="2"/>
  <c r="K222" i="2"/>
  <c r="K215" i="2"/>
  <c r="K218" i="2"/>
  <c r="K213" i="2"/>
  <c r="K212" i="2"/>
  <c r="K211" i="2"/>
  <c r="K210" i="2"/>
  <c r="K209" i="2"/>
  <c r="K527" i="2"/>
  <c r="K206" i="2"/>
  <c r="K203" i="2"/>
  <c r="K201" i="2"/>
  <c r="K524" i="2"/>
  <c r="K205" i="2"/>
  <c r="K532" i="2"/>
  <c r="K197" i="2"/>
  <c r="K193" i="2"/>
  <c r="K184" i="2"/>
  <c r="K204" i="2"/>
  <c r="K502" i="2"/>
  <c r="K51" i="2"/>
  <c r="K50" i="2"/>
  <c r="K459" i="2"/>
  <c r="K29" i="2"/>
  <c r="K28" i="2"/>
  <c r="K9" i="2"/>
  <c r="K6" i="2"/>
  <c r="K4" i="2"/>
  <c r="K361" i="2"/>
  <c r="K585" i="2"/>
  <c r="K360" i="2"/>
  <c r="K20" i="2"/>
  <c r="K366" i="2"/>
  <c r="K365" i="2"/>
  <c r="K387" i="2"/>
  <c r="K379" i="2"/>
  <c r="K386" i="2"/>
  <c r="K337" i="2"/>
  <c r="K378" i="2"/>
  <c r="K377" i="2"/>
  <c r="K25" i="2"/>
  <c r="K385" i="2"/>
  <c r="K381" i="2"/>
  <c r="K376" i="2"/>
  <c r="K375" i="2"/>
  <c r="K374" i="2"/>
  <c r="K373" i="2"/>
  <c r="K372" i="2"/>
  <c r="K368" i="2"/>
  <c r="K371" i="2"/>
  <c r="K370" i="2"/>
  <c r="K369" i="2"/>
  <c r="K591" i="2"/>
  <c r="K587" i="2"/>
  <c r="K364" i="2"/>
  <c r="K363" i="2"/>
  <c r="K582" i="2"/>
  <c r="K581" i="2"/>
  <c r="K357" i="2"/>
  <c r="K356" i="2"/>
  <c r="K355" i="2"/>
  <c r="K353" i="2"/>
  <c r="K351" i="2"/>
  <c r="K336" i="2"/>
  <c r="K349" i="2"/>
  <c r="K348" i="2"/>
  <c r="K347" i="2"/>
  <c r="K346" i="2"/>
  <c r="K343" i="2"/>
  <c r="K344" i="2"/>
  <c r="K342" i="2"/>
  <c r="K341" i="2"/>
  <c r="K287" i="2"/>
  <c r="K286" i="2"/>
  <c r="K334" i="2"/>
  <c r="K332" i="2"/>
  <c r="K331" i="2"/>
  <c r="K330" i="2"/>
  <c r="K339" i="2"/>
  <c r="K312" i="2"/>
  <c r="K285" i="2"/>
  <c r="K284" i="2"/>
  <c r="K557" i="2"/>
  <c r="K271" i="2"/>
  <c r="K276" i="2"/>
  <c r="K553" i="2"/>
  <c r="K274" i="2"/>
  <c r="K273" i="2"/>
  <c r="K270" i="2"/>
  <c r="K254" i="2"/>
  <c r="K264" i="2"/>
  <c r="K200" i="2"/>
  <c r="K196" i="2"/>
  <c r="K194" i="2"/>
  <c r="K514" i="2"/>
  <c r="K166" i="2"/>
  <c r="K160" i="2"/>
  <c r="K150" i="2"/>
  <c r="K90" i="2"/>
  <c r="K86" i="2"/>
  <c r="K72" i="2"/>
  <c r="K63" i="2"/>
  <c r="K61" i="2"/>
  <c r="K41" i="2"/>
  <c r="K34" i="2"/>
  <c r="K31" i="2"/>
  <c r="K30" i="2"/>
  <c r="K26" i="2"/>
  <c r="K21" i="2"/>
  <c r="K17" i="2"/>
  <c r="K14" i="2"/>
  <c r="K13" i="2"/>
  <c r="K458" i="2"/>
  <c r="K12" i="2"/>
  <c r="K11" i="2"/>
  <c r="K453" i="2"/>
  <c r="K452" i="2"/>
  <c r="K451" i="2"/>
  <c r="K447" i="2"/>
  <c r="K445" i="2"/>
  <c r="K444" i="2"/>
  <c r="K278" i="2"/>
  <c r="K246" i="2"/>
  <c r="K245" i="2"/>
  <c r="K383" i="2"/>
  <c r="K382" i="2"/>
  <c r="K584" i="2"/>
  <c r="K359" i="2"/>
  <c r="K358" i="2"/>
  <c r="K320" i="2"/>
  <c r="K268" i="2"/>
  <c r="K224" i="2"/>
  <c r="K188" i="2"/>
  <c r="K168" i="2"/>
  <c r="K149" i="2"/>
  <c r="K148" i="2"/>
  <c r="K144" i="2"/>
  <c r="K139" i="2"/>
  <c r="K138" i="2"/>
  <c r="K490" i="2"/>
  <c r="K116" i="2"/>
  <c r="K115" i="2"/>
  <c r="U255" i="2" l="1"/>
  <c r="T255" i="2"/>
  <c r="P255" i="2"/>
  <c r="R143" i="5"/>
  <c r="N141" i="5"/>
  <c r="R141" i="5" s="1"/>
  <c r="N144" i="5"/>
  <c r="S144" i="5" s="1"/>
  <c r="R142" i="5"/>
  <c r="R146" i="5"/>
  <c r="R145" i="5"/>
  <c r="R147" i="5"/>
  <c r="W146" i="5"/>
  <c r="X146" i="5"/>
  <c r="W145" i="5"/>
  <c r="X145" i="5"/>
  <c r="W144" i="5"/>
  <c r="X144" i="5"/>
  <c r="W142" i="5"/>
  <c r="X142" i="5"/>
  <c r="W147" i="5"/>
  <c r="X147" i="5"/>
  <c r="S143" i="5"/>
  <c r="R140" i="5"/>
  <c r="W140" i="5"/>
  <c r="X140" i="5"/>
  <c r="W44" i="2"/>
  <c r="K44" i="2" s="1"/>
  <c r="W91" i="2"/>
  <c r="K91" i="2" s="1"/>
  <c r="A113" i="5"/>
  <c r="C113" i="5"/>
  <c r="D113" i="5"/>
  <c r="E113" i="5"/>
  <c r="G113" i="5"/>
  <c r="L113" i="5"/>
  <c r="M113" i="5" s="1"/>
  <c r="N113" i="5" s="1"/>
  <c r="O113" i="5"/>
  <c r="Q113" i="5" s="1"/>
  <c r="P113" i="5"/>
  <c r="Y113" i="5"/>
  <c r="A114" i="5"/>
  <c r="C114" i="5"/>
  <c r="D114" i="5"/>
  <c r="E114" i="5"/>
  <c r="G114" i="5"/>
  <c r="L114" i="5"/>
  <c r="M114" i="5" s="1"/>
  <c r="N114" i="5" s="1"/>
  <c r="S114" i="5" s="1"/>
  <c r="O114" i="5"/>
  <c r="Q114" i="5" s="1"/>
  <c r="P114" i="5"/>
  <c r="Y114" i="5"/>
  <c r="A115" i="5"/>
  <c r="C115" i="5"/>
  <c r="D115" i="5"/>
  <c r="E115" i="5"/>
  <c r="G115" i="5"/>
  <c r="L115" i="5"/>
  <c r="M115" i="5" s="1"/>
  <c r="N115" i="5" s="1"/>
  <c r="S115" i="5" s="1"/>
  <c r="O115" i="5"/>
  <c r="Q115" i="5" s="1"/>
  <c r="P115" i="5"/>
  <c r="Y115" i="5"/>
  <c r="A116" i="5"/>
  <c r="C116" i="5"/>
  <c r="D116" i="5"/>
  <c r="E116" i="5"/>
  <c r="G116" i="5"/>
  <c r="L116" i="5"/>
  <c r="M116" i="5" s="1"/>
  <c r="N116" i="5" s="1"/>
  <c r="S116" i="5" s="1"/>
  <c r="O116" i="5"/>
  <c r="Q116" i="5" s="1"/>
  <c r="P116" i="5"/>
  <c r="Y116" i="5"/>
  <c r="A117" i="5"/>
  <c r="C117" i="5"/>
  <c r="D117" i="5"/>
  <c r="E117" i="5"/>
  <c r="G117" i="5"/>
  <c r="L117" i="5"/>
  <c r="M117" i="5" s="1"/>
  <c r="N117" i="5" s="1"/>
  <c r="S117" i="5" s="1"/>
  <c r="O117" i="5"/>
  <c r="Q117" i="5" s="1"/>
  <c r="P117" i="5"/>
  <c r="Y117" i="5"/>
  <c r="A118" i="5"/>
  <c r="C118" i="5"/>
  <c r="D118" i="5"/>
  <c r="E118" i="5"/>
  <c r="G118" i="5"/>
  <c r="L118" i="5"/>
  <c r="M118" i="5" s="1"/>
  <c r="N118" i="5" s="1"/>
  <c r="S118" i="5" s="1"/>
  <c r="O118" i="5"/>
  <c r="Q118" i="5" s="1"/>
  <c r="P118" i="5"/>
  <c r="Y118" i="5"/>
  <c r="A119" i="5"/>
  <c r="C119" i="5"/>
  <c r="D119" i="5"/>
  <c r="E119" i="5"/>
  <c r="G119" i="5"/>
  <c r="L119" i="5"/>
  <c r="M119" i="5" s="1"/>
  <c r="N119" i="5" s="1"/>
  <c r="S119" i="5" s="1"/>
  <c r="O119" i="5"/>
  <c r="Q119" i="5" s="1"/>
  <c r="P119" i="5"/>
  <c r="Y119" i="5"/>
  <c r="A120" i="5"/>
  <c r="C120" i="5"/>
  <c r="D120" i="5"/>
  <c r="E120" i="5"/>
  <c r="G120" i="5"/>
  <c r="L120" i="5"/>
  <c r="M120" i="5" s="1"/>
  <c r="N120" i="5" s="1"/>
  <c r="S120" i="5" s="1"/>
  <c r="O120" i="5"/>
  <c r="Q120" i="5" s="1"/>
  <c r="P120" i="5"/>
  <c r="Y120" i="5"/>
  <c r="A121" i="5"/>
  <c r="C121" i="5"/>
  <c r="D121" i="5"/>
  <c r="E121" i="5"/>
  <c r="G121" i="5"/>
  <c r="L121" i="5"/>
  <c r="M121" i="5" s="1"/>
  <c r="N121" i="5" s="1"/>
  <c r="S121" i="5" s="1"/>
  <c r="O121" i="5"/>
  <c r="Q121" i="5" s="1"/>
  <c r="P121" i="5"/>
  <c r="Y121" i="5"/>
  <c r="A122" i="5"/>
  <c r="C122" i="5"/>
  <c r="D122" i="5"/>
  <c r="E122" i="5"/>
  <c r="G122" i="5"/>
  <c r="L122" i="5"/>
  <c r="M122" i="5" s="1"/>
  <c r="N122" i="5" s="1"/>
  <c r="S122" i="5" s="1"/>
  <c r="O122" i="5"/>
  <c r="Q122" i="5" s="1"/>
  <c r="P122" i="5"/>
  <c r="Y122" i="5"/>
  <c r="A123" i="5"/>
  <c r="C123" i="5"/>
  <c r="D123" i="5"/>
  <c r="E123" i="5"/>
  <c r="G123" i="5"/>
  <c r="L123" i="5"/>
  <c r="M123" i="5" s="1"/>
  <c r="N123" i="5" s="1"/>
  <c r="S123" i="5" s="1"/>
  <c r="O123" i="5"/>
  <c r="Q123" i="5" s="1"/>
  <c r="P123" i="5"/>
  <c r="Y123" i="5"/>
  <c r="A124" i="5"/>
  <c r="C124" i="5"/>
  <c r="D124" i="5"/>
  <c r="E124" i="5"/>
  <c r="G124" i="5"/>
  <c r="L124" i="5"/>
  <c r="M124" i="5" s="1"/>
  <c r="N124" i="5" s="1"/>
  <c r="S124" i="5" s="1"/>
  <c r="O124" i="5"/>
  <c r="Q124" i="5" s="1"/>
  <c r="P124" i="5"/>
  <c r="Y124" i="5"/>
  <c r="A125" i="5"/>
  <c r="C125" i="5"/>
  <c r="D125" i="5"/>
  <c r="E125" i="5"/>
  <c r="G125" i="5"/>
  <c r="L125" i="5"/>
  <c r="M125" i="5" s="1"/>
  <c r="N125" i="5" s="1"/>
  <c r="S125" i="5" s="1"/>
  <c r="O125" i="5"/>
  <c r="Q125" i="5" s="1"/>
  <c r="P125" i="5"/>
  <c r="Y125" i="5"/>
  <c r="A126" i="5"/>
  <c r="C126" i="5"/>
  <c r="D126" i="5"/>
  <c r="E126" i="5"/>
  <c r="G126" i="5"/>
  <c r="L126" i="5"/>
  <c r="M126" i="5" s="1"/>
  <c r="N126" i="5" s="1"/>
  <c r="S126" i="5" s="1"/>
  <c r="O126" i="5"/>
  <c r="Q126" i="5" s="1"/>
  <c r="P126" i="5"/>
  <c r="Y126" i="5"/>
  <c r="A127" i="5"/>
  <c r="C127" i="5"/>
  <c r="D127" i="5"/>
  <c r="E127" i="5"/>
  <c r="G127" i="5"/>
  <c r="L127" i="5"/>
  <c r="M127" i="5" s="1"/>
  <c r="N127" i="5" s="1"/>
  <c r="S127" i="5" s="1"/>
  <c r="O127" i="5"/>
  <c r="Q127" i="5" s="1"/>
  <c r="P127" i="5"/>
  <c r="Y127" i="5"/>
  <c r="A128" i="5"/>
  <c r="C128" i="5"/>
  <c r="D128" i="5"/>
  <c r="E128" i="5"/>
  <c r="G128" i="5"/>
  <c r="L128" i="5"/>
  <c r="M128" i="5" s="1"/>
  <c r="N128" i="5" s="1"/>
  <c r="S128" i="5" s="1"/>
  <c r="O128" i="5"/>
  <c r="Q128" i="5" s="1"/>
  <c r="P128" i="5"/>
  <c r="Y128" i="5"/>
  <c r="A129" i="5"/>
  <c r="C129" i="5"/>
  <c r="D129" i="5"/>
  <c r="E129" i="5"/>
  <c r="G129" i="5"/>
  <c r="L129" i="5"/>
  <c r="M129" i="5" s="1"/>
  <c r="N129" i="5" s="1"/>
  <c r="S129" i="5" s="1"/>
  <c r="O129" i="5"/>
  <c r="Q129" i="5" s="1"/>
  <c r="P129" i="5"/>
  <c r="Y129" i="5"/>
  <c r="A130" i="5"/>
  <c r="C130" i="5"/>
  <c r="D130" i="5"/>
  <c r="E130" i="5"/>
  <c r="G130" i="5"/>
  <c r="L130" i="5"/>
  <c r="M130" i="5" s="1"/>
  <c r="N130" i="5" s="1"/>
  <c r="S130" i="5" s="1"/>
  <c r="O130" i="5"/>
  <c r="Q130" i="5" s="1"/>
  <c r="P130" i="5"/>
  <c r="Y130" i="5"/>
  <c r="A131" i="5"/>
  <c r="C131" i="5"/>
  <c r="D131" i="5"/>
  <c r="E131" i="5"/>
  <c r="G131" i="5"/>
  <c r="L131" i="5"/>
  <c r="N131" i="5" s="1"/>
  <c r="S131" i="5" s="1"/>
  <c r="O131" i="5"/>
  <c r="Q131" i="5" s="1"/>
  <c r="P131" i="5"/>
  <c r="Y131" i="5"/>
  <c r="A132" i="5"/>
  <c r="C132" i="5"/>
  <c r="D132" i="5"/>
  <c r="E132" i="5"/>
  <c r="G132" i="5"/>
  <c r="L132" i="5"/>
  <c r="N132" i="5" s="1"/>
  <c r="S132" i="5" s="1"/>
  <c r="O132" i="5"/>
  <c r="Q132" i="5" s="1"/>
  <c r="P132" i="5"/>
  <c r="Y132" i="5"/>
  <c r="A133" i="5"/>
  <c r="C133" i="5"/>
  <c r="D133" i="5"/>
  <c r="E133" i="5"/>
  <c r="G133" i="5"/>
  <c r="L133" i="5"/>
  <c r="N133" i="5" s="1"/>
  <c r="S133" i="5" s="1"/>
  <c r="O133" i="5"/>
  <c r="Q133" i="5" s="1"/>
  <c r="P133" i="5"/>
  <c r="Y133" i="5"/>
  <c r="A134" i="5"/>
  <c r="C134" i="5"/>
  <c r="D134" i="5"/>
  <c r="E134" i="5"/>
  <c r="G134" i="5"/>
  <c r="L134" i="5"/>
  <c r="N134" i="5" s="1"/>
  <c r="S134" i="5" s="1"/>
  <c r="O134" i="5"/>
  <c r="Q134" i="5" s="1"/>
  <c r="P134" i="5"/>
  <c r="Y134" i="5"/>
  <c r="A135" i="5"/>
  <c r="C135" i="5"/>
  <c r="D135" i="5"/>
  <c r="E135" i="5"/>
  <c r="G135" i="5"/>
  <c r="L135" i="5"/>
  <c r="N135" i="5" s="1"/>
  <c r="S135" i="5" s="1"/>
  <c r="O135" i="5"/>
  <c r="Q135" i="5" s="1"/>
  <c r="P135" i="5"/>
  <c r="Y135" i="5"/>
  <c r="A136" i="5"/>
  <c r="C136" i="5"/>
  <c r="D136" i="5"/>
  <c r="E136" i="5"/>
  <c r="G136" i="5"/>
  <c r="L136" i="5"/>
  <c r="M136" i="5" s="1"/>
  <c r="N136" i="5" s="1"/>
  <c r="S136" i="5" s="1"/>
  <c r="O136" i="5"/>
  <c r="Q136" i="5" s="1"/>
  <c r="P136" i="5"/>
  <c r="Y136" i="5"/>
  <c r="A137" i="5"/>
  <c r="C137" i="5"/>
  <c r="D137" i="5"/>
  <c r="E137" i="5"/>
  <c r="G137" i="5"/>
  <c r="L137" i="5"/>
  <c r="M137" i="5" s="1"/>
  <c r="N137" i="5" s="1"/>
  <c r="S137" i="5" s="1"/>
  <c r="O137" i="5"/>
  <c r="Q137" i="5" s="1"/>
  <c r="P137" i="5"/>
  <c r="Y137" i="5"/>
  <c r="A138" i="5"/>
  <c r="C138" i="5"/>
  <c r="D138" i="5"/>
  <c r="E138" i="5"/>
  <c r="G138" i="5"/>
  <c r="L138" i="5"/>
  <c r="M138" i="5" s="1"/>
  <c r="N138" i="5" s="1"/>
  <c r="S138" i="5" s="1"/>
  <c r="O138" i="5"/>
  <c r="Q138" i="5" s="1"/>
  <c r="P138" i="5"/>
  <c r="Y138" i="5"/>
  <c r="A139" i="5"/>
  <c r="C139" i="5"/>
  <c r="D139" i="5"/>
  <c r="E139" i="5"/>
  <c r="G139" i="5"/>
  <c r="L139" i="5"/>
  <c r="M139" i="5" s="1"/>
  <c r="N139" i="5" s="1"/>
  <c r="S139" i="5" s="1"/>
  <c r="O139" i="5"/>
  <c r="Q139" i="5" s="1"/>
  <c r="P139" i="5"/>
  <c r="Y139" i="5"/>
  <c r="Z38" i="5"/>
  <c r="P38" i="5"/>
  <c r="O38" i="5"/>
  <c r="J38" i="5"/>
  <c r="K38" i="5" s="1"/>
  <c r="L38" i="5" s="1"/>
  <c r="G38" i="5"/>
  <c r="E38" i="5"/>
  <c r="D38" i="5"/>
  <c r="C38" i="5"/>
  <c r="A38" i="5"/>
  <c r="Y93" i="5"/>
  <c r="P93" i="5"/>
  <c r="O93" i="5"/>
  <c r="Q93" i="5" s="1"/>
  <c r="M93" i="5"/>
  <c r="N93" i="5" s="1"/>
  <c r="S93" i="5" s="1"/>
  <c r="L93" i="5"/>
  <c r="E93" i="5"/>
  <c r="D93" i="5"/>
  <c r="C93" i="5"/>
  <c r="A93" i="5"/>
  <c r="P110" i="4"/>
  <c r="Q110" i="4"/>
  <c r="P111" i="4"/>
  <c r="Q111" i="4"/>
  <c r="P112" i="4"/>
  <c r="Q112" i="4"/>
  <c r="P113" i="4"/>
  <c r="Q113" i="4"/>
  <c r="P114" i="4"/>
  <c r="Q114" i="4"/>
  <c r="P115" i="4"/>
  <c r="Q115" i="4"/>
  <c r="P116" i="4"/>
  <c r="Q116" i="4"/>
  <c r="P117" i="4"/>
  <c r="Q117" i="4"/>
  <c r="P118" i="4"/>
  <c r="Q118" i="4"/>
  <c r="P119" i="4"/>
  <c r="Q119" i="4"/>
  <c r="P120" i="4"/>
  <c r="Q120" i="4"/>
  <c r="P121" i="4"/>
  <c r="Q121" i="4"/>
  <c r="P122" i="4"/>
  <c r="Q122" i="4"/>
  <c r="P123" i="4"/>
  <c r="F124" i="5" s="1"/>
  <c r="Q123" i="4"/>
  <c r="P124" i="4"/>
  <c r="F125" i="5" s="1"/>
  <c r="Q124" i="4"/>
  <c r="P125" i="4"/>
  <c r="Q125" i="4"/>
  <c r="P126" i="4"/>
  <c r="Q126" i="4"/>
  <c r="P127" i="4"/>
  <c r="Q127" i="4"/>
  <c r="P128" i="4"/>
  <c r="Q128" i="4"/>
  <c r="P129" i="4"/>
  <c r="Q129" i="4"/>
  <c r="P130" i="4"/>
  <c r="F131" i="5" s="1"/>
  <c r="Q130" i="4"/>
  <c r="P131" i="4"/>
  <c r="Q131" i="4"/>
  <c r="P132" i="4"/>
  <c r="Q132" i="4"/>
  <c r="P133" i="4"/>
  <c r="Q133" i="4"/>
  <c r="P134" i="4"/>
  <c r="Q134" i="4"/>
  <c r="P135" i="4"/>
  <c r="F136" i="5" s="1"/>
  <c r="Q135" i="4"/>
  <c r="P136" i="4"/>
  <c r="F137" i="5" s="1"/>
  <c r="Q136" i="4"/>
  <c r="P137" i="4"/>
  <c r="F138" i="5" s="1"/>
  <c r="Q137" i="4"/>
  <c r="P138" i="4"/>
  <c r="F139" i="5" s="1"/>
  <c r="Q138" i="4"/>
  <c r="B245" i="2"/>
  <c r="C245" i="2"/>
  <c r="D245" i="2"/>
  <c r="F245" i="2"/>
  <c r="J245" i="2"/>
  <c r="M245" i="2"/>
  <c r="O245" i="2" s="1"/>
  <c r="N245" i="2"/>
  <c r="R245" i="2"/>
  <c r="V245" i="2"/>
  <c r="B246" i="2"/>
  <c r="C246" i="2"/>
  <c r="D246" i="2"/>
  <c r="F246" i="2"/>
  <c r="J246" i="2"/>
  <c r="M246" i="2"/>
  <c r="O246" i="2" s="1"/>
  <c r="N246" i="2"/>
  <c r="R246" i="2"/>
  <c r="V246" i="2"/>
  <c r="B361" i="2"/>
  <c r="C361" i="2"/>
  <c r="D361" i="2"/>
  <c r="F361" i="2"/>
  <c r="J361" i="2"/>
  <c r="M361" i="2"/>
  <c r="O361" i="2" s="1"/>
  <c r="N361" i="2"/>
  <c r="R361" i="2"/>
  <c r="V361" i="2"/>
  <c r="K594" i="2"/>
  <c r="K600" i="2"/>
  <c r="K599" i="2"/>
  <c r="K598" i="2"/>
  <c r="K597" i="2"/>
  <c r="K596" i="2"/>
  <c r="K595" i="2"/>
  <c r="K601" i="2"/>
  <c r="F126" i="5" l="1"/>
  <c r="F121" i="5"/>
  <c r="F132" i="5"/>
  <c r="F120" i="5"/>
  <c r="F119" i="5"/>
  <c r="S141" i="5"/>
  <c r="W141" i="5" s="1"/>
  <c r="R144" i="5"/>
  <c r="W143" i="5"/>
  <c r="X143" i="5"/>
  <c r="F118" i="5"/>
  <c r="F133" i="5"/>
  <c r="F122" i="5"/>
  <c r="F127" i="5"/>
  <c r="F130" i="5"/>
  <c r="F135" i="5"/>
  <c r="F129" i="5"/>
  <c r="F134" i="5"/>
  <c r="F128" i="5"/>
  <c r="F123" i="5"/>
  <c r="L245" i="2"/>
  <c r="L361" i="2"/>
  <c r="Q361" i="2" s="1"/>
  <c r="L246" i="2"/>
  <c r="Q246" i="2" s="1"/>
  <c r="T246" i="2" s="1"/>
  <c r="R131" i="5"/>
  <c r="R130" i="5"/>
  <c r="R129" i="5"/>
  <c r="R134" i="5"/>
  <c r="R139" i="5"/>
  <c r="R133" i="5"/>
  <c r="R132" i="5"/>
  <c r="R115" i="5"/>
  <c r="R136" i="5"/>
  <c r="R135" i="5"/>
  <c r="R138" i="5"/>
  <c r="R137" i="5"/>
  <c r="R117" i="5"/>
  <c r="W125" i="5"/>
  <c r="X125" i="5"/>
  <c r="W118" i="5"/>
  <c r="X118" i="5"/>
  <c r="W117" i="5"/>
  <c r="X117" i="5"/>
  <c r="R116" i="5"/>
  <c r="W129" i="5"/>
  <c r="X129" i="5"/>
  <c r="W119" i="5"/>
  <c r="X119" i="5"/>
  <c r="W132" i="5"/>
  <c r="X132" i="5"/>
  <c r="W116" i="5"/>
  <c r="X116" i="5"/>
  <c r="W115" i="5"/>
  <c r="X115" i="5"/>
  <c r="R114" i="5"/>
  <c r="W124" i="5"/>
  <c r="X124" i="5"/>
  <c r="W133" i="5"/>
  <c r="X133" i="5"/>
  <c r="W123" i="5"/>
  <c r="X123" i="5"/>
  <c r="R113" i="5"/>
  <c r="S113" i="5"/>
  <c r="W127" i="5"/>
  <c r="X127" i="5"/>
  <c r="W121" i="5"/>
  <c r="X121" i="5"/>
  <c r="W134" i="5"/>
  <c r="X134" i="5"/>
  <c r="W137" i="5"/>
  <c r="X137" i="5"/>
  <c r="W139" i="5"/>
  <c r="X139" i="5"/>
  <c r="W122" i="5"/>
  <c r="X122" i="5"/>
  <c r="W135" i="5"/>
  <c r="X135" i="5"/>
  <c r="W126" i="5"/>
  <c r="X126" i="5"/>
  <c r="W130" i="5"/>
  <c r="X130" i="5"/>
  <c r="W114" i="5"/>
  <c r="X114" i="5"/>
  <c r="W138" i="5"/>
  <c r="X138" i="5"/>
  <c r="W128" i="5"/>
  <c r="X128" i="5"/>
  <c r="W120" i="5"/>
  <c r="X120" i="5"/>
  <c r="W131" i="5"/>
  <c r="X131" i="5"/>
  <c r="W136" i="5"/>
  <c r="X136" i="5"/>
  <c r="R128" i="5"/>
  <c r="R127" i="5"/>
  <c r="R126" i="5"/>
  <c r="R125" i="5"/>
  <c r="R124" i="5"/>
  <c r="R123" i="5"/>
  <c r="R122" i="5"/>
  <c r="R121" i="5"/>
  <c r="R120" i="5"/>
  <c r="R119" i="5"/>
  <c r="R118" i="5"/>
  <c r="Q38" i="5"/>
  <c r="Y38" i="5"/>
  <c r="R93" i="5"/>
  <c r="X93" i="5"/>
  <c r="W93" i="5"/>
  <c r="P361" i="2"/>
  <c r="M54" i="5"/>
  <c r="M55" i="5"/>
  <c r="M20" i="5"/>
  <c r="Z35" i="5"/>
  <c r="Z34" i="5"/>
  <c r="Z33" i="5"/>
  <c r="Z32" i="5"/>
  <c r="Z31" i="5"/>
  <c r="Z30" i="5"/>
  <c r="Z29" i="5"/>
  <c r="Z28" i="5"/>
  <c r="Z27" i="5"/>
  <c r="Z26" i="5"/>
  <c r="Z25" i="5"/>
  <c r="Z24" i="5"/>
  <c r="Z23" i="5"/>
  <c r="Z22" i="5"/>
  <c r="Z21" i="5"/>
  <c r="M36" i="5"/>
  <c r="M38" i="5" s="1"/>
  <c r="N38" i="5" s="1"/>
  <c r="S38" i="5" s="1"/>
  <c r="W38" i="5" s="1"/>
  <c r="Z51" i="5"/>
  <c r="Z50" i="5"/>
  <c r="Z49" i="5"/>
  <c r="Z48" i="5"/>
  <c r="Z47" i="5"/>
  <c r="Z46" i="5"/>
  <c r="Z45" i="5"/>
  <c r="Z44" i="5"/>
  <c r="Z43" i="5"/>
  <c r="Z42" i="5"/>
  <c r="Z41" i="5"/>
  <c r="Z40" i="5"/>
  <c r="Z39" i="5"/>
  <c r="Z37" i="5"/>
  <c r="P22" i="5"/>
  <c r="O22" i="5"/>
  <c r="J22" i="5"/>
  <c r="K22" i="5" s="1"/>
  <c r="G22" i="5"/>
  <c r="E22" i="5"/>
  <c r="D22" i="5"/>
  <c r="C22" i="5"/>
  <c r="A22" i="5"/>
  <c r="V49" i="2"/>
  <c r="R49" i="2"/>
  <c r="N49" i="2"/>
  <c r="M49" i="2"/>
  <c r="O49" i="2" s="1"/>
  <c r="J49" i="2"/>
  <c r="F49" i="2"/>
  <c r="D49" i="2"/>
  <c r="C49" i="2"/>
  <c r="B49" i="2"/>
  <c r="B315" i="2"/>
  <c r="C315" i="2"/>
  <c r="D315" i="2"/>
  <c r="F315" i="2"/>
  <c r="J315" i="2"/>
  <c r="K315" i="2" s="1"/>
  <c r="M315" i="2"/>
  <c r="O315" i="2" s="1"/>
  <c r="N315" i="2"/>
  <c r="R315" i="2"/>
  <c r="V315" i="2"/>
  <c r="Q109" i="4"/>
  <c r="P109" i="4"/>
  <c r="F117" i="5" s="1"/>
  <c r="M97" i="5"/>
  <c r="M96" i="5"/>
  <c r="M92" i="5"/>
  <c r="R3" i="2"/>
  <c r="R278" i="2"/>
  <c r="R559" i="2"/>
  <c r="R4" i="2"/>
  <c r="R444" i="2"/>
  <c r="R445" i="2"/>
  <c r="R446" i="2"/>
  <c r="R447" i="2"/>
  <c r="R6" i="2"/>
  <c r="R448" i="2"/>
  <c r="R7" i="2"/>
  <c r="R8" i="2"/>
  <c r="R9" i="2"/>
  <c r="R10" i="2"/>
  <c r="R451" i="2"/>
  <c r="R452" i="2"/>
  <c r="R453" i="2"/>
  <c r="R11" i="2"/>
  <c r="R12" i="2"/>
  <c r="R458" i="2"/>
  <c r="R13" i="2"/>
  <c r="R14" i="2"/>
  <c r="R15" i="2"/>
  <c r="R16" i="2"/>
  <c r="R17" i="2"/>
  <c r="R18" i="2"/>
  <c r="R19" i="2"/>
  <c r="R21" i="2"/>
  <c r="R22" i="2"/>
  <c r="R23" i="2"/>
  <c r="R24" i="2"/>
  <c r="R26" i="2"/>
  <c r="R27" i="2"/>
  <c r="R28" i="2"/>
  <c r="R29" i="2"/>
  <c r="R30" i="2"/>
  <c r="R31" i="2"/>
  <c r="R32" i="2"/>
  <c r="R33" i="2"/>
  <c r="R34" i="2"/>
  <c r="R35" i="2"/>
  <c r="R36" i="2"/>
  <c r="R37" i="2"/>
  <c r="R38" i="2"/>
  <c r="R459" i="2"/>
  <c r="R39" i="2"/>
  <c r="R40" i="2"/>
  <c r="R41" i="2"/>
  <c r="R42" i="2"/>
  <c r="R43" i="2"/>
  <c r="R44" i="2"/>
  <c r="R45" i="2"/>
  <c r="R46" i="2"/>
  <c r="R47" i="2"/>
  <c r="R48" i="2"/>
  <c r="R50" i="2"/>
  <c r="R51" i="2"/>
  <c r="R93" i="2"/>
  <c r="R52" i="2"/>
  <c r="R53" i="2"/>
  <c r="R54" i="2"/>
  <c r="R55" i="2"/>
  <c r="R56" i="2"/>
  <c r="R57" i="2"/>
  <c r="R58" i="2"/>
  <c r="R59" i="2"/>
  <c r="R60" i="2"/>
  <c r="R61" i="2"/>
  <c r="R62" i="2"/>
  <c r="R63" i="2"/>
  <c r="R64" i="2"/>
  <c r="R65" i="2"/>
  <c r="R66" i="2"/>
  <c r="R67" i="2"/>
  <c r="R68" i="2"/>
  <c r="R69" i="2"/>
  <c r="R70" i="2"/>
  <c r="R71" i="2"/>
  <c r="R72" i="2"/>
  <c r="R73" i="2"/>
  <c r="R74" i="2"/>
  <c r="R75" i="2"/>
  <c r="R76" i="2"/>
  <c r="R77" i="2"/>
  <c r="R84" i="2"/>
  <c r="R85" i="2"/>
  <c r="R86" i="2"/>
  <c r="R87" i="2"/>
  <c r="R78" i="2"/>
  <c r="R88" i="2"/>
  <c r="R79" i="2"/>
  <c r="R89" i="2"/>
  <c r="R90" i="2"/>
  <c r="R91" i="2"/>
  <c r="R80" i="2"/>
  <c r="R81" i="2"/>
  <c r="R92" i="2"/>
  <c r="R82" i="2"/>
  <c r="R94" i="2"/>
  <c r="R95" i="2"/>
  <c r="R479" i="2"/>
  <c r="R96" i="2"/>
  <c r="R97" i="2"/>
  <c r="R83" i="2"/>
  <c r="R478" i="2"/>
  <c r="R480" i="2"/>
  <c r="R481" i="2"/>
  <c r="R98" i="2"/>
  <c r="R99" i="2"/>
  <c r="R100" i="2"/>
  <c r="R101" i="2"/>
  <c r="R102" i="2"/>
  <c r="R103" i="2"/>
  <c r="R104" i="2"/>
  <c r="R105" i="2"/>
  <c r="R106" i="2"/>
  <c r="R107" i="2"/>
  <c r="R108" i="2"/>
  <c r="R109" i="2"/>
  <c r="R115" i="2"/>
  <c r="R110" i="2"/>
  <c r="R111" i="2"/>
  <c r="R112" i="2"/>
  <c r="R113" i="2"/>
  <c r="R486" i="2"/>
  <c r="R116" i="2"/>
  <c r="R117" i="2"/>
  <c r="R118" i="2"/>
  <c r="R119" i="2"/>
  <c r="R120" i="2"/>
  <c r="R121" i="2"/>
  <c r="R122" i="2"/>
  <c r="R123" i="2"/>
  <c r="R124" i="2"/>
  <c r="R487" i="2"/>
  <c r="R125" i="2"/>
  <c r="R126" i="2"/>
  <c r="R127" i="2"/>
  <c r="R128" i="2"/>
  <c r="R157" i="2"/>
  <c r="R129" i="2"/>
  <c r="R130" i="2"/>
  <c r="R131" i="2"/>
  <c r="R490" i="2"/>
  <c r="R132" i="2"/>
  <c r="R133" i="2"/>
  <c r="R134" i="2"/>
  <c r="R135" i="2"/>
  <c r="R491" i="2"/>
  <c r="R136" i="2"/>
  <c r="R137" i="2"/>
  <c r="R484" i="2"/>
  <c r="R138" i="2"/>
  <c r="R139" i="2"/>
  <c r="R158" i="2"/>
  <c r="R140" i="2"/>
  <c r="R141" i="2"/>
  <c r="R142" i="2"/>
  <c r="R143" i="2"/>
  <c r="R144" i="2"/>
  <c r="R145" i="2"/>
  <c r="R146" i="2"/>
  <c r="R147" i="2"/>
  <c r="R148" i="2"/>
  <c r="R149" i="2"/>
  <c r="R159" i="2"/>
  <c r="R150" i="2"/>
  <c r="R151" i="2"/>
  <c r="R152" i="2"/>
  <c r="R153" i="2"/>
  <c r="R154" i="2"/>
  <c r="R155" i="2"/>
  <c r="R156" i="2"/>
  <c r="R160" i="2"/>
  <c r="R161" i="2"/>
  <c r="R162" i="2"/>
  <c r="R163" i="2"/>
  <c r="R164" i="2"/>
  <c r="R177" i="2"/>
  <c r="R165" i="2"/>
  <c r="R502" i="2"/>
  <c r="R166" i="2"/>
  <c r="R178" i="2"/>
  <c r="R503" i="2"/>
  <c r="R167" i="2"/>
  <c r="R504" i="2"/>
  <c r="R168" i="2"/>
  <c r="R169" i="2"/>
  <c r="R170" i="2"/>
  <c r="R171" i="2"/>
  <c r="R172" i="2"/>
  <c r="R173" i="2"/>
  <c r="R174" i="2"/>
  <c r="R175" i="2"/>
  <c r="R204" i="2"/>
  <c r="R179" i="2"/>
  <c r="R180" i="2"/>
  <c r="R181" i="2"/>
  <c r="R182" i="2"/>
  <c r="R183" i="2"/>
  <c r="R184" i="2"/>
  <c r="R185" i="2"/>
  <c r="R186" i="2"/>
  <c r="R187" i="2"/>
  <c r="R188" i="2"/>
  <c r="R189" i="2"/>
  <c r="R190" i="2"/>
  <c r="R514" i="2"/>
  <c r="R192" i="2"/>
  <c r="R193" i="2"/>
  <c r="R526" i="2"/>
  <c r="R194" i="2"/>
  <c r="R195" i="2"/>
  <c r="R196" i="2"/>
  <c r="R197" i="2"/>
  <c r="R198" i="2"/>
  <c r="R199" i="2"/>
  <c r="R532" i="2"/>
  <c r="R205" i="2"/>
  <c r="R524" i="2"/>
  <c r="R200" i="2"/>
  <c r="R201" i="2"/>
  <c r="R202" i="2"/>
  <c r="R203" i="2"/>
  <c r="R206" i="2"/>
  <c r="R527" i="2"/>
  <c r="R207" i="2"/>
  <c r="R208" i="2"/>
  <c r="R528" i="2"/>
  <c r="R209" i="2"/>
  <c r="R210" i="2"/>
  <c r="R211" i="2"/>
  <c r="R212" i="2"/>
  <c r="R213" i="2"/>
  <c r="R214" i="2"/>
  <c r="R218" i="2"/>
  <c r="R529" i="2"/>
  <c r="R215" i="2"/>
  <c r="R277" i="2"/>
  <c r="R219" i="2"/>
  <c r="R191" i="2"/>
  <c r="R220" i="2"/>
  <c r="R221" i="2"/>
  <c r="R222" i="2"/>
  <c r="R533" i="2"/>
  <c r="R530" i="2"/>
  <c r="R223" i="2"/>
  <c r="R224" i="2"/>
  <c r="R225" i="2"/>
  <c r="R226" i="2"/>
  <c r="R227" i="2"/>
  <c r="R216" i="2"/>
  <c r="R231" i="2"/>
  <c r="R232" i="2"/>
  <c r="R233" i="2"/>
  <c r="R234" i="2"/>
  <c r="R235" i="2"/>
  <c r="R236" i="2"/>
  <c r="R237" i="2"/>
  <c r="R238" i="2"/>
  <c r="R239" i="2"/>
  <c r="R240" i="2"/>
  <c r="R241" i="2"/>
  <c r="R242" i="2"/>
  <c r="R243" i="2"/>
  <c r="R217" i="2"/>
  <c r="R540" i="2"/>
  <c r="R247" i="2"/>
  <c r="R248" i="2"/>
  <c r="R545" i="2"/>
  <c r="R250" i="2"/>
  <c r="R249" i="2"/>
  <c r="R228" i="2"/>
  <c r="R550" i="2"/>
  <c r="R229" i="2"/>
  <c r="R256" i="2"/>
  <c r="R251" i="2"/>
  <c r="R252" i="2"/>
  <c r="R253" i="2"/>
  <c r="R257" i="2"/>
  <c r="R258" i="2"/>
  <c r="R259" i="2"/>
  <c r="R260" i="2"/>
  <c r="R261" i="2"/>
  <c r="R262" i="2"/>
  <c r="R263" i="2"/>
  <c r="R268" i="2"/>
  <c r="R264" i="2"/>
  <c r="R265" i="2"/>
  <c r="R266" i="2"/>
  <c r="R267" i="2"/>
  <c r="R546" i="2"/>
  <c r="R282" i="2"/>
  <c r="R254" i="2"/>
  <c r="R269" i="2"/>
  <c r="R270" i="2"/>
  <c r="R273" i="2"/>
  <c r="R274" i="2"/>
  <c r="R553" i="2"/>
  <c r="R275" i="2"/>
  <c r="R276" i="2"/>
  <c r="R279" i="2"/>
  <c r="R280" i="2"/>
  <c r="R271" i="2"/>
  <c r="R281" i="2"/>
  <c r="R283" i="2"/>
  <c r="R556" i="2"/>
  <c r="R290" i="2"/>
  <c r="R291" i="2"/>
  <c r="R292" i="2"/>
  <c r="R293" i="2"/>
  <c r="R296" i="2"/>
  <c r="R309" i="2"/>
  <c r="R294" i="2"/>
  <c r="R557" i="2"/>
  <c r="R297" i="2"/>
  <c r="R298" i="2"/>
  <c r="R318" i="2"/>
  <c r="R299" i="2"/>
  <c r="R300" i="2"/>
  <c r="R284" i="2"/>
  <c r="R285" i="2"/>
  <c r="R301" i="2"/>
  <c r="R302" i="2"/>
  <c r="R303" i="2"/>
  <c r="R304" i="2"/>
  <c r="R305" i="2"/>
  <c r="R306" i="2"/>
  <c r="R307" i="2"/>
  <c r="R310" i="2"/>
  <c r="R561" i="2"/>
  <c r="R311" i="2"/>
  <c r="R312" i="2"/>
  <c r="R316" i="2"/>
  <c r="R350" i="2"/>
  <c r="R338" i="2"/>
  <c r="R562" i="2"/>
  <c r="R563" i="2"/>
  <c r="R564" i="2"/>
  <c r="R295" i="2"/>
  <c r="R319" i="2"/>
  <c r="R320" i="2"/>
  <c r="R321" i="2"/>
  <c r="R322" i="2"/>
  <c r="R339" i="2"/>
  <c r="R340" i="2"/>
  <c r="R323" i="2"/>
  <c r="R324" i="2"/>
  <c r="R325" i="2"/>
  <c r="R326" i="2"/>
  <c r="R328" i="2"/>
  <c r="R329" i="2"/>
  <c r="R330" i="2"/>
  <c r="R331" i="2"/>
  <c r="R332" i="2"/>
  <c r="R333" i="2"/>
  <c r="R334" i="2"/>
  <c r="R335" i="2"/>
  <c r="R286" i="2"/>
  <c r="R287" i="2"/>
  <c r="R570" i="2"/>
  <c r="R341" i="2"/>
  <c r="R342" i="2"/>
  <c r="R344" i="2"/>
  <c r="R345" i="2"/>
  <c r="R343" i="2"/>
  <c r="R346" i="2"/>
  <c r="R347" i="2"/>
  <c r="R348" i="2"/>
  <c r="R317" i="2"/>
  <c r="R349" i="2"/>
  <c r="R336" i="2"/>
  <c r="R354" i="2"/>
  <c r="R351" i="2"/>
  <c r="R352" i="2"/>
  <c r="R353" i="2"/>
  <c r="R579" i="2"/>
  <c r="R355" i="2"/>
  <c r="R356" i="2"/>
  <c r="R357" i="2"/>
  <c r="R581" i="2"/>
  <c r="R582" i="2"/>
  <c r="R358" i="2"/>
  <c r="R359" i="2"/>
  <c r="R584" i="2"/>
  <c r="R362" i="2"/>
  <c r="R363" i="2"/>
  <c r="R364" i="2"/>
  <c r="R587" i="2"/>
  <c r="R367" i="2"/>
  <c r="R588" i="2"/>
  <c r="R591" i="2"/>
  <c r="R369" i="2"/>
  <c r="R370" i="2"/>
  <c r="R371" i="2"/>
  <c r="R368" i="2"/>
  <c r="R372" i="2"/>
  <c r="R373" i="2"/>
  <c r="R374" i="2"/>
  <c r="R375" i="2"/>
  <c r="R380" i="2"/>
  <c r="R376" i="2"/>
  <c r="R384" i="2"/>
  <c r="R381" i="2"/>
  <c r="R385" i="2"/>
  <c r="R25" i="2"/>
  <c r="R288" i="2"/>
  <c r="R289" i="2"/>
  <c r="R377" i="2"/>
  <c r="R378" i="2"/>
  <c r="R230" i="2"/>
  <c r="R337" i="2"/>
  <c r="R560" i="2"/>
  <c r="R386" i="2"/>
  <c r="R379" i="2"/>
  <c r="R327" i="2"/>
  <c r="R382" i="2"/>
  <c r="R387" i="2"/>
  <c r="R365" i="2"/>
  <c r="R366" i="2"/>
  <c r="R20" i="2"/>
  <c r="R468" i="2"/>
  <c r="R470" i="2"/>
  <c r="R471" i="2"/>
  <c r="R472" i="2"/>
  <c r="R473" i="2"/>
  <c r="R474" i="2"/>
  <c r="R475" i="2"/>
  <c r="R476" i="2"/>
  <c r="R477" i="2"/>
  <c r="R482" i="2"/>
  <c r="R483" i="2"/>
  <c r="R485" i="2"/>
  <c r="R272" i="2"/>
  <c r="R488" i="2"/>
  <c r="R489" i="2"/>
  <c r="R492" i="2"/>
  <c r="R493" i="2"/>
  <c r="R494" i="2"/>
  <c r="R495" i="2"/>
  <c r="R496" i="2"/>
  <c r="R497" i="2"/>
  <c r="R498" i="2"/>
  <c r="R499" i="2"/>
  <c r="R500" i="2"/>
  <c r="R501" i="2"/>
  <c r="R505" i="2"/>
  <c r="R506" i="2"/>
  <c r="R507" i="2"/>
  <c r="R509" i="2"/>
  <c r="R510" i="2"/>
  <c r="R511" i="2"/>
  <c r="R512" i="2"/>
  <c r="R513" i="2"/>
  <c r="R515" i="2"/>
  <c r="R516" i="2"/>
  <c r="R517" i="2"/>
  <c r="R518" i="2"/>
  <c r="R519" i="2"/>
  <c r="R520" i="2"/>
  <c r="R521" i="2"/>
  <c r="R522" i="2"/>
  <c r="R523" i="2"/>
  <c r="R525" i="2"/>
  <c r="R531" i="2"/>
  <c r="R534" i="2"/>
  <c r="R308" i="2"/>
  <c r="R535" i="2"/>
  <c r="R536" i="2"/>
  <c r="R537" i="2"/>
  <c r="R538" i="2"/>
  <c r="R539" i="2"/>
  <c r="R541" i="2"/>
  <c r="R542" i="2"/>
  <c r="R543" i="2"/>
  <c r="R544" i="2"/>
  <c r="R547" i="2"/>
  <c r="R548" i="2"/>
  <c r="R549" i="2"/>
  <c r="R551" i="2"/>
  <c r="R552" i="2"/>
  <c r="R554" i="2"/>
  <c r="R567" i="2"/>
  <c r="R555" i="2"/>
  <c r="R558" i="2"/>
  <c r="R565" i="2"/>
  <c r="R568" i="2"/>
  <c r="R572" i="2"/>
  <c r="R569" i="2"/>
  <c r="R571" i="2"/>
  <c r="R589" i="2"/>
  <c r="R573" i="2"/>
  <c r="R574" i="2"/>
  <c r="R575" i="2"/>
  <c r="R576" i="2"/>
  <c r="R577" i="2"/>
  <c r="R578" i="2"/>
  <c r="R580" i="2"/>
  <c r="R360" i="2"/>
  <c r="R583" i="2"/>
  <c r="R585" i="2"/>
  <c r="R586" i="2"/>
  <c r="R469" i="2"/>
  <c r="R467" i="2"/>
  <c r="R465" i="2"/>
  <c r="R466" i="2"/>
  <c r="R460" i="2"/>
  <c r="R461" i="2"/>
  <c r="R454" i="2"/>
  <c r="R455" i="2"/>
  <c r="R456" i="2"/>
  <c r="R450" i="2"/>
  <c r="R449" i="2"/>
  <c r="R389" i="2"/>
  <c r="R390" i="2"/>
  <c r="R391" i="2"/>
  <c r="R392" i="2"/>
  <c r="R393" i="2"/>
  <c r="R394" i="2"/>
  <c r="R395" i="2"/>
  <c r="R396" i="2"/>
  <c r="R397" i="2"/>
  <c r="R398" i="2"/>
  <c r="R399" i="2"/>
  <c r="R400" i="2"/>
  <c r="R401" i="2"/>
  <c r="R402" i="2"/>
  <c r="R403" i="2"/>
  <c r="R404" i="2"/>
  <c r="R590" i="2"/>
  <c r="R405" i="2"/>
  <c r="R406" i="2"/>
  <c r="R407" i="2"/>
  <c r="R408" i="2"/>
  <c r="R409" i="2"/>
  <c r="R410" i="2"/>
  <c r="R411" i="2"/>
  <c r="R412" i="2"/>
  <c r="R413" i="2"/>
  <c r="R414" i="2"/>
  <c r="R415" i="2"/>
  <c r="R416" i="2"/>
  <c r="R417" i="2"/>
  <c r="R418" i="2"/>
  <c r="R419" i="2"/>
  <c r="R420" i="2"/>
  <c r="R421" i="2"/>
  <c r="R422" i="2"/>
  <c r="R423" i="2"/>
  <c r="R424" i="2"/>
  <c r="R425" i="2"/>
  <c r="R426" i="2"/>
  <c r="R427" i="2"/>
  <c r="R428" i="2"/>
  <c r="R114" i="2"/>
  <c r="R429" i="2"/>
  <c r="R430" i="2"/>
  <c r="R431" i="2"/>
  <c r="R432" i="2"/>
  <c r="R433" i="2"/>
  <c r="R434" i="2"/>
  <c r="R435" i="2"/>
  <c r="R436" i="2"/>
  <c r="R437" i="2"/>
  <c r="R438" i="2"/>
  <c r="R439" i="2"/>
  <c r="R440" i="2"/>
  <c r="R441" i="2"/>
  <c r="R442" i="2"/>
  <c r="R566" i="2"/>
  <c r="R443" i="2"/>
  <c r="R313" i="2"/>
  <c r="R462" i="2"/>
  <c r="R463" i="2"/>
  <c r="R464" i="2"/>
  <c r="R457" i="2"/>
  <c r="R314" i="2"/>
  <c r="R244" i="2"/>
  <c r="R176" i="2"/>
  <c r="R5" i="2"/>
  <c r="R508" i="2"/>
  <c r="R383" i="2"/>
  <c r="R388" i="2"/>
  <c r="M152" i="5"/>
  <c r="M153" i="5"/>
  <c r="M154" i="5"/>
  <c r="M155" i="5"/>
  <c r="M156" i="5"/>
  <c r="M157" i="5"/>
  <c r="M158" i="5"/>
  <c r="J91" i="5"/>
  <c r="K91" i="5" s="1"/>
  <c r="Y91" i="5" s="1"/>
  <c r="J90" i="5"/>
  <c r="K90" i="5" s="1"/>
  <c r="Y90" i="5" s="1"/>
  <c r="J89" i="5"/>
  <c r="K89" i="5" s="1"/>
  <c r="Y89" i="5" s="1"/>
  <c r="J88" i="5"/>
  <c r="K88" i="5" s="1"/>
  <c r="Y88" i="5" s="1"/>
  <c r="J87" i="5"/>
  <c r="K87" i="5" s="1"/>
  <c r="Y87" i="5" s="1"/>
  <c r="J86" i="5"/>
  <c r="K86" i="5" s="1"/>
  <c r="J85" i="5"/>
  <c r="K85" i="5" s="1"/>
  <c r="Y85" i="5" s="1"/>
  <c r="J84" i="5"/>
  <c r="K84" i="5" s="1"/>
  <c r="Y84" i="5" s="1"/>
  <c r="J83" i="5"/>
  <c r="K83" i="5" s="1"/>
  <c r="Y83" i="5" s="1"/>
  <c r="J82" i="5"/>
  <c r="K82" i="5" s="1"/>
  <c r="Y82" i="5" s="1"/>
  <c r="J81" i="5"/>
  <c r="K81" i="5" s="1"/>
  <c r="Y81" i="5" s="1"/>
  <c r="J80" i="5"/>
  <c r="K80" i="5" s="1"/>
  <c r="Y80" i="5" s="1"/>
  <c r="J79" i="5"/>
  <c r="K79" i="5" s="1"/>
  <c r="Y79" i="5" s="1"/>
  <c r="J78" i="5"/>
  <c r="K78" i="5" s="1"/>
  <c r="Y78" i="5" s="1"/>
  <c r="J77" i="5"/>
  <c r="K77" i="5" s="1"/>
  <c r="Y77" i="5" s="1"/>
  <c r="J76" i="5"/>
  <c r="K76" i="5" s="1"/>
  <c r="J73" i="5"/>
  <c r="K73" i="5" s="1"/>
  <c r="Y73" i="5" s="1"/>
  <c r="J72" i="5"/>
  <c r="K72" i="5" s="1"/>
  <c r="J71" i="5"/>
  <c r="K71" i="5" s="1"/>
  <c r="Y71" i="5" s="1"/>
  <c r="J70" i="5"/>
  <c r="K70" i="5" s="1"/>
  <c r="Y70" i="5" s="1"/>
  <c r="J69" i="5"/>
  <c r="K69" i="5" s="1"/>
  <c r="J68" i="5"/>
  <c r="K68" i="5" s="1"/>
  <c r="Y68" i="5" s="1"/>
  <c r="J67" i="5"/>
  <c r="K67" i="5" s="1"/>
  <c r="Y67" i="5" s="1"/>
  <c r="J66" i="5"/>
  <c r="K66" i="5" s="1"/>
  <c r="Y66" i="5" s="1"/>
  <c r="J65" i="5"/>
  <c r="K65" i="5" s="1"/>
  <c r="Y65" i="5" s="1"/>
  <c r="J64" i="5"/>
  <c r="K64" i="5" s="1"/>
  <c r="Y64" i="5" s="1"/>
  <c r="J63" i="5"/>
  <c r="K63" i="5" s="1"/>
  <c r="Y63" i="5" s="1"/>
  <c r="J62" i="5"/>
  <c r="K62" i="5" s="1"/>
  <c r="Y62" i="5" s="1"/>
  <c r="J61" i="5"/>
  <c r="K61" i="5" s="1"/>
  <c r="J60" i="5"/>
  <c r="K60" i="5" s="1"/>
  <c r="Y60" i="5" s="1"/>
  <c r="J59" i="5"/>
  <c r="K59" i="5" s="1"/>
  <c r="Y59" i="5" s="1"/>
  <c r="J58" i="5"/>
  <c r="K58" i="5" s="1"/>
  <c r="Y58" i="5" s="1"/>
  <c r="J51" i="5"/>
  <c r="K51" i="5" s="1"/>
  <c r="J50" i="5"/>
  <c r="K50" i="5" s="1"/>
  <c r="J49" i="5"/>
  <c r="K49" i="5" s="1"/>
  <c r="J48" i="5"/>
  <c r="K48" i="5" s="1"/>
  <c r="J47" i="5"/>
  <c r="K47" i="5" s="1"/>
  <c r="J46" i="5"/>
  <c r="K46" i="5" s="1"/>
  <c r="J45" i="5"/>
  <c r="K45" i="5" s="1"/>
  <c r="J44" i="5"/>
  <c r="K44" i="5" s="1"/>
  <c r="J43" i="5"/>
  <c r="K43" i="5" s="1"/>
  <c r="J42" i="5"/>
  <c r="K42" i="5" s="1"/>
  <c r="J41" i="5"/>
  <c r="K41" i="5" s="1"/>
  <c r="J40" i="5"/>
  <c r="K40" i="5" s="1"/>
  <c r="J39" i="5"/>
  <c r="K39" i="5" s="1"/>
  <c r="J75" i="5"/>
  <c r="K75" i="5" s="1"/>
  <c r="Y75" i="5" s="1"/>
  <c r="J57" i="5"/>
  <c r="K57" i="5" s="1"/>
  <c r="Y57" i="5" s="1"/>
  <c r="J37" i="5"/>
  <c r="K37" i="5" s="1"/>
  <c r="L37" i="5" s="1"/>
  <c r="J35" i="5"/>
  <c r="K35" i="5" s="1"/>
  <c r="J34" i="5"/>
  <c r="K34" i="5" s="1"/>
  <c r="J33" i="5"/>
  <c r="K33" i="5" s="1"/>
  <c r="J32" i="5"/>
  <c r="K32" i="5" s="1"/>
  <c r="J31" i="5"/>
  <c r="K31" i="5" s="1"/>
  <c r="J30" i="5"/>
  <c r="K30" i="5" s="1"/>
  <c r="J29" i="5"/>
  <c r="K29" i="5" s="1"/>
  <c r="J28" i="5"/>
  <c r="K28" i="5" s="1"/>
  <c r="Y28" i="5" s="1"/>
  <c r="J27" i="5"/>
  <c r="K27" i="5" s="1"/>
  <c r="J26" i="5"/>
  <c r="K26" i="5" s="1"/>
  <c r="J25" i="5"/>
  <c r="K25" i="5" s="1"/>
  <c r="J24" i="5"/>
  <c r="K24" i="5" s="1"/>
  <c r="J23" i="5"/>
  <c r="K23" i="5" s="1"/>
  <c r="J21" i="5"/>
  <c r="K21" i="5" s="1"/>
  <c r="J19" i="5"/>
  <c r="K19" i="5" s="1"/>
  <c r="Y19" i="5" s="1"/>
  <c r="J18" i="5"/>
  <c r="K18" i="5" s="1"/>
  <c r="Y18" i="5" s="1"/>
  <c r="J17" i="5"/>
  <c r="K17" i="5" s="1"/>
  <c r="Y17" i="5" s="1"/>
  <c r="J16" i="5"/>
  <c r="K16" i="5" s="1"/>
  <c r="Y16" i="5" s="1"/>
  <c r="J15" i="5"/>
  <c r="K15" i="5" s="1"/>
  <c r="Y15" i="5" s="1"/>
  <c r="J14" i="5"/>
  <c r="K14" i="5" s="1"/>
  <c r="Y14" i="5" s="1"/>
  <c r="J13" i="5"/>
  <c r="K13" i="5" s="1"/>
  <c r="Y13" i="5" s="1"/>
  <c r="J12" i="5"/>
  <c r="K12" i="5" s="1"/>
  <c r="Y12" i="5" s="1"/>
  <c r="J11" i="5"/>
  <c r="K11" i="5" s="1"/>
  <c r="Y11" i="5" s="1"/>
  <c r="J10" i="5"/>
  <c r="K10" i="5" s="1"/>
  <c r="Y10" i="5" s="1"/>
  <c r="J9" i="5"/>
  <c r="K9" i="5" s="1"/>
  <c r="Y9" i="5" s="1"/>
  <c r="J8" i="5"/>
  <c r="K8" i="5" s="1"/>
  <c r="Y8" i="5" s="1"/>
  <c r="J7" i="5"/>
  <c r="K7" i="5" s="1"/>
  <c r="Y7" i="5" s="1"/>
  <c r="A112" i="5"/>
  <c r="A111" i="5"/>
  <c r="A110" i="5"/>
  <c r="A109" i="5"/>
  <c r="A108" i="5"/>
  <c r="A107" i="5"/>
  <c r="A106" i="5"/>
  <c r="A105" i="5"/>
  <c r="A104" i="5"/>
  <c r="A103" i="5"/>
  <c r="A102" i="5"/>
  <c r="A101" i="5"/>
  <c r="A100" i="5"/>
  <c r="A99" i="5"/>
  <c r="A98" i="5"/>
  <c r="A97" i="5"/>
  <c r="A96" i="5"/>
  <c r="A95" i="5"/>
  <c r="A94" i="5"/>
  <c r="A92" i="5"/>
  <c r="A91" i="5"/>
  <c r="A90" i="5"/>
  <c r="A89" i="5"/>
  <c r="A88" i="5"/>
  <c r="A87" i="5"/>
  <c r="A86" i="5"/>
  <c r="A85" i="5"/>
  <c r="A84" i="5"/>
  <c r="A83" i="5"/>
  <c r="A82" i="5"/>
  <c r="A81" i="5"/>
  <c r="A80" i="5"/>
  <c r="A79" i="5"/>
  <c r="A78" i="5"/>
  <c r="A77" i="5"/>
  <c r="A76" i="5"/>
  <c r="A75" i="5"/>
  <c r="A74" i="5"/>
  <c r="A73" i="5"/>
  <c r="A72" i="5"/>
  <c r="A71" i="5"/>
  <c r="A70" i="5"/>
  <c r="A69" i="5"/>
  <c r="A68" i="5"/>
  <c r="A67" i="5"/>
  <c r="A66" i="5"/>
  <c r="A65" i="5"/>
  <c r="A64" i="5"/>
  <c r="A63" i="5"/>
  <c r="A62" i="5"/>
  <c r="A61" i="5"/>
  <c r="A60" i="5"/>
  <c r="A59" i="5"/>
  <c r="A58" i="5"/>
  <c r="A57" i="5"/>
  <c r="A56" i="5"/>
  <c r="A55" i="5"/>
  <c r="A54" i="5"/>
  <c r="A53" i="5"/>
  <c r="A52" i="5"/>
  <c r="A51" i="5"/>
  <c r="A50" i="5"/>
  <c r="A49" i="5"/>
  <c r="A48" i="5"/>
  <c r="A47" i="5"/>
  <c r="A46" i="5"/>
  <c r="A45" i="5"/>
  <c r="A44" i="5"/>
  <c r="A43" i="5"/>
  <c r="A42" i="5"/>
  <c r="A41" i="5"/>
  <c r="A40" i="5"/>
  <c r="A39" i="5"/>
  <c r="A37" i="5"/>
  <c r="A36" i="5"/>
  <c r="A35" i="5"/>
  <c r="A34" i="5"/>
  <c r="A33" i="5"/>
  <c r="A32" i="5"/>
  <c r="A31" i="5"/>
  <c r="A30" i="5"/>
  <c r="A29" i="5"/>
  <c r="A28" i="5"/>
  <c r="A27" i="5"/>
  <c r="A26" i="5"/>
  <c r="A25" i="5"/>
  <c r="A24" i="5"/>
  <c r="A23" i="5"/>
  <c r="A21" i="5"/>
  <c r="A20" i="5"/>
  <c r="A19" i="5"/>
  <c r="A18" i="5"/>
  <c r="A17" i="5"/>
  <c r="A16" i="5"/>
  <c r="A15" i="5"/>
  <c r="A14" i="5"/>
  <c r="A13" i="5"/>
  <c r="A12" i="5"/>
  <c r="A11" i="5"/>
  <c r="A10" i="5"/>
  <c r="A9" i="5"/>
  <c r="A8" i="5"/>
  <c r="A7" i="5"/>
  <c r="A6" i="5"/>
  <c r="A5" i="5"/>
  <c r="A4" i="5"/>
  <c r="A3" i="5"/>
  <c r="J6" i="5"/>
  <c r="K6" i="5" s="1"/>
  <c r="Y6" i="5" s="1"/>
  <c r="C94" i="5"/>
  <c r="D94" i="5"/>
  <c r="E94" i="5"/>
  <c r="O94" i="5"/>
  <c r="P94" i="5"/>
  <c r="Y94" i="5"/>
  <c r="C95" i="5"/>
  <c r="D95" i="5"/>
  <c r="E95" i="5"/>
  <c r="O95" i="5"/>
  <c r="L95" i="5" s="1"/>
  <c r="P95" i="5"/>
  <c r="Y95" i="5"/>
  <c r="C96" i="5"/>
  <c r="D96" i="5"/>
  <c r="E96" i="5"/>
  <c r="O96" i="5"/>
  <c r="L96" i="5" s="1"/>
  <c r="P96" i="5"/>
  <c r="Y96" i="5"/>
  <c r="C97" i="5"/>
  <c r="D97" i="5"/>
  <c r="E97" i="5"/>
  <c r="O97" i="5"/>
  <c r="P97" i="5"/>
  <c r="Y97" i="5"/>
  <c r="C98" i="5"/>
  <c r="D98" i="5"/>
  <c r="E98" i="5"/>
  <c r="G98" i="5"/>
  <c r="O98" i="5"/>
  <c r="P98" i="5"/>
  <c r="Y98" i="5"/>
  <c r="C99" i="5"/>
  <c r="D99" i="5"/>
  <c r="E99" i="5"/>
  <c r="G99" i="5"/>
  <c r="O99" i="5"/>
  <c r="P99" i="5"/>
  <c r="Y99" i="5"/>
  <c r="C100" i="5"/>
  <c r="D100" i="5"/>
  <c r="E100" i="5"/>
  <c r="G100" i="5"/>
  <c r="O100" i="5"/>
  <c r="P100" i="5"/>
  <c r="Y100" i="5"/>
  <c r="C101" i="5"/>
  <c r="D101" i="5"/>
  <c r="E101" i="5"/>
  <c r="G101" i="5"/>
  <c r="O101" i="5"/>
  <c r="P101" i="5"/>
  <c r="Y101" i="5"/>
  <c r="C102" i="5"/>
  <c r="D102" i="5"/>
  <c r="E102" i="5"/>
  <c r="G102" i="5"/>
  <c r="O102" i="5"/>
  <c r="P102" i="5"/>
  <c r="Y102" i="5"/>
  <c r="C103" i="5"/>
  <c r="D103" i="5"/>
  <c r="E103" i="5"/>
  <c r="G103" i="5"/>
  <c r="O103" i="5"/>
  <c r="P103" i="5"/>
  <c r="Y103" i="5"/>
  <c r="C104" i="5"/>
  <c r="D104" i="5"/>
  <c r="E104" i="5"/>
  <c r="G104" i="5"/>
  <c r="O104" i="5"/>
  <c r="P104" i="5"/>
  <c r="Y104" i="5"/>
  <c r="C105" i="5"/>
  <c r="D105" i="5"/>
  <c r="E105" i="5"/>
  <c r="G105" i="5"/>
  <c r="O105" i="5"/>
  <c r="P105" i="5"/>
  <c r="Y105" i="5"/>
  <c r="C106" i="5"/>
  <c r="D106" i="5"/>
  <c r="E106" i="5"/>
  <c r="G106" i="5"/>
  <c r="O106" i="5"/>
  <c r="P106" i="5"/>
  <c r="Y106" i="5"/>
  <c r="C107" i="5"/>
  <c r="D107" i="5"/>
  <c r="E107" i="5"/>
  <c r="G107" i="5"/>
  <c r="O107" i="5"/>
  <c r="L107" i="5" s="1"/>
  <c r="P107" i="5"/>
  <c r="Y107" i="5"/>
  <c r="C108" i="5"/>
  <c r="D108" i="5"/>
  <c r="E108" i="5"/>
  <c r="G108" i="5"/>
  <c r="O108" i="5"/>
  <c r="L108" i="5" s="1"/>
  <c r="P108" i="5"/>
  <c r="Y108" i="5"/>
  <c r="C109" i="5"/>
  <c r="D109" i="5"/>
  <c r="E109" i="5"/>
  <c r="G109" i="5"/>
  <c r="O109" i="5"/>
  <c r="P109" i="5"/>
  <c r="Y109" i="5"/>
  <c r="C110" i="5"/>
  <c r="D110" i="5"/>
  <c r="E110" i="5"/>
  <c r="G110" i="5"/>
  <c r="O110" i="5"/>
  <c r="P110" i="5"/>
  <c r="Y110" i="5"/>
  <c r="C111" i="5"/>
  <c r="D111" i="5"/>
  <c r="E111" i="5"/>
  <c r="G111" i="5"/>
  <c r="O111" i="5"/>
  <c r="P111" i="5"/>
  <c r="Y111" i="5"/>
  <c r="C112" i="5"/>
  <c r="D112" i="5"/>
  <c r="E112" i="5"/>
  <c r="G112" i="5"/>
  <c r="O112" i="5"/>
  <c r="P112" i="5"/>
  <c r="Y112" i="5"/>
  <c r="C92" i="5"/>
  <c r="D92" i="5"/>
  <c r="E92" i="5"/>
  <c r="O92" i="5"/>
  <c r="P92" i="5"/>
  <c r="Y92" i="5"/>
  <c r="B314" i="2"/>
  <c r="C314" i="2"/>
  <c r="D314" i="2"/>
  <c r="F314" i="2"/>
  <c r="M314" i="2"/>
  <c r="N314" i="2"/>
  <c r="V314" i="2"/>
  <c r="B244" i="2"/>
  <c r="C244" i="2"/>
  <c r="D244" i="2"/>
  <c r="F244" i="2"/>
  <c r="M244" i="2"/>
  <c r="J244" i="2" s="1"/>
  <c r="N244" i="2"/>
  <c r="V244" i="2"/>
  <c r="B176" i="2"/>
  <c r="C176" i="2"/>
  <c r="D176" i="2"/>
  <c r="F176" i="2"/>
  <c r="M176" i="2"/>
  <c r="N176" i="2"/>
  <c r="V176" i="2"/>
  <c r="B5" i="2"/>
  <c r="C5" i="2"/>
  <c r="D5" i="2"/>
  <c r="F5" i="2"/>
  <c r="M5" i="2"/>
  <c r="N5" i="2"/>
  <c r="K5" i="2" s="1"/>
  <c r="V5" i="2"/>
  <c r="B508" i="2"/>
  <c r="C508" i="2"/>
  <c r="D508" i="2"/>
  <c r="F508" i="2"/>
  <c r="M508" i="2"/>
  <c r="N508" i="2"/>
  <c r="V508" i="2"/>
  <c r="B383" i="2"/>
  <c r="C383" i="2"/>
  <c r="D383" i="2"/>
  <c r="F383" i="2"/>
  <c r="M383" i="2"/>
  <c r="J383" i="2" s="1"/>
  <c r="N383" i="2"/>
  <c r="V383" i="2"/>
  <c r="V388" i="2"/>
  <c r="O4" i="5"/>
  <c r="P4" i="5"/>
  <c r="Y4" i="5"/>
  <c r="O5" i="5"/>
  <c r="P5" i="5"/>
  <c r="Y5" i="5"/>
  <c r="O6" i="5"/>
  <c r="P6" i="5"/>
  <c r="O7" i="5"/>
  <c r="P7" i="5"/>
  <c r="O8" i="5"/>
  <c r="P8" i="5"/>
  <c r="O9" i="5"/>
  <c r="P9" i="5"/>
  <c r="O10" i="5"/>
  <c r="P10" i="5"/>
  <c r="O11" i="5"/>
  <c r="P11" i="5"/>
  <c r="O12" i="5"/>
  <c r="P12" i="5"/>
  <c r="O13" i="5"/>
  <c r="P13" i="5"/>
  <c r="O14" i="5"/>
  <c r="P14" i="5"/>
  <c r="O15" i="5"/>
  <c r="P15" i="5"/>
  <c r="O16" i="5"/>
  <c r="P16" i="5"/>
  <c r="O17" i="5"/>
  <c r="P17" i="5"/>
  <c r="O18" i="5"/>
  <c r="P18" i="5"/>
  <c r="O19" i="5"/>
  <c r="P19" i="5"/>
  <c r="O20" i="5"/>
  <c r="P20" i="5"/>
  <c r="Y20" i="5"/>
  <c r="O21" i="5"/>
  <c r="P21" i="5"/>
  <c r="O23" i="5"/>
  <c r="P23" i="5"/>
  <c r="O24" i="5"/>
  <c r="P24" i="5"/>
  <c r="O25" i="5"/>
  <c r="P25" i="5"/>
  <c r="O26" i="5"/>
  <c r="P26" i="5"/>
  <c r="O27" i="5"/>
  <c r="P27" i="5"/>
  <c r="O28" i="5"/>
  <c r="P28" i="5"/>
  <c r="O29" i="5"/>
  <c r="P29" i="5"/>
  <c r="O30" i="5"/>
  <c r="P30" i="5"/>
  <c r="O31" i="5"/>
  <c r="P31" i="5"/>
  <c r="O32" i="5"/>
  <c r="P32" i="5"/>
  <c r="O33" i="5"/>
  <c r="P33" i="5"/>
  <c r="O34" i="5"/>
  <c r="P34" i="5"/>
  <c r="O35" i="5"/>
  <c r="P35" i="5"/>
  <c r="O36" i="5"/>
  <c r="P36" i="5"/>
  <c r="Y36" i="5"/>
  <c r="O37" i="5"/>
  <c r="P37" i="5"/>
  <c r="O39" i="5"/>
  <c r="P39" i="5"/>
  <c r="O40" i="5"/>
  <c r="P40" i="5"/>
  <c r="O41" i="5"/>
  <c r="P41" i="5"/>
  <c r="O42" i="5"/>
  <c r="P42" i="5"/>
  <c r="O43" i="5"/>
  <c r="P43" i="5"/>
  <c r="O44" i="5"/>
  <c r="P44" i="5"/>
  <c r="O45" i="5"/>
  <c r="P45" i="5"/>
  <c r="O46" i="5"/>
  <c r="P46" i="5"/>
  <c r="O47" i="5"/>
  <c r="P47" i="5"/>
  <c r="O48" i="5"/>
  <c r="P48" i="5"/>
  <c r="O49" i="5"/>
  <c r="P49" i="5"/>
  <c r="O50" i="5"/>
  <c r="P50" i="5"/>
  <c r="O51" i="5"/>
  <c r="P51" i="5"/>
  <c r="O52" i="5"/>
  <c r="P52" i="5"/>
  <c r="Y52" i="5"/>
  <c r="O53" i="5"/>
  <c r="P53" i="5"/>
  <c r="Y53" i="5"/>
  <c r="O54" i="5"/>
  <c r="P54" i="5"/>
  <c r="Y54" i="5"/>
  <c r="O55" i="5"/>
  <c r="P55" i="5"/>
  <c r="Y55" i="5"/>
  <c r="O56" i="5"/>
  <c r="P56" i="5"/>
  <c r="Y56" i="5"/>
  <c r="O57" i="5"/>
  <c r="P57" i="5"/>
  <c r="O58" i="5"/>
  <c r="P58" i="5"/>
  <c r="O59" i="5"/>
  <c r="P59" i="5"/>
  <c r="O60" i="5"/>
  <c r="P60" i="5"/>
  <c r="O61" i="5"/>
  <c r="P61" i="5"/>
  <c r="Y61" i="5"/>
  <c r="O62" i="5"/>
  <c r="P62" i="5"/>
  <c r="O63" i="5"/>
  <c r="P63" i="5"/>
  <c r="O64" i="5"/>
  <c r="P64" i="5"/>
  <c r="O65" i="5"/>
  <c r="P65" i="5"/>
  <c r="O66" i="5"/>
  <c r="P66" i="5"/>
  <c r="O67" i="5"/>
  <c r="P67" i="5"/>
  <c r="O68" i="5"/>
  <c r="P68" i="5"/>
  <c r="O69" i="5"/>
  <c r="P69" i="5"/>
  <c r="Y69" i="5"/>
  <c r="O70" i="5"/>
  <c r="P70" i="5"/>
  <c r="O71" i="5"/>
  <c r="P71" i="5"/>
  <c r="O72" i="5"/>
  <c r="P72" i="5"/>
  <c r="Y72" i="5"/>
  <c r="O73" i="5"/>
  <c r="P73" i="5"/>
  <c r="O74" i="5"/>
  <c r="P74" i="5"/>
  <c r="Y74" i="5"/>
  <c r="O75" i="5"/>
  <c r="P75" i="5"/>
  <c r="O76" i="5"/>
  <c r="P76" i="5"/>
  <c r="Y76" i="5"/>
  <c r="O77" i="5"/>
  <c r="P77" i="5"/>
  <c r="O78" i="5"/>
  <c r="P78" i="5"/>
  <c r="O79" i="5"/>
  <c r="P79" i="5"/>
  <c r="O80" i="5"/>
  <c r="P80" i="5"/>
  <c r="O81" i="5"/>
  <c r="P81" i="5"/>
  <c r="O82" i="5"/>
  <c r="P82" i="5"/>
  <c r="O83" i="5"/>
  <c r="P83" i="5"/>
  <c r="O84" i="5"/>
  <c r="P84" i="5"/>
  <c r="O85" i="5"/>
  <c r="P85" i="5"/>
  <c r="O86" i="5"/>
  <c r="P86" i="5"/>
  <c r="Y86" i="5"/>
  <c r="O87" i="5"/>
  <c r="P87" i="5"/>
  <c r="O88" i="5"/>
  <c r="P88" i="5"/>
  <c r="O89" i="5"/>
  <c r="P89" i="5"/>
  <c r="O90" i="5"/>
  <c r="P90" i="5"/>
  <c r="O91" i="5"/>
  <c r="P91" i="5"/>
  <c r="Y3" i="5"/>
  <c r="P3" i="5"/>
  <c r="O3" i="5"/>
  <c r="C4" i="5"/>
  <c r="C5" i="5"/>
  <c r="C6" i="5"/>
  <c r="C7" i="5"/>
  <c r="C8" i="5"/>
  <c r="C9" i="5"/>
  <c r="C10" i="5"/>
  <c r="C11" i="5"/>
  <c r="C12" i="5"/>
  <c r="C13" i="5"/>
  <c r="C14" i="5"/>
  <c r="C15" i="5"/>
  <c r="C16" i="5"/>
  <c r="C17" i="5"/>
  <c r="C18" i="5"/>
  <c r="C19" i="5"/>
  <c r="C20" i="5"/>
  <c r="C21" i="5"/>
  <c r="C23" i="5"/>
  <c r="C24" i="5"/>
  <c r="C25" i="5"/>
  <c r="C26" i="5"/>
  <c r="C27" i="5"/>
  <c r="C28" i="5"/>
  <c r="C29" i="5"/>
  <c r="C30" i="5"/>
  <c r="C31" i="5"/>
  <c r="C32" i="5"/>
  <c r="C33" i="5"/>
  <c r="C34" i="5"/>
  <c r="C35" i="5"/>
  <c r="C36" i="5"/>
  <c r="C37" i="5"/>
  <c r="C39" i="5"/>
  <c r="C40" i="5"/>
  <c r="C41" i="5"/>
  <c r="C42" i="5"/>
  <c r="C43" i="5"/>
  <c r="C44" i="5"/>
  <c r="C45" i="5"/>
  <c r="C46" i="5"/>
  <c r="C47" i="5"/>
  <c r="C48" i="5"/>
  <c r="C49" i="5"/>
  <c r="C50" i="5"/>
  <c r="C51" i="5"/>
  <c r="C52" i="5"/>
  <c r="C53" i="5"/>
  <c r="C54" i="5"/>
  <c r="C55" i="5"/>
  <c r="C56" i="5"/>
  <c r="C57" i="5"/>
  <c r="C58" i="5"/>
  <c r="C59" i="5"/>
  <c r="C60" i="5"/>
  <c r="C61" i="5"/>
  <c r="C62" i="5"/>
  <c r="C63" i="5"/>
  <c r="C64" i="5"/>
  <c r="C65" i="5"/>
  <c r="C66" i="5"/>
  <c r="C67" i="5"/>
  <c r="C68" i="5"/>
  <c r="C69" i="5"/>
  <c r="C70" i="5"/>
  <c r="C71" i="5"/>
  <c r="C72" i="5"/>
  <c r="C73" i="5"/>
  <c r="C74" i="5"/>
  <c r="C75" i="5"/>
  <c r="C76" i="5"/>
  <c r="C77" i="5"/>
  <c r="C78" i="5"/>
  <c r="C79" i="5"/>
  <c r="C80" i="5"/>
  <c r="C81" i="5"/>
  <c r="C82" i="5"/>
  <c r="C83" i="5"/>
  <c r="C84" i="5"/>
  <c r="C85" i="5"/>
  <c r="C86" i="5"/>
  <c r="C87" i="5"/>
  <c r="C88" i="5"/>
  <c r="C89" i="5"/>
  <c r="C90" i="5"/>
  <c r="C91" i="5"/>
  <c r="C3" i="5"/>
  <c r="Q106" i="4"/>
  <c r="Q6" i="4"/>
  <c r="D27" i="5"/>
  <c r="D40" i="5"/>
  <c r="D52" i="5"/>
  <c r="D64" i="5"/>
  <c r="D76" i="5"/>
  <c r="D88" i="5"/>
  <c r="P89" i="4"/>
  <c r="P90" i="4"/>
  <c r="P91" i="4"/>
  <c r="P92" i="4"/>
  <c r="P93" i="4"/>
  <c r="P94" i="4"/>
  <c r="P95" i="4"/>
  <c r="P96" i="4"/>
  <c r="P97" i="4"/>
  <c r="P98" i="4"/>
  <c r="P99" i="4"/>
  <c r="P100" i="4"/>
  <c r="P101" i="4"/>
  <c r="P102" i="4"/>
  <c r="P103" i="4"/>
  <c r="F107" i="5" s="1"/>
  <c r="P104" i="4"/>
  <c r="P105" i="4"/>
  <c r="P106" i="4"/>
  <c r="P107" i="4"/>
  <c r="P108" i="4"/>
  <c r="F112" i="5" s="1"/>
  <c r="B3" i="2"/>
  <c r="B278" i="2"/>
  <c r="B559" i="2"/>
  <c r="B4" i="2"/>
  <c r="B444" i="2"/>
  <c r="B445" i="2"/>
  <c r="B446" i="2"/>
  <c r="B447" i="2"/>
  <c r="B6" i="2"/>
  <c r="B448" i="2"/>
  <c r="B7" i="2"/>
  <c r="B8" i="2"/>
  <c r="B9" i="2"/>
  <c r="B10" i="2"/>
  <c r="B451" i="2"/>
  <c r="B452" i="2"/>
  <c r="B453" i="2"/>
  <c r="B11" i="2"/>
  <c r="B12" i="2"/>
  <c r="B458" i="2"/>
  <c r="B13" i="2"/>
  <c r="B14" i="2"/>
  <c r="B15" i="2"/>
  <c r="B16" i="2"/>
  <c r="B17" i="2"/>
  <c r="B18" i="2"/>
  <c r="B19" i="2"/>
  <c r="B21" i="2"/>
  <c r="B22" i="2"/>
  <c r="B23" i="2"/>
  <c r="B24" i="2"/>
  <c r="B26" i="2"/>
  <c r="B27" i="2"/>
  <c r="B28" i="2"/>
  <c r="B29" i="2"/>
  <c r="B30" i="2"/>
  <c r="B31" i="2"/>
  <c r="B32" i="2"/>
  <c r="B33" i="2"/>
  <c r="B34" i="2"/>
  <c r="B35" i="2"/>
  <c r="B36" i="2"/>
  <c r="B37" i="2"/>
  <c r="B38" i="2"/>
  <c r="B459" i="2"/>
  <c r="B39" i="2"/>
  <c r="B40" i="2"/>
  <c r="B41" i="2"/>
  <c r="B42" i="2"/>
  <c r="B43" i="2"/>
  <c r="B44" i="2"/>
  <c r="B45" i="2"/>
  <c r="B46" i="2"/>
  <c r="B47" i="2"/>
  <c r="B48" i="2"/>
  <c r="B50" i="2"/>
  <c r="B51" i="2"/>
  <c r="B93" i="2"/>
  <c r="B52" i="2"/>
  <c r="B53" i="2"/>
  <c r="B54" i="2"/>
  <c r="B55" i="2"/>
  <c r="B56" i="2"/>
  <c r="B57" i="2"/>
  <c r="B58" i="2"/>
  <c r="B59" i="2"/>
  <c r="B60" i="2"/>
  <c r="B61" i="2"/>
  <c r="B62" i="2"/>
  <c r="B63" i="2"/>
  <c r="B64" i="2"/>
  <c r="B65" i="2"/>
  <c r="B66" i="2"/>
  <c r="B67" i="2"/>
  <c r="B68" i="2"/>
  <c r="B69" i="2"/>
  <c r="B70" i="2"/>
  <c r="B71" i="2"/>
  <c r="B72" i="2"/>
  <c r="B73" i="2"/>
  <c r="B74" i="2"/>
  <c r="B75" i="2"/>
  <c r="B76" i="2"/>
  <c r="B77" i="2"/>
  <c r="B84" i="2"/>
  <c r="B85" i="2"/>
  <c r="B86" i="2"/>
  <c r="B87" i="2"/>
  <c r="B78" i="2"/>
  <c r="B88" i="2"/>
  <c r="B79" i="2"/>
  <c r="B89" i="2"/>
  <c r="B90" i="2"/>
  <c r="B91" i="2"/>
  <c r="B80" i="2"/>
  <c r="B81" i="2"/>
  <c r="B92" i="2"/>
  <c r="B82" i="2"/>
  <c r="B94" i="2"/>
  <c r="B95" i="2"/>
  <c r="B479" i="2"/>
  <c r="B96" i="2"/>
  <c r="B97" i="2"/>
  <c r="B83" i="2"/>
  <c r="B478" i="2"/>
  <c r="B480" i="2"/>
  <c r="B481" i="2"/>
  <c r="B98" i="2"/>
  <c r="B99" i="2"/>
  <c r="B100" i="2"/>
  <c r="B101" i="2"/>
  <c r="B102" i="2"/>
  <c r="B103" i="2"/>
  <c r="B104" i="2"/>
  <c r="B105" i="2"/>
  <c r="B106" i="2"/>
  <c r="B107" i="2"/>
  <c r="B108" i="2"/>
  <c r="B109" i="2"/>
  <c r="B115" i="2"/>
  <c r="B110" i="2"/>
  <c r="B111" i="2"/>
  <c r="B112" i="2"/>
  <c r="B113" i="2"/>
  <c r="B486" i="2"/>
  <c r="B116" i="2"/>
  <c r="B117" i="2"/>
  <c r="B118" i="2"/>
  <c r="B119" i="2"/>
  <c r="B120" i="2"/>
  <c r="B121" i="2"/>
  <c r="B122" i="2"/>
  <c r="B123" i="2"/>
  <c r="B124" i="2"/>
  <c r="B487" i="2"/>
  <c r="B125" i="2"/>
  <c r="B126" i="2"/>
  <c r="B127" i="2"/>
  <c r="B128" i="2"/>
  <c r="B157" i="2"/>
  <c r="B129" i="2"/>
  <c r="B130" i="2"/>
  <c r="B131" i="2"/>
  <c r="B490" i="2"/>
  <c r="B132" i="2"/>
  <c r="B133" i="2"/>
  <c r="B134" i="2"/>
  <c r="B135" i="2"/>
  <c r="B491" i="2"/>
  <c r="B136" i="2"/>
  <c r="B137" i="2"/>
  <c r="B484" i="2"/>
  <c r="B138" i="2"/>
  <c r="B139" i="2"/>
  <c r="B158" i="2"/>
  <c r="B140" i="2"/>
  <c r="B141" i="2"/>
  <c r="B142" i="2"/>
  <c r="B143" i="2"/>
  <c r="B144" i="2"/>
  <c r="B145" i="2"/>
  <c r="B146" i="2"/>
  <c r="B147" i="2"/>
  <c r="B148" i="2"/>
  <c r="B149" i="2"/>
  <c r="B159" i="2"/>
  <c r="B150" i="2"/>
  <c r="B151" i="2"/>
  <c r="B152" i="2"/>
  <c r="B153" i="2"/>
  <c r="B154" i="2"/>
  <c r="B155" i="2"/>
  <c r="B156" i="2"/>
  <c r="B160" i="2"/>
  <c r="B161" i="2"/>
  <c r="B162" i="2"/>
  <c r="B163" i="2"/>
  <c r="B164" i="2"/>
  <c r="B177" i="2"/>
  <c r="B165" i="2"/>
  <c r="B502" i="2"/>
  <c r="B166" i="2"/>
  <c r="B178" i="2"/>
  <c r="B503" i="2"/>
  <c r="B167" i="2"/>
  <c r="B504" i="2"/>
  <c r="B168" i="2"/>
  <c r="B169" i="2"/>
  <c r="B170" i="2"/>
  <c r="B171" i="2"/>
  <c r="B172" i="2"/>
  <c r="B173" i="2"/>
  <c r="B174" i="2"/>
  <c r="B175" i="2"/>
  <c r="B204" i="2"/>
  <c r="B179" i="2"/>
  <c r="B180" i="2"/>
  <c r="B181" i="2"/>
  <c r="B182" i="2"/>
  <c r="B183" i="2"/>
  <c r="B184" i="2"/>
  <c r="B185" i="2"/>
  <c r="B186" i="2"/>
  <c r="B187" i="2"/>
  <c r="B188" i="2"/>
  <c r="B189" i="2"/>
  <c r="B190" i="2"/>
  <c r="B514" i="2"/>
  <c r="B192" i="2"/>
  <c r="B193" i="2"/>
  <c r="B526" i="2"/>
  <c r="B194" i="2"/>
  <c r="B195" i="2"/>
  <c r="B196" i="2"/>
  <c r="B197" i="2"/>
  <c r="B198" i="2"/>
  <c r="B199" i="2"/>
  <c r="B532" i="2"/>
  <c r="B205" i="2"/>
  <c r="B524" i="2"/>
  <c r="B200" i="2"/>
  <c r="B201" i="2"/>
  <c r="B202" i="2"/>
  <c r="B203" i="2"/>
  <c r="B206" i="2"/>
  <c r="B527" i="2"/>
  <c r="B207" i="2"/>
  <c r="B208" i="2"/>
  <c r="B528" i="2"/>
  <c r="B209" i="2"/>
  <c r="B210" i="2"/>
  <c r="B211" i="2"/>
  <c r="B212" i="2"/>
  <c r="B213" i="2"/>
  <c r="B214" i="2"/>
  <c r="B218" i="2"/>
  <c r="B529" i="2"/>
  <c r="B215" i="2"/>
  <c r="B277" i="2"/>
  <c r="B219" i="2"/>
  <c r="B191" i="2"/>
  <c r="B220" i="2"/>
  <c r="B221" i="2"/>
  <c r="B222" i="2"/>
  <c r="B533" i="2"/>
  <c r="B530" i="2"/>
  <c r="B223" i="2"/>
  <c r="B224" i="2"/>
  <c r="B225" i="2"/>
  <c r="B226" i="2"/>
  <c r="B227" i="2"/>
  <c r="B216" i="2"/>
  <c r="B231" i="2"/>
  <c r="B232" i="2"/>
  <c r="B233" i="2"/>
  <c r="B234" i="2"/>
  <c r="B235" i="2"/>
  <c r="B236" i="2"/>
  <c r="B237" i="2"/>
  <c r="B238" i="2"/>
  <c r="B239" i="2"/>
  <c r="B240" i="2"/>
  <c r="B241" i="2"/>
  <c r="B242" i="2"/>
  <c r="B243" i="2"/>
  <c r="B217" i="2"/>
  <c r="B540" i="2"/>
  <c r="B247" i="2"/>
  <c r="B248" i="2"/>
  <c r="B545" i="2"/>
  <c r="B250" i="2"/>
  <c r="B249" i="2"/>
  <c r="B228" i="2"/>
  <c r="B550" i="2"/>
  <c r="B229" i="2"/>
  <c r="B256" i="2"/>
  <c r="B251" i="2"/>
  <c r="B252" i="2"/>
  <c r="B253" i="2"/>
  <c r="B257" i="2"/>
  <c r="B258" i="2"/>
  <c r="B259" i="2"/>
  <c r="B260" i="2"/>
  <c r="B261" i="2"/>
  <c r="B262" i="2"/>
  <c r="B263" i="2"/>
  <c r="B268" i="2"/>
  <c r="B264" i="2"/>
  <c r="B265" i="2"/>
  <c r="B266" i="2"/>
  <c r="B267" i="2"/>
  <c r="B546" i="2"/>
  <c r="B282" i="2"/>
  <c r="B254" i="2"/>
  <c r="B269" i="2"/>
  <c r="B270" i="2"/>
  <c r="B273" i="2"/>
  <c r="B274" i="2"/>
  <c r="B553" i="2"/>
  <c r="B275" i="2"/>
  <c r="B276" i="2"/>
  <c r="B279" i="2"/>
  <c r="B280" i="2"/>
  <c r="B271" i="2"/>
  <c r="B281" i="2"/>
  <c r="B283" i="2"/>
  <c r="B556" i="2"/>
  <c r="B290" i="2"/>
  <c r="B291" i="2"/>
  <c r="B292" i="2"/>
  <c r="B293" i="2"/>
  <c r="B296" i="2"/>
  <c r="B309" i="2"/>
  <c r="B294" i="2"/>
  <c r="B557" i="2"/>
  <c r="B297" i="2"/>
  <c r="B298" i="2"/>
  <c r="B318" i="2"/>
  <c r="B299" i="2"/>
  <c r="B300" i="2"/>
  <c r="B284" i="2"/>
  <c r="B285" i="2"/>
  <c r="B301" i="2"/>
  <c r="B302" i="2"/>
  <c r="B303" i="2"/>
  <c r="B304" i="2"/>
  <c r="B305" i="2"/>
  <c r="B306" i="2"/>
  <c r="B307" i="2"/>
  <c r="B310" i="2"/>
  <c r="B561" i="2"/>
  <c r="B311" i="2"/>
  <c r="B312" i="2"/>
  <c r="B316" i="2"/>
  <c r="B350" i="2"/>
  <c r="B338" i="2"/>
  <c r="B562" i="2"/>
  <c r="B563" i="2"/>
  <c r="B564" i="2"/>
  <c r="B295" i="2"/>
  <c r="B319" i="2"/>
  <c r="B320" i="2"/>
  <c r="B321" i="2"/>
  <c r="B322" i="2"/>
  <c r="B339" i="2"/>
  <c r="B340" i="2"/>
  <c r="B323" i="2"/>
  <c r="B324" i="2"/>
  <c r="B325" i="2"/>
  <c r="B326" i="2"/>
  <c r="B328" i="2"/>
  <c r="B329" i="2"/>
  <c r="B330" i="2"/>
  <c r="B331" i="2"/>
  <c r="B332" i="2"/>
  <c r="B333" i="2"/>
  <c r="B334" i="2"/>
  <c r="B335" i="2"/>
  <c r="B286" i="2"/>
  <c r="B287" i="2"/>
  <c r="B570" i="2"/>
  <c r="B341" i="2"/>
  <c r="B342" i="2"/>
  <c r="B344" i="2"/>
  <c r="B345" i="2"/>
  <c r="B343" i="2"/>
  <c r="B346" i="2"/>
  <c r="B347" i="2"/>
  <c r="B348" i="2"/>
  <c r="B317" i="2"/>
  <c r="B349" i="2"/>
  <c r="B336" i="2"/>
  <c r="B354" i="2"/>
  <c r="B351" i="2"/>
  <c r="B352" i="2"/>
  <c r="B353" i="2"/>
  <c r="B579" i="2"/>
  <c r="B355" i="2"/>
  <c r="B356" i="2"/>
  <c r="B357" i="2"/>
  <c r="B581" i="2"/>
  <c r="B582" i="2"/>
  <c r="B358" i="2"/>
  <c r="B359" i="2"/>
  <c r="B584" i="2"/>
  <c r="B362" i="2"/>
  <c r="B363" i="2"/>
  <c r="B364" i="2"/>
  <c r="B587" i="2"/>
  <c r="B367" i="2"/>
  <c r="B588" i="2"/>
  <c r="B591" i="2"/>
  <c r="B369" i="2"/>
  <c r="B370" i="2"/>
  <c r="B371" i="2"/>
  <c r="B368" i="2"/>
  <c r="B372" i="2"/>
  <c r="B373" i="2"/>
  <c r="B374" i="2"/>
  <c r="B375" i="2"/>
  <c r="B380" i="2"/>
  <c r="B376" i="2"/>
  <c r="B384" i="2"/>
  <c r="B381" i="2"/>
  <c r="B385" i="2"/>
  <c r="B25" i="2"/>
  <c r="B288" i="2"/>
  <c r="B289" i="2"/>
  <c r="B377" i="2"/>
  <c r="B378" i="2"/>
  <c r="B230" i="2"/>
  <c r="B337" i="2"/>
  <c r="B560" i="2"/>
  <c r="B386" i="2"/>
  <c r="B379" i="2"/>
  <c r="B327" i="2"/>
  <c r="B382" i="2"/>
  <c r="B387" i="2"/>
  <c r="B365" i="2"/>
  <c r="B366" i="2"/>
  <c r="B20" i="2"/>
  <c r="B468" i="2"/>
  <c r="B470" i="2"/>
  <c r="B471" i="2"/>
  <c r="B472" i="2"/>
  <c r="B473" i="2"/>
  <c r="B474" i="2"/>
  <c r="B475" i="2"/>
  <c r="B476" i="2"/>
  <c r="B477" i="2"/>
  <c r="B482" i="2"/>
  <c r="B483" i="2"/>
  <c r="B485" i="2"/>
  <c r="B272" i="2"/>
  <c r="B488" i="2"/>
  <c r="B489" i="2"/>
  <c r="B492" i="2"/>
  <c r="B493" i="2"/>
  <c r="B494" i="2"/>
  <c r="B495" i="2"/>
  <c r="B496" i="2"/>
  <c r="B497" i="2"/>
  <c r="B498" i="2"/>
  <c r="B499" i="2"/>
  <c r="B500" i="2"/>
  <c r="B501" i="2"/>
  <c r="B505" i="2"/>
  <c r="B506" i="2"/>
  <c r="B507" i="2"/>
  <c r="B509" i="2"/>
  <c r="B510" i="2"/>
  <c r="B511" i="2"/>
  <c r="B512" i="2"/>
  <c r="B513" i="2"/>
  <c r="B515" i="2"/>
  <c r="B516" i="2"/>
  <c r="B517" i="2"/>
  <c r="B518" i="2"/>
  <c r="B519" i="2"/>
  <c r="B520" i="2"/>
  <c r="B521" i="2"/>
  <c r="B522" i="2"/>
  <c r="B523" i="2"/>
  <c r="B525" i="2"/>
  <c r="B531" i="2"/>
  <c r="B534" i="2"/>
  <c r="B308" i="2"/>
  <c r="B535" i="2"/>
  <c r="B536" i="2"/>
  <c r="B537" i="2"/>
  <c r="B538" i="2"/>
  <c r="B539" i="2"/>
  <c r="B541" i="2"/>
  <c r="B542" i="2"/>
  <c r="B543" i="2"/>
  <c r="B544" i="2"/>
  <c r="B547" i="2"/>
  <c r="B548" i="2"/>
  <c r="B549" i="2"/>
  <c r="B551" i="2"/>
  <c r="B552" i="2"/>
  <c r="B554" i="2"/>
  <c r="B567" i="2"/>
  <c r="B555" i="2"/>
  <c r="B558" i="2"/>
  <c r="B565" i="2"/>
  <c r="B568" i="2"/>
  <c r="B572" i="2"/>
  <c r="B569" i="2"/>
  <c r="B571" i="2"/>
  <c r="B589" i="2"/>
  <c r="B573" i="2"/>
  <c r="B574" i="2"/>
  <c r="B575" i="2"/>
  <c r="B576" i="2"/>
  <c r="B577" i="2"/>
  <c r="B578" i="2"/>
  <c r="B580" i="2"/>
  <c r="B360" i="2"/>
  <c r="B583" i="2"/>
  <c r="B585" i="2"/>
  <c r="B586" i="2"/>
  <c r="B469" i="2"/>
  <c r="B467" i="2"/>
  <c r="B465" i="2"/>
  <c r="B466" i="2"/>
  <c r="B460" i="2"/>
  <c r="B461" i="2"/>
  <c r="B454" i="2"/>
  <c r="B455" i="2"/>
  <c r="B456" i="2"/>
  <c r="B450" i="2"/>
  <c r="B449" i="2"/>
  <c r="B389" i="2"/>
  <c r="B390" i="2"/>
  <c r="B391" i="2"/>
  <c r="B392" i="2"/>
  <c r="B393" i="2"/>
  <c r="B394" i="2"/>
  <c r="B395" i="2"/>
  <c r="B396" i="2"/>
  <c r="B397" i="2"/>
  <c r="B398" i="2"/>
  <c r="B399" i="2"/>
  <c r="B400" i="2"/>
  <c r="B401" i="2"/>
  <c r="B402" i="2"/>
  <c r="B403" i="2"/>
  <c r="B404" i="2"/>
  <c r="B590" i="2"/>
  <c r="B405" i="2"/>
  <c r="B406" i="2"/>
  <c r="B407" i="2"/>
  <c r="B408" i="2"/>
  <c r="B409" i="2"/>
  <c r="B410" i="2"/>
  <c r="B411" i="2"/>
  <c r="B412" i="2"/>
  <c r="B413" i="2"/>
  <c r="B414" i="2"/>
  <c r="B415" i="2"/>
  <c r="B416" i="2"/>
  <c r="B417" i="2"/>
  <c r="B418" i="2"/>
  <c r="B419" i="2"/>
  <c r="B420" i="2"/>
  <c r="B421" i="2"/>
  <c r="B422" i="2"/>
  <c r="B423" i="2"/>
  <c r="B424" i="2"/>
  <c r="B425" i="2"/>
  <c r="B426" i="2"/>
  <c r="B427" i="2"/>
  <c r="B428" i="2"/>
  <c r="B114" i="2"/>
  <c r="B429" i="2"/>
  <c r="B430" i="2"/>
  <c r="B431" i="2"/>
  <c r="B432" i="2"/>
  <c r="B433" i="2"/>
  <c r="B434" i="2"/>
  <c r="B435" i="2"/>
  <c r="B436" i="2"/>
  <c r="B437" i="2"/>
  <c r="B438" i="2"/>
  <c r="B439" i="2"/>
  <c r="B440" i="2"/>
  <c r="B441" i="2"/>
  <c r="B442" i="2"/>
  <c r="B566" i="2"/>
  <c r="B443" i="2"/>
  <c r="B313" i="2"/>
  <c r="B462" i="2"/>
  <c r="B463" i="2"/>
  <c r="B464" i="2"/>
  <c r="B457" i="2"/>
  <c r="B388" i="2"/>
  <c r="C448" i="2"/>
  <c r="N14" i="2"/>
  <c r="C27" i="2"/>
  <c r="D28" i="2"/>
  <c r="F459" i="2"/>
  <c r="D45" i="2"/>
  <c r="C93" i="2"/>
  <c r="N62" i="2"/>
  <c r="D63" i="2"/>
  <c r="M75" i="2"/>
  <c r="D90" i="2"/>
  <c r="C91" i="2"/>
  <c r="F83" i="2"/>
  <c r="M478" i="2"/>
  <c r="D106" i="2"/>
  <c r="D117" i="2"/>
  <c r="M118" i="2"/>
  <c r="C127" i="2"/>
  <c r="N128" i="2"/>
  <c r="F137" i="2"/>
  <c r="C146" i="2"/>
  <c r="C147" i="2"/>
  <c r="D151" i="2"/>
  <c r="C152" i="2"/>
  <c r="C155" i="2"/>
  <c r="F156" i="2"/>
  <c r="F160" i="2"/>
  <c r="C161" i="2"/>
  <c r="D162" i="2"/>
  <c r="C165" i="2"/>
  <c r="D502" i="2"/>
  <c r="D166" i="2"/>
  <c r="C178" i="2"/>
  <c r="M167" i="2"/>
  <c r="C168" i="2"/>
  <c r="D172" i="2"/>
  <c r="C173" i="2"/>
  <c r="D174" i="2"/>
  <c r="F180" i="2"/>
  <c r="F182" i="2"/>
  <c r="C183" i="2"/>
  <c r="C187" i="2"/>
  <c r="C189" i="2"/>
  <c r="F190" i="2"/>
  <c r="N192" i="2"/>
  <c r="C526" i="2"/>
  <c r="F197" i="2"/>
  <c r="C198" i="2"/>
  <c r="D199" i="2"/>
  <c r="C532" i="2"/>
  <c r="F524" i="2"/>
  <c r="F200" i="2"/>
  <c r="C202" i="2"/>
  <c r="C207" i="2"/>
  <c r="C208" i="2"/>
  <c r="D209" i="2"/>
  <c r="F210" i="2"/>
  <c r="F211" i="2"/>
  <c r="M212" i="2"/>
  <c r="C213" i="2"/>
  <c r="C214" i="2"/>
  <c r="C218" i="2"/>
  <c r="C219" i="2"/>
  <c r="D222" i="2"/>
  <c r="N533" i="2"/>
  <c r="D530" i="2"/>
  <c r="F223" i="2"/>
  <c r="F225" i="2"/>
  <c r="C216" i="2"/>
  <c r="C232" i="2"/>
  <c r="C233" i="2"/>
  <c r="F234" i="2"/>
  <c r="D235" i="2"/>
  <c r="N237" i="2"/>
  <c r="C238" i="2"/>
  <c r="M239" i="2"/>
  <c r="C241" i="2"/>
  <c r="C243" i="2"/>
  <c r="C217" i="2"/>
  <c r="D540" i="2"/>
  <c r="F248" i="2"/>
  <c r="C229" i="2"/>
  <c r="C256" i="2"/>
  <c r="D252" i="2"/>
  <c r="F253" i="2"/>
  <c r="F257" i="2"/>
  <c r="D258" i="2"/>
  <c r="C259" i="2"/>
  <c r="D260" i="2"/>
  <c r="D268" i="2"/>
  <c r="F266" i="2"/>
  <c r="D267" i="2"/>
  <c r="C546" i="2"/>
  <c r="D282" i="2"/>
  <c r="D274" i="2"/>
  <c r="C276" i="2"/>
  <c r="C279" i="2"/>
  <c r="D280" i="2"/>
  <c r="C271" i="2"/>
  <c r="C296" i="2"/>
  <c r="C309" i="2"/>
  <c r="C557" i="2"/>
  <c r="C297" i="2"/>
  <c r="F298" i="2"/>
  <c r="F299" i="2"/>
  <c r="C300" i="2"/>
  <c r="C284" i="2"/>
  <c r="C285" i="2"/>
  <c r="C302" i="2"/>
  <c r="C303" i="2"/>
  <c r="C304" i="2"/>
  <c r="C305" i="2"/>
  <c r="F306" i="2"/>
  <c r="F307" i="2"/>
  <c r="D310" i="2"/>
  <c r="D561" i="2"/>
  <c r="F316" i="2"/>
  <c r="C350" i="2"/>
  <c r="C338" i="2"/>
  <c r="D563" i="2"/>
  <c r="M564" i="2"/>
  <c r="D295" i="2"/>
  <c r="D320" i="2"/>
  <c r="C321" i="2"/>
  <c r="C339" i="2"/>
  <c r="C340" i="2"/>
  <c r="C323" i="2"/>
  <c r="F324" i="2"/>
  <c r="C325" i="2"/>
  <c r="C328" i="2"/>
  <c r="F329" i="2"/>
  <c r="D330" i="2"/>
  <c r="C332" i="2"/>
  <c r="C333" i="2"/>
  <c r="C334" i="2"/>
  <c r="C335" i="2"/>
  <c r="D286" i="2"/>
  <c r="C287" i="2"/>
  <c r="D570" i="2"/>
  <c r="C341" i="2"/>
  <c r="F342" i="2"/>
  <c r="D345" i="2"/>
  <c r="D343" i="2"/>
  <c r="C346" i="2"/>
  <c r="D348" i="2"/>
  <c r="C317" i="2"/>
  <c r="C349" i="2"/>
  <c r="M351" i="2"/>
  <c r="M353" i="2"/>
  <c r="D579" i="2"/>
  <c r="D355" i="2"/>
  <c r="D357" i="2"/>
  <c r="D358" i="2"/>
  <c r="F359" i="2"/>
  <c r="C584" i="2"/>
  <c r="F363" i="2"/>
  <c r="F364" i="2"/>
  <c r="D587" i="2"/>
  <c r="F591" i="2"/>
  <c r="F370" i="2"/>
  <c r="C371" i="2"/>
  <c r="C372" i="2"/>
  <c r="C373" i="2"/>
  <c r="D374" i="2"/>
  <c r="D380" i="2"/>
  <c r="F376" i="2"/>
  <c r="D384" i="2"/>
  <c r="D381" i="2"/>
  <c r="C385" i="2"/>
  <c r="C288" i="2"/>
  <c r="D289" i="2"/>
  <c r="D378" i="2"/>
  <c r="C337" i="2"/>
  <c r="C327" i="2"/>
  <c r="D387" i="2"/>
  <c r="C365" i="2"/>
  <c r="F366" i="2"/>
  <c r="M20" i="2"/>
  <c r="D468" i="2"/>
  <c r="D471" i="2"/>
  <c r="F472" i="2"/>
  <c r="D473" i="2"/>
  <c r="D474" i="2"/>
  <c r="D476" i="2"/>
  <c r="D477" i="2"/>
  <c r="F482" i="2"/>
  <c r="C483" i="2"/>
  <c r="D485" i="2"/>
  <c r="M272" i="2"/>
  <c r="D488" i="2"/>
  <c r="D489" i="2"/>
  <c r="D492" i="2"/>
  <c r="M495" i="2"/>
  <c r="D498" i="2"/>
  <c r="D500" i="2"/>
  <c r="D501" i="2"/>
  <c r="F505" i="2"/>
  <c r="D506" i="2"/>
  <c r="D507" i="2"/>
  <c r="F510" i="2"/>
  <c r="C511" i="2"/>
  <c r="D513" i="2"/>
  <c r="M515" i="2"/>
  <c r="D517" i="2"/>
  <c r="D518" i="2"/>
  <c r="F519" i="2"/>
  <c r="D520" i="2"/>
  <c r="F521" i="2"/>
  <c r="C523" i="2"/>
  <c r="F525" i="2"/>
  <c r="D531" i="2"/>
  <c r="D534" i="2"/>
  <c r="C308" i="2"/>
  <c r="D537" i="2"/>
  <c r="D539" i="2"/>
  <c r="C542" i="2"/>
  <c r="D548" i="2"/>
  <c r="C549" i="2"/>
  <c r="D551" i="2"/>
  <c r="F552" i="2"/>
  <c r="C567" i="2"/>
  <c r="D555" i="2"/>
  <c r="D568" i="2"/>
  <c r="D572" i="2"/>
  <c r="D589" i="2"/>
  <c r="C573" i="2"/>
  <c r="C574" i="2"/>
  <c r="C576" i="2"/>
  <c r="M577" i="2"/>
  <c r="D578" i="2"/>
  <c r="D580" i="2"/>
  <c r="D360" i="2"/>
  <c r="F583" i="2"/>
  <c r="D585" i="2"/>
  <c r="F586" i="2"/>
  <c r="C469" i="2"/>
  <c r="F467" i="2"/>
  <c r="C465" i="2"/>
  <c r="D466" i="2"/>
  <c r="N460" i="2"/>
  <c r="D461" i="2"/>
  <c r="D454" i="2"/>
  <c r="F456" i="2"/>
  <c r="C450" i="2"/>
  <c r="D390" i="2"/>
  <c r="C391" i="2"/>
  <c r="D392" i="2"/>
  <c r="D393" i="2"/>
  <c r="C395" i="2"/>
  <c r="F396" i="2"/>
  <c r="D399" i="2"/>
  <c r="D400" i="2"/>
  <c r="M402" i="2"/>
  <c r="D403" i="2"/>
  <c r="C404" i="2"/>
  <c r="C590" i="2"/>
  <c r="D405" i="2"/>
  <c r="N406" i="2"/>
  <c r="K406" i="2" s="1"/>
  <c r="C409" i="2"/>
  <c r="D410" i="2"/>
  <c r="D411" i="2"/>
  <c r="D412" i="2"/>
  <c r="C413" i="2"/>
  <c r="D414" i="2"/>
  <c r="M416" i="2"/>
  <c r="D417" i="2"/>
  <c r="F418" i="2"/>
  <c r="D419" i="2"/>
  <c r="C420" i="2"/>
  <c r="F422" i="2"/>
  <c r="D423" i="2"/>
  <c r="C424" i="2"/>
  <c r="C426" i="2"/>
  <c r="M427" i="2"/>
  <c r="C428" i="2"/>
  <c r="D114" i="2"/>
  <c r="D429" i="2"/>
  <c r="D433" i="2"/>
  <c r="D434" i="2"/>
  <c r="C435" i="2"/>
  <c r="D436" i="2"/>
  <c r="D437" i="2"/>
  <c r="D438" i="2"/>
  <c r="F439" i="2"/>
  <c r="D440" i="2"/>
  <c r="F442" i="2"/>
  <c r="M566" i="2"/>
  <c r="C443" i="2"/>
  <c r="F313" i="2"/>
  <c r="D462" i="2"/>
  <c r="F464" i="2"/>
  <c r="D457" i="2"/>
  <c r="D388" i="2"/>
  <c r="V3" i="2"/>
  <c r="V278" i="2"/>
  <c r="V559" i="2"/>
  <c r="V446" i="2"/>
  <c r="V6" i="2"/>
  <c r="V448" i="2"/>
  <c r="V7" i="2"/>
  <c r="V8" i="2"/>
  <c r="V10" i="2"/>
  <c r="V451" i="2"/>
  <c r="V452" i="2"/>
  <c r="V453" i="2"/>
  <c r="V11" i="2"/>
  <c r="V12" i="2"/>
  <c r="V458" i="2"/>
  <c r="V14" i="2"/>
  <c r="V15" i="2"/>
  <c r="V16" i="2"/>
  <c r="V17" i="2"/>
  <c r="V19" i="2"/>
  <c r="V22" i="2"/>
  <c r="V23" i="2"/>
  <c r="V24" i="2"/>
  <c r="V26" i="2"/>
  <c r="V27" i="2"/>
  <c r="V32" i="2"/>
  <c r="V33" i="2"/>
  <c r="V36" i="2"/>
  <c r="V37" i="2"/>
  <c r="V38" i="2"/>
  <c r="V39" i="2"/>
  <c r="V40" i="2"/>
  <c r="V42" i="2"/>
  <c r="V43" i="2"/>
  <c r="V44" i="2"/>
  <c r="V45" i="2"/>
  <c r="V46" i="2"/>
  <c r="V47" i="2"/>
  <c r="V48" i="2"/>
  <c r="V51" i="2"/>
  <c r="V93" i="2"/>
  <c r="V52" i="2"/>
  <c r="V53" i="2"/>
  <c r="V54" i="2"/>
  <c r="V55" i="2"/>
  <c r="V56" i="2"/>
  <c r="V57" i="2"/>
  <c r="V58" i="2"/>
  <c r="V59" i="2"/>
  <c r="V60" i="2"/>
  <c r="V61" i="2"/>
  <c r="V62" i="2"/>
  <c r="V64" i="2"/>
  <c r="V65" i="2"/>
  <c r="V66" i="2"/>
  <c r="V67" i="2"/>
  <c r="V68" i="2"/>
  <c r="V69" i="2"/>
  <c r="V70" i="2"/>
  <c r="V71" i="2"/>
  <c r="V72" i="2"/>
  <c r="V73" i="2"/>
  <c r="V74" i="2"/>
  <c r="V75" i="2"/>
  <c r="V76" i="2"/>
  <c r="V77" i="2"/>
  <c r="V84" i="2"/>
  <c r="V85" i="2"/>
  <c r="V86" i="2"/>
  <c r="V87" i="2"/>
  <c r="V78" i="2"/>
  <c r="V88" i="2"/>
  <c r="V79" i="2"/>
  <c r="V89" i="2"/>
  <c r="V90" i="2"/>
  <c r="V91" i="2"/>
  <c r="V80" i="2"/>
  <c r="V81" i="2"/>
  <c r="V92" i="2"/>
  <c r="V82" i="2"/>
  <c r="V94" i="2"/>
  <c r="V95" i="2"/>
  <c r="V479" i="2"/>
  <c r="V96" i="2"/>
  <c r="V97" i="2"/>
  <c r="V83" i="2"/>
  <c r="V478" i="2"/>
  <c r="V480" i="2"/>
  <c r="V481" i="2"/>
  <c r="V98" i="2"/>
  <c r="V99" i="2"/>
  <c r="V100" i="2"/>
  <c r="V101" i="2"/>
  <c r="V102" i="2"/>
  <c r="V103" i="2"/>
  <c r="V104" i="2"/>
  <c r="V105" i="2"/>
  <c r="V106" i="2"/>
  <c r="V107" i="2"/>
  <c r="V108" i="2"/>
  <c r="V109" i="2"/>
  <c r="V115" i="2"/>
  <c r="V110" i="2"/>
  <c r="V111" i="2"/>
  <c r="V112" i="2"/>
  <c r="V113" i="2"/>
  <c r="V486" i="2"/>
  <c r="V116" i="2"/>
  <c r="V117" i="2"/>
  <c r="V118" i="2"/>
  <c r="V119" i="2"/>
  <c r="V120" i="2"/>
  <c r="V121" i="2"/>
  <c r="V122" i="2"/>
  <c r="V123" i="2"/>
  <c r="V124" i="2"/>
  <c r="V487" i="2"/>
  <c r="V125" i="2"/>
  <c r="V126" i="2"/>
  <c r="V127" i="2"/>
  <c r="V128" i="2"/>
  <c r="V157" i="2"/>
  <c r="V129" i="2"/>
  <c r="V130" i="2"/>
  <c r="V131" i="2"/>
  <c r="V132" i="2"/>
  <c r="V133" i="2"/>
  <c r="V134" i="2"/>
  <c r="V135" i="2"/>
  <c r="V491" i="2"/>
  <c r="V136" i="2"/>
  <c r="V137" i="2"/>
  <c r="V484" i="2"/>
  <c r="V140" i="2"/>
  <c r="V141" i="2"/>
  <c r="V142" i="2"/>
  <c r="V143" i="2"/>
  <c r="V144" i="2"/>
  <c r="V145" i="2"/>
  <c r="V146" i="2"/>
  <c r="V147" i="2"/>
  <c r="V151" i="2"/>
  <c r="V152" i="2"/>
  <c r="V153" i="2"/>
  <c r="V154" i="2"/>
  <c r="V155" i="2"/>
  <c r="V156" i="2"/>
  <c r="V161" i="2"/>
  <c r="V162" i="2"/>
  <c r="V163" i="2"/>
  <c r="V164" i="2"/>
  <c r="V177" i="2"/>
  <c r="V165" i="2"/>
  <c r="V502" i="2"/>
  <c r="V166" i="2"/>
  <c r="V178" i="2"/>
  <c r="V503" i="2"/>
  <c r="V167" i="2"/>
  <c r="V504" i="2"/>
  <c r="V169" i="2"/>
  <c r="V170" i="2"/>
  <c r="V171" i="2"/>
  <c r="V172" i="2"/>
  <c r="V173" i="2"/>
  <c r="V174" i="2"/>
  <c r="V175" i="2"/>
  <c r="V179" i="2"/>
  <c r="V180" i="2"/>
  <c r="V181" i="2"/>
  <c r="V182" i="2"/>
  <c r="V183" i="2"/>
  <c r="V185" i="2"/>
  <c r="V186" i="2"/>
  <c r="V187" i="2"/>
  <c r="V189" i="2"/>
  <c r="V190" i="2"/>
  <c r="V514" i="2"/>
  <c r="V192" i="2"/>
  <c r="V194" i="2"/>
  <c r="V195" i="2"/>
  <c r="V198" i="2"/>
  <c r="V199" i="2"/>
  <c r="V202" i="2"/>
  <c r="V207" i="2"/>
  <c r="V208" i="2"/>
  <c r="V528" i="2"/>
  <c r="V214" i="2"/>
  <c r="V218" i="2"/>
  <c r="V529" i="2"/>
  <c r="V277" i="2"/>
  <c r="V219" i="2"/>
  <c r="V191" i="2"/>
  <c r="V220" i="2"/>
  <c r="V221" i="2"/>
  <c r="V226" i="2"/>
  <c r="V232" i="2"/>
  <c r="V234" i="2"/>
  <c r="V235" i="2"/>
  <c r="V236" i="2"/>
  <c r="V237" i="2"/>
  <c r="V238" i="2"/>
  <c r="V239" i="2"/>
  <c r="V243" i="2"/>
  <c r="V217" i="2"/>
  <c r="V545" i="2"/>
  <c r="V249" i="2"/>
  <c r="V256" i="2"/>
  <c r="V251" i="2"/>
  <c r="V252" i="2"/>
  <c r="V257" i="2"/>
  <c r="V258" i="2"/>
  <c r="V261" i="2"/>
  <c r="V262" i="2"/>
  <c r="V263" i="2"/>
  <c r="V265" i="2"/>
  <c r="V266" i="2"/>
  <c r="V267" i="2"/>
  <c r="V546" i="2"/>
  <c r="V282" i="2"/>
  <c r="V269" i="2"/>
  <c r="V275" i="2"/>
  <c r="V280" i="2"/>
  <c r="V281" i="2"/>
  <c r="V283" i="2"/>
  <c r="V556" i="2"/>
  <c r="V290" i="2"/>
  <c r="V291" i="2"/>
  <c r="V293" i="2"/>
  <c r="V297" i="2"/>
  <c r="V300" i="2"/>
  <c r="V307" i="2"/>
  <c r="V316" i="2"/>
  <c r="V350" i="2"/>
  <c r="V562" i="2"/>
  <c r="V563" i="2"/>
  <c r="V564" i="2"/>
  <c r="V340" i="2"/>
  <c r="V354" i="2"/>
  <c r="V355" i="2"/>
  <c r="V357" i="2"/>
  <c r="V359" i="2"/>
  <c r="V362" i="2"/>
  <c r="V367" i="2"/>
  <c r="V588" i="2"/>
  <c r="V377" i="2"/>
  <c r="V378" i="2"/>
  <c r="V230" i="2"/>
  <c r="V337" i="2"/>
  <c r="V560" i="2"/>
  <c r="V386" i="2"/>
  <c r="V379" i="2"/>
  <c r="V327" i="2"/>
  <c r="V382" i="2"/>
  <c r="V387" i="2"/>
  <c r="V365" i="2"/>
  <c r="V366" i="2"/>
  <c r="V20" i="2"/>
  <c r="V468" i="2"/>
  <c r="V470" i="2"/>
  <c r="V471" i="2"/>
  <c r="V472" i="2"/>
  <c r="V473" i="2"/>
  <c r="V474" i="2"/>
  <c r="V475" i="2"/>
  <c r="V476" i="2"/>
  <c r="V477" i="2"/>
  <c r="V482" i="2"/>
  <c r="V483" i="2"/>
  <c r="V485" i="2"/>
  <c r="V272" i="2"/>
  <c r="V488" i="2"/>
  <c r="V489" i="2"/>
  <c r="V492" i="2"/>
  <c r="V493" i="2"/>
  <c r="V494" i="2"/>
  <c r="V495" i="2"/>
  <c r="V496" i="2"/>
  <c r="V497" i="2"/>
  <c r="V499" i="2"/>
  <c r="V500" i="2"/>
  <c r="V501" i="2"/>
  <c r="V505" i="2"/>
  <c r="V506" i="2"/>
  <c r="V507" i="2"/>
  <c r="V509" i="2"/>
  <c r="V510" i="2"/>
  <c r="V511" i="2"/>
  <c r="V512" i="2"/>
  <c r="V513" i="2"/>
  <c r="V515" i="2"/>
  <c r="V516" i="2"/>
  <c r="V517" i="2"/>
  <c r="V518" i="2"/>
  <c r="V519" i="2"/>
  <c r="V520" i="2"/>
  <c r="V521" i="2"/>
  <c r="V522" i="2"/>
  <c r="V523" i="2"/>
  <c r="V525" i="2"/>
  <c r="V531" i="2"/>
  <c r="V534" i="2"/>
  <c r="V308" i="2"/>
  <c r="V535" i="2"/>
  <c r="V536" i="2"/>
  <c r="V537" i="2"/>
  <c r="V538" i="2"/>
  <c r="V539" i="2"/>
  <c r="V541" i="2"/>
  <c r="V542" i="2"/>
  <c r="V543" i="2"/>
  <c r="V544" i="2"/>
  <c r="V547" i="2"/>
  <c r="V548" i="2"/>
  <c r="V549" i="2"/>
  <c r="V551" i="2"/>
  <c r="V552" i="2"/>
  <c r="V554" i="2"/>
  <c r="V567" i="2"/>
  <c r="V555" i="2"/>
  <c r="V558" i="2"/>
  <c r="V565" i="2"/>
  <c r="V568" i="2"/>
  <c r="V572" i="2"/>
  <c r="V569" i="2"/>
  <c r="V571" i="2"/>
  <c r="V589" i="2"/>
  <c r="V573" i="2"/>
  <c r="V574" i="2"/>
  <c r="V575" i="2"/>
  <c r="V576" i="2"/>
  <c r="V577" i="2"/>
  <c r="V578" i="2"/>
  <c r="V580" i="2"/>
  <c r="V583" i="2"/>
  <c r="V586" i="2"/>
  <c r="V469" i="2"/>
  <c r="V467" i="2"/>
  <c r="V465" i="2"/>
  <c r="V466" i="2"/>
  <c r="V460" i="2"/>
  <c r="V461" i="2"/>
  <c r="V454" i="2"/>
  <c r="V455" i="2"/>
  <c r="V456" i="2"/>
  <c r="V450" i="2"/>
  <c r="V449" i="2"/>
  <c r="V389" i="2"/>
  <c r="V390" i="2"/>
  <c r="V391" i="2"/>
  <c r="V392" i="2"/>
  <c r="V393" i="2"/>
  <c r="V394" i="2"/>
  <c r="V395" i="2"/>
  <c r="V396" i="2"/>
  <c r="V397" i="2"/>
  <c r="V398" i="2"/>
  <c r="V399" i="2"/>
  <c r="V400" i="2"/>
  <c r="V401" i="2"/>
  <c r="V402" i="2"/>
  <c r="V403" i="2"/>
  <c r="V404" i="2"/>
  <c r="V590" i="2"/>
  <c r="V405" i="2"/>
  <c r="V406" i="2"/>
  <c r="V407" i="2"/>
  <c r="V408" i="2"/>
  <c r="V409" i="2"/>
  <c r="V410" i="2"/>
  <c r="V411" i="2"/>
  <c r="V412" i="2"/>
  <c r="V413" i="2"/>
  <c r="V414" i="2"/>
  <c r="V415" i="2"/>
  <c r="V416" i="2"/>
  <c r="V417" i="2"/>
  <c r="V418" i="2"/>
  <c r="V419" i="2"/>
  <c r="V420" i="2"/>
  <c r="V421" i="2"/>
  <c r="V422" i="2"/>
  <c r="V423" i="2"/>
  <c r="V424" i="2"/>
  <c r="V425" i="2"/>
  <c r="V426" i="2"/>
  <c r="V427" i="2"/>
  <c r="V428" i="2"/>
  <c r="V114" i="2"/>
  <c r="V429" i="2"/>
  <c r="V430" i="2"/>
  <c r="V431" i="2"/>
  <c r="V432" i="2"/>
  <c r="V433" i="2"/>
  <c r="V434" i="2"/>
  <c r="V435" i="2"/>
  <c r="V436" i="2"/>
  <c r="V437" i="2"/>
  <c r="V438" i="2"/>
  <c r="V439" i="2"/>
  <c r="V440" i="2"/>
  <c r="V441" i="2"/>
  <c r="V442" i="2"/>
  <c r="V566" i="2"/>
  <c r="V443" i="2"/>
  <c r="V313" i="2"/>
  <c r="V462" i="2"/>
  <c r="V463" i="2"/>
  <c r="V464" i="2"/>
  <c r="V457" i="2"/>
  <c r="C3" i="2"/>
  <c r="D3" i="2"/>
  <c r="F3" i="2"/>
  <c r="C278" i="2"/>
  <c r="D278" i="2"/>
  <c r="F278" i="2"/>
  <c r="C559" i="2"/>
  <c r="D559" i="2"/>
  <c r="F559" i="2"/>
  <c r="C4" i="2"/>
  <c r="D4" i="2"/>
  <c r="F4" i="2"/>
  <c r="C444" i="2"/>
  <c r="D444" i="2"/>
  <c r="F444" i="2"/>
  <c r="C445" i="2"/>
  <c r="D445" i="2"/>
  <c r="F445" i="2"/>
  <c r="C446" i="2"/>
  <c r="D446" i="2"/>
  <c r="F446" i="2"/>
  <c r="C447" i="2"/>
  <c r="D447" i="2"/>
  <c r="F447" i="2"/>
  <c r="D448" i="2"/>
  <c r="C7" i="2"/>
  <c r="D7" i="2"/>
  <c r="F7" i="2"/>
  <c r="C8" i="2"/>
  <c r="D8" i="2"/>
  <c r="F8" i="2"/>
  <c r="C9" i="2"/>
  <c r="D9" i="2"/>
  <c r="F9" i="2"/>
  <c r="C10" i="2"/>
  <c r="D10" i="2"/>
  <c r="F10" i="2"/>
  <c r="C451" i="2"/>
  <c r="D451" i="2"/>
  <c r="F451" i="2"/>
  <c r="C453" i="2"/>
  <c r="D453" i="2"/>
  <c r="F453" i="2"/>
  <c r="C11" i="2"/>
  <c r="D11" i="2"/>
  <c r="F11" i="2"/>
  <c r="C12" i="2"/>
  <c r="D12" i="2"/>
  <c r="F12" i="2"/>
  <c r="C458" i="2"/>
  <c r="D458" i="2"/>
  <c r="F458" i="2"/>
  <c r="C13" i="2"/>
  <c r="D13" i="2"/>
  <c r="F14" i="2"/>
  <c r="C15" i="2"/>
  <c r="D15" i="2"/>
  <c r="F15" i="2"/>
  <c r="C16" i="2"/>
  <c r="D16" i="2"/>
  <c r="F16" i="2"/>
  <c r="C17" i="2"/>
  <c r="D17" i="2"/>
  <c r="F17" i="2"/>
  <c r="C18" i="2"/>
  <c r="D18" i="2"/>
  <c r="F18" i="2"/>
  <c r="C19" i="2"/>
  <c r="D19" i="2"/>
  <c r="F19" i="2"/>
  <c r="C22" i="2"/>
  <c r="D22" i="2"/>
  <c r="F22" i="2"/>
  <c r="C23" i="2"/>
  <c r="D23" i="2"/>
  <c r="F23" i="2"/>
  <c r="C24" i="2"/>
  <c r="D24" i="2"/>
  <c r="F24" i="2"/>
  <c r="C26" i="2"/>
  <c r="D26" i="2"/>
  <c r="F26" i="2"/>
  <c r="D27" i="2"/>
  <c r="F27" i="2"/>
  <c r="C28" i="2"/>
  <c r="C29" i="2"/>
  <c r="D29" i="2"/>
  <c r="F29" i="2"/>
  <c r="C30" i="2"/>
  <c r="D30" i="2"/>
  <c r="F30" i="2"/>
  <c r="C31" i="2"/>
  <c r="D31" i="2"/>
  <c r="F31" i="2"/>
  <c r="C32" i="2"/>
  <c r="D32" i="2"/>
  <c r="F32" i="2"/>
  <c r="C33" i="2"/>
  <c r="D33" i="2"/>
  <c r="F33" i="2"/>
  <c r="C35" i="2"/>
  <c r="D35" i="2"/>
  <c r="F35" i="2"/>
  <c r="C36" i="2"/>
  <c r="D36" i="2"/>
  <c r="F36" i="2"/>
  <c r="C37" i="2"/>
  <c r="D37" i="2"/>
  <c r="F37" i="2"/>
  <c r="C38" i="2"/>
  <c r="D38" i="2"/>
  <c r="F38" i="2"/>
  <c r="C459" i="2"/>
  <c r="D459" i="2"/>
  <c r="C39" i="2"/>
  <c r="D39" i="2"/>
  <c r="F39" i="2"/>
  <c r="C40" i="2"/>
  <c r="D40" i="2"/>
  <c r="F40" i="2"/>
  <c r="C41" i="2"/>
  <c r="D41" i="2"/>
  <c r="F41" i="2"/>
  <c r="C42" i="2"/>
  <c r="D42" i="2"/>
  <c r="F42" i="2"/>
  <c r="C43" i="2"/>
  <c r="D43" i="2"/>
  <c r="F43" i="2"/>
  <c r="C44" i="2"/>
  <c r="D44" i="2"/>
  <c r="F44" i="2"/>
  <c r="C46" i="2"/>
  <c r="D46" i="2"/>
  <c r="F46" i="2"/>
  <c r="C47" i="2"/>
  <c r="D47" i="2"/>
  <c r="F47" i="2"/>
  <c r="C48" i="2"/>
  <c r="D48" i="2"/>
  <c r="F48" i="2"/>
  <c r="C50" i="2"/>
  <c r="D50" i="2"/>
  <c r="F50" i="2"/>
  <c r="C51" i="2"/>
  <c r="D51" i="2"/>
  <c r="F51" i="2"/>
  <c r="C52" i="2"/>
  <c r="D52" i="2"/>
  <c r="F52" i="2"/>
  <c r="C53" i="2"/>
  <c r="D53" i="2"/>
  <c r="F53" i="2"/>
  <c r="C54" i="2"/>
  <c r="D54" i="2"/>
  <c r="F54" i="2"/>
  <c r="C55" i="2"/>
  <c r="D55" i="2"/>
  <c r="F55" i="2"/>
  <c r="C56" i="2"/>
  <c r="D56" i="2"/>
  <c r="F56" i="2"/>
  <c r="F57" i="2"/>
  <c r="C58" i="2"/>
  <c r="D58" i="2"/>
  <c r="F58" i="2"/>
  <c r="C59" i="2"/>
  <c r="D59" i="2"/>
  <c r="F59" i="2"/>
  <c r="C60" i="2"/>
  <c r="D60" i="2"/>
  <c r="F60" i="2"/>
  <c r="C61" i="2"/>
  <c r="D61" i="2"/>
  <c r="F61" i="2"/>
  <c r="C62" i="2"/>
  <c r="F62" i="2"/>
  <c r="C63" i="2"/>
  <c r="C64" i="2"/>
  <c r="D64" i="2"/>
  <c r="F64" i="2"/>
  <c r="C65" i="2"/>
  <c r="D65" i="2"/>
  <c r="F65" i="2"/>
  <c r="C66" i="2"/>
  <c r="D66" i="2"/>
  <c r="F66" i="2"/>
  <c r="C67" i="2"/>
  <c r="D67" i="2"/>
  <c r="F67" i="2"/>
  <c r="C68" i="2"/>
  <c r="D68" i="2"/>
  <c r="F68" i="2"/>
  <c r="C70" i="2"/>
  <c r="D70" i="2"/>
  <c r="F70" i="2"/>
  <c r="C71" i="2"/>
  <c r="D71" i="2"/>
  <c r="F71" i="2"/>
  <c r="C72" i="2"/>
  <c r="D72" i="2"/>
  <c r="F72" i="2"/>
  <c r="C73" i="2"/>
  <c r="D73" i="2"/>
  <c r="F73" i="2"/>
  <c r="D74" i="2"/>
  <c r="F74" i="2"/>
  <c r="F75" i="2"/>
  <c r="C76" i="2"/>
  <c r="D76" i="2"/>
  <c r="F76" i="2"/>
  <c r="C77" i="2"/>
  <c r="D77" i="2"/>
  <c r="F77" i="2"/>
  <c r="C84" i="2"/>
  <c r="D84" i="2"/>
  <c r="F84" i="2"/>
  <c r="C85" i="2"/>
  <c r="D85" i="2"/>
  <c r="F85" i="2"/>
  <c r="C86" i="2"/>
  <c r="D86" i="2"/>
  <c r="F86" i="2"/>
  <c r="C78" i="2"/>
  <c r="D78" i="2"/>
  <c r="F78" i="2"/>
  <c r="C88" i="2"/>
  <c r="D88" i="2"/>
  <c r="F88" i="2"/>
  <c r="C79" i="2"/>
  <c r="D79" i="2"/>
  <c r="F79" i="2"/>
  <c r="C89" i="2"/>
  <c r="D89" i="2"/>
  <c r="F89" i="2"/>
  <c r="C90" i="2"/>
  <c r="F90" i="2"/>
  <c r="D91" i="2"/>
  <c r="C80" i="2"/>
  <c r="D80" i="2"/>
  <c r="F80" i="2"/>
  <c r="C81" i="2"/>
  <c r="D81" i="2"/>
  <c r="F81" i="2"/>
  <c r="C92" i="2"/>
  <c r="D92" i="2"/>
  <c r="F92" i="2"/>
  <c r="C82" i="2"/>
  <c r="D82" i="2"/>
  <c r="F82" i="2"/>
  <c r="C95" i="2"/>
  <c r="D95" i="2"/>
  <c r="F95" i="2"/>
  <c r="C479" i="2"/>
  <c r="D479" i="2"/>
  <c r="F479" i="2"/>
  <c r="C96" i="2"/>
  <c r="D96" i="2"/>
  <c r="F96" i="2"/>
  <c r="C97" i="2"/>
  <c r="D97" i="2"/>
  <c r="F97" i="2"/>
  <c r="C83" i="2"/>
  <c r="D83" i="2"/>
  <c r="D478" i="2"/>
  <c r="C480" i="2"/>
  <c r="D480" i="2"/>
  <c r="F480" i="2"/>
  <c r="C481" i="2"/>
  <c r="D481" i="2"/>
  <c r="F481" i="2"/>
  <c r="C98" i="2"/>
  <c r="D98" i="2"/>
  <c r="F98" i="2"/>
  <c r="C99" i="2"/>
  <c r="D99" i="2"/>
  <c r="F99" i="2"/>
  <c r="C101" i="2"/>
  <c r="D101" i="2"/>
  <c r="F101" i="2"/>
  <c r="C102" i="2"/>
  <c r="D102" i="2"/>
  <c r="F102" i="2"/>
  <c r="C103" i="2"/>
  <c r="D103" i="2"/>
  <c r="F103" i="2"/>
  <c r="C104" i="2"/>
  <c r="D104" i="2"/>
  <c r="F104" i="2"/>
  <c r="C105" i="2"/>
  <c r="D105" i="2"/>
  <c r="C106" i="2"/>
  <c r="C107" i="2"/>
  <c r="D107" i="2"/>
  <c r="F107" i="2"/>
  <c r="C108" i="2"/>
  <c r="D108" i="2"/>
  <c r="F108" i="2"/>
  <c r="C109" i="2"/>
  <c r="D109" i="2"/>
  <c r="F109" i="2"/>
  <c r="C115" i="2"/>
  <c r="D115" i="2"/>
  <c r="F115" i="2"/>
  <c r="C110" i="2"/>
  <c r="D110" i="2"/>
  <c r="F110" i="2"/>
  <c r="C112" i="2"/>
  <c r="D112" i="2"/>
  <c r="F112" i="2"/>
  <c r="C113" i="2"/>
  <c r="D113" i="2"/>
  <c r="F113" i="2"/>
  <c r="C486" i="2"/>
  <c r="D486" i="2"/>
  <c r="F486" i="2"/>
  <c r="C116" i="2"/>
  <c r="D116" i="2"/>
  <c r="F116" i="2"/>
  <c r="F117" i="2"/>
  <c r="D118" i="2"/>
  <c r="C119" i="2"/>
  <c r="D119" i="2"/>
  <c r="F119" i="2"/>
  <c r="C120" i="2"/>
  <c r="D120" i="2"/>
  <c r="F120" i="2"/>
  <c r="C121" i="2"/>
  <c r="D121" i="2"/>
  <c r="F121" i="2"/>
  <c r="C122" i="2"/>
  <c r="D122" i="2"/>
  <c r="F122" i="2"/>
  <c r="C124" i="2"/>
  <c r="D124" i="2"/>
  <c r="F124" i="2"/>
  <c r="C487" i="2"/>
  <c r="D487" i="2"/>
  <c r="F487" i="2"/>
  <c r="C125" i="2"/>
  <c r="D125" i="2"/>
  <c r="F125" i="2"/>
  <c r="C126" i="2"/>
  <c r="D126" i="2"/>
  <c r="F126" i="2"/>
  <c r="D127" i="2"/>
  <c r="F127" i="2"/>
  <c r="C157" i="2"/>
  <c r="D157" i="2"/>
  <c r="F157" i="2"/>
  <c r="C129" i="2"/>
  <c r="D129" i="2"/>
  <c r="F129" i="2"/>
  <c r="C130" i="2"/>
  <c r="D130" i="2"/>
  <c r="F130" i="2"/>
  <c r="C131" i="2"/>
  <c r="D131" i="2"/>
  <c r="F131" i="2"/>
  <c r="C490" i="2"/>
  <c r="D490" i="2"/>
  <c r="F490" i="2"/>
  <c r="C133" i="2"/>
  <c r="D133" i="2"/>
  <c r="F133" i="2"/>
  <c r="C134" i="2"/>
  <c r="D134" i="2"/>
  <c r="F134" i="2"/>
  <c r="C135" i="2"/>
  <c r="D135" i="2"/>
  <c r="F135" i="2"/>
  <c r="C491" i="2"/>
  <c r="D491" i="2"/>
  <c r="F491" i="2"/>
  <c r="C136" i="2"/>
  <c r="D136" i="2"/>
  <c r="F136" i="2"/>
  <c r="C137" i="2"/>
  <c r="C484" i="2"/>
  <c r="D484" i="2"/>
  <c r="F484" i="2"/>
  <c r="C138" i="2"/>
  <c r="D138" i="2"/>
  <c r="F138" i="2"/>
  <c r="C139" i="2"/>
  <c r="D139" i="2"/>
  <c r="F139" i="2"/>
  <c r="C158" i="2"/>
  <c r="D158" i="2"/>
  <c r="F158" i="2"/>
  <c r="C140" i="2"/>
  <c r="D140" i="2"/>
  <c r="F140" i="2"/>
  <c r="D141" i="2"/>
  <c r="C142" i="2"/>
  <c r="D142" i="2"/>
  <c r="F142" i="2"/>
  <c r="C143" i="2"/>
  <c r="D143" i="2"/>
  <c r="F143" i="2"/>
  <c r="C144" i="2"/>
  <c r="D144" i="2"/>
  <c r="F144" i="2"/>
  <c r="C145" i="2"/>
  <c r="D145" i="2"/>
  <c r="F145" i="2"/>
  <c r="D146" i="2"/>
  <c r="F146" i="2"/>
  <c r="C148" i="2"/>
  <c r="D148" i="2"/>
  <c r="F148" i="2"/>
  <c r="C149" i="2"/>
  <c r="D149" i="2"/>
  <c r="F149" i="2"/>
  <c r="C150" i="2"/>
  <c r="D150" i="2"/>
  <c r="F150" i="2"/>
  <c r="C151" i="2"/>
  <c r="F151" i="2"/>
  <c r="D152" i="2"/>
  <c r="F152" i="2"/>
  <c r="C153" i="2"/>
  <c r="D153" i="2"/>
  <c r="F153" i="2"/>
  <c r="C154" i="2"/>
  <c r="D154" i="2"/>
  <c r="F154" i="2"/>
  <c r="D155" i="2"/>
  <c r="F155" i="2"/>
  <c r="C156" i="2"/>
  <c r="D156" i="2"/>
  <c r="C160" i="2"/>
  <c r="D161" i="2"/>
  <c r="F161" i="2"/>
  <c r="F162" i="2"/>
  <c r="C163" i="2"/>
  <c r="D163" i="2"/>
  <c r="F163" i="2"/>
  <c r="C177" i="2"/>
  <c r="D177" i="2"/>
  <c r="F177" i="2"/>
  <c r="D165" i="2"/>
  <c r="F165" i="2"/>
  <c r="C502" i="2"/>
  <c r="F502" i="2"/>
  <c r="C166" i="2"/>
  <c r="F178" i="2"/>
  <c r="F167" i="2"/>
  <c r="F504" i="2"/>
  <c r="D168" i="2"/>
  <c r="C169" i="2"/>
  <c r="D169" i="2"/>
  <c r="F169" i="2"/>
  <c r="D170" i="2"/>
  <c r="F170" i="2"/>
  <c r="C171" i="2"/>
  <c r="D171" i="2"/>
  <c r="F171" i="2"/>
  <c r="D173" i="2"/>
  <c r="F173" i="2"/>
  <c r="C174" i="2"/>
  <c r="F174" i="2"/>
  <c r="D175" i="2"/>
  <c r="F175" i="2"/>
  <c r="D181" i="2"/>
  <c r="C182" i="2"/>
  <c r="D183" i="2"/>
  <c r="F183" i="2"/>
  <c r="C185" i="2"/>
  <c r="D185" i="2"/>
  <c r="F185" i="2"/>
  <c r="C186" i="2"/>
  <c r="D186" i="2"/>
  <c r="F186" i="2"/>
  <c r="D187" i="2"/>
  <c r="F187" i="2"/>
  <c r="C188" i="2"/>
  <c r="D188" i="2"/>
  <c r="F188" i="2"/>
  <c r="D189" i="2"/>
  <c r="D190" i="2"/>
  <c r="C192" i="2"/>
  <c r="D193" i="2"/>
  <c r="F193" i="2"/>
  <c r="D526" i="2"/>
  <c r="C194" i="2"/>
  <c r="D194" i="2"/>
  <c r="F194" i="2"/>
  <c r="C196" i="2"/>
  <c r="D196" i="2"/>
  <c r="F196" i="2"/>
  <c r="D198" i="2"/>
  <c r="F198" i="2"/>
  <c r="C199" i="2"/>
  <c r="F199" i="2"/>
  <c r="F205" i="2"/>
  <c r="C200" i="2"/>
  <c r="F201" i="2"/>
  <c r="C203" i="2"/>
  <c r="D203" i="2"/>
  <c r="F203" i="2"/>
  <c r="F206" i="2"/>
  <c r="C527" i="2"/>
  <c r="D527" i="2"/>
  <c r="F527" i="2"/>
  <c r="D208" i="2"/>
  <c r="F208" i="2"/>
  <c r="C528" i="2"/>
  <c r="D528" i="2"/>
  <c r="F528" i="2"/>
  <c r="C209" i="2"/>
  <c r="D210" i="2"/>
  <c r="D212" i="2"/>
  <c r="D213" i="2"/>
  <c r="F213" i="2"/>
  <c r="D218" i="2"/>
  <c r="F218" i="2"/>
  <c r="C215" i="2"/>
  <c r="D215" i="2"/>
  <c r="F215" i="2"/>
  <c r="D277" i="2"/>
  <c r="D219" i="2"/>
  <c r="F219" i="2"/>
  <c r="C191" i="2"/>
  <c r="D191" i="2"/>
  <c r="F191" i="2"/>
  <c r="D220" i="2"/>
  <c r="F220" i="2"/>
  <c r="F530" i="2"/>
  <c r="C223" i="2"/>
  <c r="C224" i="2"/>
  <c r="D224" i="2"/>
  <c r="F224" i="2"/>
  <c r="C226" i="2"/>
  <c r="D226" i="2"/>
  <c r="F226" i="2"/>
  <c r="C227" i="2"/>
  <c r="F227" i="2"/>
  <c r="D216" i="2"/>
  <c r="F216" i="2"/>
  <c r="C231" i="2"/>
  <c r="D231" i="2"/>
  <c r="F231" i="2"/>
  <c r="F232" i="2"/>
  <c r="C235" i="2"/>
  <c r="D236" i="2"/>
  <c r="F236" i="2"/>
  <c r="D237" i="2"/>
  <c r="D238" i="2"/>
  <c r="F238" i="2"/>
  <c r="C240" i="2"/>
  <c r="D240" i="2"/>
  <c r="F240" i="2"/>
  <c r="F241" i="2"/>
  <c r="F242" i="2"/>
  <c r="D243" i="2"/>
  <c r="F243" i="2"/>
  <c r="F540" i="2"/>
  <c r="C248" i="2"/>
  <c r="D545" i="2"/>
  <c r="C249" i="2"/>
  <c r="D249" i="2"/>
  <c r="F249" i="2"/>
  <c r="C550" i="2"/>
  <c r="D550" i="2"/>
  <c r="F550" i="2"/>
  <c r="D256" i="2"/>
  <c r="F256" i="2"/>
  <c r="C251" i="2"/>
  <c r="D251" i="2"/>
  <c r="F251" i="2"/>
  <c r="C252" i="2"/>
  <c r="D253" i="2"/>
  <c r="F258" i="2"/>
  <c r="D259" i="2"/>
  <c r="F259" i="2"/>
  <c r="C260" i="2"/>
  <c r="C261" i="2"/>
  <c r="F261" i="2"/>
  <c r="D262" i="2"/>
  <c r="F262" i="2"/>
  <c r="C263" i="2"/>
  <c r="D263" i="2"/>
  <c r="F263" i="2"/>
  <c r="C268" i="2"/>
  <c r="F264" i="2"/>
  <c r="C265" i="2"/>
  <c r="D265" i="2"/>
  <c r="F265" i="2"/>
  <c r="D266" i="2"/>
  <c r="C267" i="2"/>
  <c r="C282" i="2"/>
  <c r="F282" i="2"/>
  <c r="D254" i="2"/>
  <c r="F254" i="2"/>
  <c r="C270" i="2"/>
  <c r="D270" i="2"/>
  <c r="F270" i="2"/>
  <c r="C273" i="2"/>
  <c r="D273" i="2"/>
  <c r="F273" i="2"/>
  <c r="C553" i="2"/>
  <c r="D553" i="2"/>
  <c r="F553" i="2"/>
  <c r="C275" i="2"/>
  <c r="D275" i="2"/>
  <c r="F275" i="2"/>
  <c r="F276" i="2"/>
  <c r="D271" i="2"/>
  <c r="C281" i="2"/>
  <c r="D281" i="2"/>
  <c r="F281" i="2"/>
  <c r="D283" i="2"/>
  <c r="F283" i="2"/>
  <c r="C556" i="2"/>
  <c r="D556" i="2"/>
  <c r="F556" i="2"/>
  <c r="C290" i="2"/>
  <c r="D290" i="2"/>
  <c r="F290" i="2"/>
  <c r="D291" i="2"/>
  <c r="C292" i="2"/>
  <c r="D292" i="2"/>
  <c r="F292" i="2"/>
  <c r="C293" i="2"/>
  <c r="D293" i="2"/>
  <c r="F293" i="2"/>
  <c r="D296" i="2"/>
  <c r="F296" i="2"/>
  <c r="F309" i="2"/>
  <c r="C294" i="2"/>
  <c r="F294" i="2"/>
  <c r="D297" i="2"/>
  <c r="C298" i="2"/>
  <c r="D298" i="2"/>
  <c r="C299" i="2"/>
  <c r="D299" i="2"/>
  <c r="D300" i="2"/>
  <c r="F300" i="2"/>
  <c r="D284" i="2"/>
  <c r="F284" i="2"/>
  <c r="D285" i="2"/>
  <c r="C301" i="2"/>
  <c r="D301" i="2"/>
  <c r="F301" i="2"/>
  <c r="D302" i="2"/>
  <c r="F302" i="2"/>
  <c r="D304" i="2"/>
  <c r="C306" i="2"/>
  <c r="C307" i="2"/>
  <c r="D307" i="2"/>
  <c r="C561" i="2"/>
  <c r="F561" i="2"/>
  <c r="C311" i="2"/>
  <c r="D311" i="2"/>
  <c r="F311" i="2"/>
  <c r="D312" i="2"/>
  <c r="C316" i="2"/>
  <c r="D350" i="2"/>
  <c r="F350" i="2"/>
  <c r="D338" i="2"/>
  <c r="F338" i="2"/>
  <c r="D562" i="2"/>
  <c r="F562" i="2"/>
  <c r="C319" i="2"/>
  <c r="D319" i="2"/>
  <c r="C320" i="2"/>
  <c r="F320" i="2"/>
  <c r="D321" i="2"/>
  <c r="F321" i="2"/>
  <c r="C322" i="2"/>
  <c r="D322" i="2"/>
  <c r="F322" i="2"/>
  <c r="D339" i="2"/>
  <c r="F339" i="2"/>
  <c r="D340" i="2"/>
  <c r="F340" i="2"/>
  <c r="D323" i="2"/>
  <c r="F323" i="2"/>
  <c r="D325" i="2"/>
  <c r="F325" i="2"/>
  <c r="D328" i="2"/>
  <c r="C331" i="2"/>
  <c r="D331" i="2"/>
  <c r="F331" i="2"/>
  <c r="D332" i="2"/>
  <c r="F332" i="2"/>
  <c r="D333" i="2"/>
  <c r="F333" i="2"/>
  <c r="F334" i="2"/>
  <c r="D335" i="2"/>
  <c r="F335" i="2"/>
  <c r="C286" i="2"/>
  <c r="C342" i="2"/>
  <c r="C345" i="2"/>
  <c r="C343" i="2"/>
  <c r="F343" i="2"/>
  <c r="D346" i="2"/>
  <c r="F346" i="2"/>
  <c r="C347" i="2"/>
  <c r="D347" i="2"/>
  <c r="F347" i="2"/>
  <c r="F317" i="2"/>
  <c r="D349" i="2"/>
  <c r="F349" i="2"/>
  <c r="D336" i="2"/>
  <c r="F336" i="2"/>
  <c r="C352" i="2"/>
  <c r="D352" i="2"/>
  <c r="F352" i="2"/>
  <c r="C353" i="2"/>
  <c r="D353" i="2"/>
  <c r="F353" i="2"/>
  <c r="C579" i="2"/>
  <c r="C355" i="2"/>
  <c r="F355" i="2"/>
  <c r="C356" i="2"/>
  <c r="D356" i="2"/>
  <c r="F356" i="2"/>
  <c r="C357" i="2"/>
  <c r="F357" i="2"/>
  <c r="C581" i="2"/>
  <c r="D581" i="2"/>
  <c r="F581" i="2"/>
  <c r="C582" i="2"/>
  <c r="D582" i="2"/>
  <c r="F582" i="2"/>
  <c r="F358" i="2"/>
  <c r="D359" i="2"/>
  <c r="C363" i="2"/>
  <c r="D363" i="2"/>
  <c r="C587" i="2"/>
  <c r="F587" i="2"/>
  <c r="C367" i="2"/>
  <c r="D367" i="2"/>
  <c r="F367" i="2"/>
  <c r="C588" i="2"/>
  <c r="D588" i="2"/>
  <c r="F588" i="2"/>
  <c r="C369" i="2"/>
  <c r="D369" i="2"/>
  <c r="F369" i="2"/>
  <c r="C370" i="2"/>
  <c r="D370" i="2"/>
  <c r="D368" i="2"/>
  <c r="C374" i="2"/>
  <c r="F374" i="2"/>
  <c r="D375" i="2"/>
  <c r="C380" i="2"/>
  <c r="F380" i="2"/>
  <c r="C376" i="2"/>
  <c r="D376" i="2"/>
  <c r="C384" i="2"/>
  <c r="F384" i="2"/>
  <c r="D385" i="2"/>
  <c r="F385" i="2"/>
  <c r="C25" i="2"/>
  <c r="F25" i="2"/>
  <c r="F288" i="2"/>
  <c r="C378" i="2"/>
  <c r="C230" i="2"/>
  <c r="D230" i="2"/>
  <c r="F230" i="2"/>
  <c r="F337" i="2"/>
  <c r="C560" i="2"/>
  <c r="D560" i="2"/>
  <c r="F560" i="2"/>
  <c r="C386" i="2"/>
  <c r="D386" i="2"/>
  <c r="F386" i="2"/>
  <c r="C379" i="2"/>
  <c r="D327" i="2"/>
  <c r="C382" i="2"/>
  <c r="D382" i="2"/>
  <c r="F382" i="2"/>
  <c r="C387" i="2"/>
  <c r="F387" i="2"/>
  <c r="F365" i="2"/>
  <c r="C366" i="2"/>
  <c r="C468" i="2"/>
  <c r="D470" i="2"/>
  <c r="F471" i="2"/>
  <c r="C472" i="2"/>
  <c r="D472" i="2"/>
  <c r="C473" i="2"/>
  <c r="F473" i="2"/>
  <c r="C474" i="2"/>
  <c r="F474" i="2"/>
  <c r="D475" i="2"/>
  <c r="F475" i="2"/>
  <c r="C476" i="2"/>
  <c r="F476" i="2"/>
  <c r="C477" i="2"/>
  <c r="F477" i="2"/>
  <c r="D482" i="2"/>
  <c r="C485" i="2"/>
  <c r="C272" i="2"/>
  <c r="D272" i="2"/>
  <c r="F272" i="2"/>
  <c r="C488" i="2"/>
  <c r="F488" i="2"/>
  <c r="C492" i="2"/>
  <c r="F492" i="2"/>
  <c r="C493" i="2"/>
  <c r="D493" i="2"/>
  <c r="F493" i="2"/>
  <c r="C494" i="2"/>
  <c r="D494" i="2"/>
  <c r="F494" i="2"/>
  <c r="C496" i="2"/>
  <c r="D496" i="2"/>
  <c r="F496" i="2"/>
  <c r="C497" i="2"/>
  <c r="D497" i="2"/>
  <c r="C499" i="2"/>
  <c r="C505" i="2"/>
  <c r="D505" i="2"/>
  <c r="C506" i="2"/>
  <c r="F506" i="2"/>
  <c r="C507" i="2"/>
  <c r="F507" i="2"/>
  <c r="C509" i="2"/>
  <c r="D509" i="2"/>
  <c r="F509" i="2"/>
  <c r="D511" i="2"/>
  <c r="F511" i="2"/>
  <c r="C512" i="2"/>
  <c r="D512" i="2"/>
  <c r="F512" i="2"/>
  <c r="C513" i="2"/>
  <c r="F515" i="2"/>
  <c r="D516" i="2"/>
  <c r="C518" i="2"/>
  <c r="C519" i="2"/>
  <c r="D519" i="2"/>
  <c r="C520" i="2"/>
  <c r="C521" i="2"/>
  <c r="D521" i="2"/>
  <c r="C522" i="2"/>
  <c r="D522" i="2"/>
  <c r="F522" i="2"/>
  <c r="D523" i="2"/>
  <c r="F523" i="2"/>
  <c r="C531" i="2"/>
  <c r="F531" i="2"/>
  <c r="C534" i="2"/>
  <c r="F534" i="2"/>
  <c r="D308" i="2"/>
  <c r="F535" i="2"/>
  <c r="D536" i="2"/>
  <c r="C537" i="2"/>
  <c r="D542" i="2"/>
  <c r="F542" i="2"/>
  <c r="C543" i="2"/>
  <c r="D543" i="2"/>
  <c r="F543" i="2"/>
  <c r="C547" i="2"/>
  <c r="D547" i="2"/>
  <c r="F547" i="2"/>
  <c r="C548" i="2"/>
  <c r="F548" i="2"/>
  <c r="D549" i="2"/>
  <c r="C552" i="2"/>
  <c r="C554" i="2"/>
  <c r="D554" i="2"/>
  <c r="F554" i="2"/>
  <c r="C558" i="2"/>
  <c r="D558" i="2"/>
  <c r="F558" i="2"/>
  <c r="C565" i="2"/>
  <c r="D565" i="2"/>
  <c r="F565" i="2"/>
  <c r="C568" i="2"/>
  <c r="F568" i="2"/>
  <c r="C569" i="2"/>
  <c r="D569" i="2"/>
  <c r="F569" i="2"/>
  <c r="C571" i="2"/>
  <c r="D571" i="2"/>
  <c r="F571" i="2"/>
  <c r="F589" i="2"/>
  <c r="D576" i="2"/>
  <c r="C577" i="2"/>
  <c r="D577" i="2"/>
  <c r="F577" i="2"/>
  <c r="C578" i="2"/>
  <c r="F578" i="2"/>
  <c r="C580" i="2"/>
  <c r="F580" i="2"/>
  <c r="C360" i="2"/>
  <c r="F360" i="2"/>
  <c r="C583" i="2"/>
  <c r="C585" i="2"/>
  <c r="F585" i="2"/>
  <c r="C586" i="2"/>
  <c r="D586" i="2"/>
  <c r="F469" i="2"/>
  <c r="D467" i="2"/>
  <c r="F465" i="2"/>
  <c r="C460" i="2"/>
  <c r="D460" i="2"/>
  <c r="F461" i="2"/>
  <c r="C454" i="2"/>
  <c r="C455" i="2"/>
  <c r="D455" i="2"/>
  <c r="F455" i="2"/>
  <c r="C456" i="2"/>
  <c r="D456" i="2"/>
  <c r="C449" i="2"/>
  <c r="D449" i="2"/>
  <c r="F449" i="2"/>
  <c r="C389" i="2"/>
  <c r="D389" i="2"/>
  <c r="F389" i="2"/>
  <c r="F392" i="2"/>
  <c r="C393" i="2"/>
  <c r="F393" i="2"/>
  <c r="C394" i="2"/>
  <c r="F394" i="2"/>
  <c r="C396" i="2"/>
  <c r="D396" i="2"/>
  <c r="C398" i="2"/>
  <c r="D398" i="2"/>
  <c r="F398" i="2"/>
  <c r="F399" i="2"/>
  <c r="F400" i="2"/>
  <c r="C401" i="2"/>
  <c r="D401" i="2"/>
  <c r="F401" i="2"/>
  <c r="D402" i="2"/>
  <c r="C403" i="2"/>
  <c r="F404" i="2"/>
  <c r="C405" i="2"/>
  <c r="D406" i="2"/>
  <c r="C407" i="2"/>
  <c r="D407" i="2"/>
  <c r="F407" i="2"/>
  <c r="D409" i="2"/>
  <c r="F409" i="2"/>
  <c r="C411" i="2"/>
  <c r="F411" i="2"/>
  <c r="F412" i="2"/>
  <c r="D413" i="2"/>
  <c r="D415" i="2"/>
  <c r="C416" i="2"/>
  <c r="D416" i="2"/>
  <c r="F416" i="2"/>
  <c r="F417" i="2"/>
  <c r="C419" i="2"/>
  <c r="F419" i="2"/>
  <c r="C421" i="2"/>
  <c r="D421" i="2"/>
  <c r="F421" i="2"/>
  <c r="D422" i="2"/>
  <c r="F423" i="2"/>
  <c r="D424" i="2"/>
  <c r="F424" i="2"/>
  <c r="C425" i="2"/>
  <c r="D425" i="2"/>
  <c r="F425" i="2"/>
  <c r="F429" i="2"/>
  <c r="C430" i="2"/>
  <c r="D430" i="2"/>
  <c r="F430" i="2"/>
  <c r="C432" i="2"/>
  <c r="D432" i="2"/>
  <c r="F432" i="2"/>
  <c r="C434" i="2"/>
  <c r="F434" i="2"/>
  <c r="D435" i="2"/>
  <c r="F435" i="2"/>
  <c r="C436" i="2"/>
  <c r="C438" i="2"/>
  <c r="C439" i="2"/>
  <c r="C440" i="2"/>
  <c r="F440" i="2"/>
  <c r="C442" i="2"/>
  <c r="D442" i="2"/>
  <c r="D443" i="2"/>
  <c r="F443" i="2"/>
  <c r="C313" i="2"/>
  <c r="C462" i="2"/>
  <c r="C463" i="2"/>
  <c r="D463" i="2"/>
  <c r="F463" i="2"/>
  <c r="C464" i="2"/>
  <c r="C457" i="2"/>
  <c r="M3" i="2"/>
  <c r="N3" i="2"/>
  <c r="K3" i="2" s="1"/>
  <c r="M278" i="2"/>
  <c r="N278" i="2"/>
  <c r="M559" i="2"/>
  <c r="N559" i="2"/>
  <c r="M4" i="2"/>
  <c r="N4" i="2"/>
  <c r="M444" i="2"/>
  <c r="N444" i="2"/>
  <c r="M445" i="2"/>
  <c r="N445" i="2"/>
  <c r="M446" i="2"/>
  <c r="N446" i="2"/>
  <c r="M447" i="2"/>
  <c r="N447" i="2"/>
  <c r="M6" i="2"/>
  <c r="N448" i="2"/>
  <c r="M7" i="2"/>
  <c r="N7" i="2"/>
  <c r="M8" i="2"/>
  <c r="N8" i="2"/>
  <c r="M9" i="2"/>
  <c r="N9" i="2"/>
  <c r="M10" i="2"/>
  <c r="N10" i="2"/>
  <c r="M451" i="2"/>
  <c r="N451" i="2"/>
  <c r="M452" i="2"/>
  <c r="M453" i="2"/>
  <c r="N453" i="2"/>
  <c r="M11" i="2"/>
  <c r="N11" i="2"/>
  <c r="M12" i="2"/>
  <c r="N12" i="2"/>
  <c r="M458" i="2"/>
  <c r="N458" i="2"/>
  <c r="M13" i="2"/>
  <c r="N13" i="2"/>
  <c r="M14" i="2"/>
  <c r="M15" i="2"/>
  <c r="N15" i="2"/>
  <c r="M16" i="2"/>
  <c r="N16" i="2"/>
  <c r="M17" i="2"/>
  <c r="N17" i="2"/>
  <c r="M18" i="2"/>
  <c r="N18" i="2"/>
  <c r="M19" i="2"/>
  <c r="N19" i="2"/>
  <c r="M21" i="2"/>
  <c r="M22" i="2"/>
  <c r="N22" i="2"/>
  <c r="M23" i="2"/>
  <c r="N23" i="2"/>
  <c r="M24" i="2"/>
  <c r="N24" i="2"/>
  <c r="M26" i="2"/>
  <c r="N26" i="2"/>
  <c r="M27" i="2"/>
  <c r="N27" i="2"/>
  <c r="N28" i="2"/>
  <c r="M29" i="2"/>
  <c r="N29" i="2"/>
  <c r="M30" i="2"/>
  <c r="N30" i="2"/>
  <c r="M31" i="2"/>
  <c r="N31" i="2"/>
  <c r="M32" i="2"/>
  <c r="N32" i="2"/>
  <c r="M33" i="2"/>
  <c r="N33" i="2"/>
  <c r="M34" i="2"/>
  <c r="M35" i="2"/>
  <c r="N35" i="2"/>
  <c r="M36" i="2"/>
  <c r="N36" i="2"/>
  <c r="M37" i="2"/>
  <c r="N37" i="2"/>
  <c r="M38" i="2"/>
  <c r="N38" i="2"/>
  <c r="M459" i="2"/>
  <c r="N459" i="2"/>
  <c r="M39" i="2"/>
  <c r="M40" i="2"/>
  <c r="N40" i="2"/>
  <c r="M41" i="2"/>
  <c r="N41" i="2"/>
  <c r="M42" i="2"/>
  <c r="N42" i="2"/>
  <c r="M43" i="2"/>
  <c r="N43" i="2"/>
  <c r="M44" i="2"/>
  <c r="N44" i="2"/>
  <c r="M45" i="2"/>
  <c r="M46" i="2"/>
  <c r="N46" i="2"/>
  <c r="M47" i="2"/>
  <c r="N47" i="2"/>
  <c r="M48" i="2"/>
  <c r="N48" i="2"/>
  <c r="M50" i="2"/>
  <c r="N50" i="2"/>
  <c r="N51" i="2"/>
  <c r="N93" i="2"/>
  <c r="M52" i="2"/>
  <c r="N52" i="2"/>
  <c r="M53" i="2"/>
  <c r="N53" i="2"/>
  <c r="M54" i="2"/>
  <c r="N54" i="2"/>
  <c r="M55" i="2"/>
  <c r="N55" i="2"/>
  <c r="M56" i="2"/>
  <c r="N56" i="2"/>
  <c r="M57" i="2"/>
  <c r="M58" i="2"/>
  <c r="N58" i="2"/>
  <c r="M59" i="2"/>
  <c r="N59" i="2"/>
  <c r="M60" i="2"/>
  <c r="N60" i="2"/>
  <c r="M61" i="2"/>
  <c r="N61" i="2"/>
  <c r="M62" i="2"/>
  <c r="M63" i="2"/>
  <c r="M64" i="2"/>
  <c r="N64" i="2"/>
  <c r="M65" i="2"/>
  <c r="N65" i="2"/>
  <c r="M66" i="2"/>
  <c r="N66" i="2"/>
  <c r="M67" i="2"/>
  <c r="N67" i="2"/>
  <c r="M68" i="2"/>
  <c r="N68" i="2"/>
  <c r="M69" i="2"/>
  <c r="M70" i="2"/>
  <c r="N70" i="2"/>
  <c r="M71" i="2"/>
  <c r="N71" i="2"/>
  <c r="M72" i="2"/>
  <c r="N72" i="2"/>
  <c r="M73" i="2"/>
  <c r="N73" i="2"/>
  <c r="M74" i="2"/>
  <c r="N74" i="2"/>
  <c r="N75" i="2"/>
  <c r="M76" i="2"/>
  <c r="N76" i="2"/>
  <c r="M77" i="2"/>
  <c r="N77" i="2"/>
  <c r="M84" i="2"/>
  <c r="N84" i="2"/>
  <c r="M85" i="2"/>
  <c r="N85" i="2"/>
  <c r="M86" i="2"/>
  <c r="N86" i="2"/>
  <c r="M87" i="2"/>
  <c r="M78" i="2"/>
  <c r="N78" i="2"/>
  <c r="M88" i="2"/>
  <c r="N88" i="2"/>
  <c r="M79" i="2"/>
  <c r="N79" i="2"/>
  <c r="M89" i="2"/>
  <c r="N89" i="2"/>
  <c r="M90" i="2"/>
  <c r="N90" i="2"/>
  <c r="M80" i="2"/>
  <c r="N80" i="2"/>
  <c r="M81" i="2"/>
  <c r="N81" i="2"/>
  <c r="M92" i="2"/>
  <c r="N92" i="2"/>
  <c r="M82" i="2"/>
  <c r="N82" i="2"/>
  <c r="M94" i="2"/>
  <c r="M95" i="2"/>
  <c r="N95" i="2"/>
  <c r="M479" i="2"/>
  <c r="N479" i="2"/>
  <c r="M96" i="2"/>
  <c r="N96" i="2"/>
  <c r="M97" i="2"/>
  <c r="N97" i="2"/>
  <c r="M83" i="2"/>
  <c r="N83" i="2"/>
  <c r="M480" i="2"/>
  <c r="N480" i="2"/>
  <c r="M481" i="2"/>
  <c r="N481" i="2"/>
  <c r="M98" i="2"/>
  <c r="N98" i="2"/>
  <c r="M99" i="2"/>
  <c r="N99" i="2"/>
  <c r="M100" i="2"/>
  <c r="M101" i="2"/>
  <c r="N101" i="2"/>
  <c r="M102" i="2"/>
  <c r="N102" i="2"/>
  <c r="M103" i="2"/>
  <c r="N103" i="2"/>
  <c r="M104" i="2"/>
  <c r="N104" i="2"/>
  <c r="M105" i="2"/>
  <c r="N105" i="2"/>
  <c r="M106" i="2"/>
  <c r="M107" i="2"/>
  <c r="N107" i="2"/>
  <c r="M108" i="2"/>
  <c r="N108" i="2"/>
  <c r="M109" i="2"/>
  <c r="N109" i="2"/>
  <c r="M115" i="2"/>
  <c r="N115" i="2"/>
  <c r="M110" i="2"/>
  <c r="N110" i="2"/>
  <c r="M111" i="2"/>
  <c r="M112" i="2"/>
  <c r="N112" i="2"/>
  <c r="M113" i="2"/>
  <c r="N113" i="2"/>
  <c r="M486" i="2"/>
  <c r="N486" i="2"/>
  <c r="M116" i="2"/>
  <c r="N116" i="2"/>
  <c r="M117" i="2"/>
  <c r="N117" i="2"/>
  <c r="N118" i="2"/>
  <c r="M119" i="2"/>
  <c r="N119" i="2"/>
  <c r="M120" i="2"/>
  <c r="N120" i="2"/>
  <c r="M121" i="2"/>
  <c r="N121" i="2"/>
  <c r="M122" i="2"/>
  <c r="N122" i="2"/>
  <c r="M123" i="2"/>
  <c r="M124" i="2"/>
  <c r="N124" i="2"/>
  <c r="M487" i="2"/>
  <c r="N487" i="2"/>
  <c r="M125" i="2"/>
  <c r="N125" i="2"/>
  <c r="M126" i="2"/>
  <c r="N126" i="2"/>
  <c r="M127" i="2"/>
  <c r="N127" i="2"/>
  <c r="M128" i="2"/>
  <c r="M157" i="2"/>
  <c r="N157" i="2"/>
  <c r="M129" i="2"/>
  <c r="N129" i="2"/>
  <c r="M130" i="2"/>
  <c r="N130" i="2"/>
  <c r="M131" i="2"/>
  <c r="N131" i="2"/>
  <c r="M490" i="2"/>
  <c r="N490" i="2"/>
  <c r="M132" i="2"/>
  <c r="M133" i="2"/>
  <c r="N133" i="2"/>
  <c r="M134" i="2"/>
  <c r="N134" i="2"/>
  <c r="M135" i="2"/>
  <c r="N135" i="2"/>
  <c r="M491" i="2"/>
  <c r="N491" i="2"/>
  <c r="M136" i="2"/>
  <c r="N136" i="2"/>
  <c r="N137" i="2"/>
  <c r="M484" i="2"/>
  <c r="N484" i="2"/>
  <c r="M138" i="2"/>
  <c r="N138" i="2"/>
  <c r="M139" i="2"/>
  <c r="N139" i="2"/>
  <c r="M158" i="2"/>
  <c r="N158" i="2"/>
  <c r="M140" i="2"/>
  <c r="N140" i="2"/>
  <c r="M141" i="2"/>
  <c r="M142" i="2"/>
  <c r="N142" i="2"/>
  <c r="M143" i="2"/>
  <c r="N143" i="2"/>
  <c r="M144" i="2"/>
  <c r="N144" i="2"/>
  <c r="M145" i="2"/>
  <c r="N145" i="2"/>
  <c r="M146" i="2"/>
  <c r="N146" i="2"/>
  <c r="M147" i="2"/>
  <c r="M148" i="2"/>
  <c r="N148" i="2"/>
  <c r="M149" i="2"/>
  <c r="N149" i="2"/>
  <c r="M159" i="2"/>
  <c r="M150" i="2"/>
  <c r="N150" i="2"/>
  <c r="M151" i="2"/>
  <c r="N151" i="2"/>
  <c r="M152" i="2"/>
  <c r="N152" i="2"/>
  <c r="M153" i="2"/>
  <c r="N153" i="2"/>
  <c r="M154" i="2"/>
  <c r="N154" i="2"/>
  <c r="M155" i="2"/>
  <c r="N155" i="2"/>
  <c r="M156" i="2"/>
  <c r="N156" i="2"/>
  <c r="M160" i="2"/>
  <c r="N160" i="2"/>
  <c r="M161" i="2"/>
  <c r="N161" i="2"/>
  <c r="M162" i="2"/>
  <c r="N162" i="2"/>
  <c r="M163" i="2"/>
  <c r="N163" i="2"/>
  <c r="M177" i="2"/>
  <c r="N177" i="2"/>
  <c r="M165" i="2"/>
  <c r="N165" i="2"/>
  <c r="M502" i="2"/>
  <c r="N502" i="2"/>
  <c r="M166" i="2"/>
  <c r="N166" i="2"/>
  <c r="M178" i="2"/>
  <c r="N178" i="2"/>
  <c r="N167" i="2"/>
  <c r="M504" i="2"/>
  <c r="N504" i="2"/>
  <c r="M168" i="2"/>
  <c r="N168" i="2"/>
  <c r="M169" i="2"/>
  <c r="N169" i="2"/>
  <c r="M171" i="2"/>
  <c r="N171" i="2"/>
  <c r="M172" i="2"/>
  <c r="N172" i="2"/>
  <c r="M173" i="2"/>
  <c r="N173" i="2"/>
  <c r="M174" i="2"/>
  <c r="N174" i="2"/>
  <c r="M175" i="2"/>
  <c r="N175" i="2"/>
  <c r="M204" i="2"/>
  <c r="N204" i="2"/>
  <c r="M179" i="2"/>
  <c r="M180" i="2"/>
  <c r="M181" i="2"/>
  <c r="N181" i="2"/>
  <c r="M183" i="2"/>
  <c r="N183" i="2"/>
  <c r="M185" i="2"/>
  <c r="N185" i="2"/>
  <c r="M186" i="2"/>
  <c r="N186" i="2"/>
  <c r="M187" i="2"/>
  <c r="N187" i="2"/>
  <c r="M188" i="2"/>
  <c r="N188" i="2"/>
  <c r="M189" i="2"/>
  <c r="N189" i="2"/>
  <c r="M190" i="2"/>
  <c r="N190" i="2"/>
  <c r="M514" i="2"/>
  <c r="N514" i="2"/>
  <c r="M192" i="2"/>
  <c r="N193" i="2"/>
  <c r="M194" i="2"/>
  <c r="N194" i="2"/>
  <c r="M195" i="2"/>
  <c r="M196" i="2"/>
  <c r="N196" i="2"/>
  <c r="M197" i="2"/>
  <c r="N197" i="2"/>
  <c r="M198" i="2"/>
  <c r="N198" i="2"/>
  <c r="M199" i="2"/>
  <c r="N199" i="2"/>
  <c r="M532" i="2"/>
  <c r="N532" i="2"/>
  <c r="M205" i="2"/>
  <c r="N205" i="2"/>
  <c r="N200" i="2"/>
  <c r="M201" i="2"/>
  <c r="N202" i="2"/>
  <c r="M203" i="2"/>
  <c r="N203" i="2"/>
  <c r="M527" i="2"/>
  <c r="N527" i="2"/>
  <c r="M207" i="2"/>
  <c r="N207" i="2"/>
  <c r="M208" i="2"/>
  <c r="N208" i="2"/>
  <c r="M528" i="2"/>
  <c r="N528" i="2"/>
  <c r="M209" i="2"/>
  <c r="N209" i="2"/>
  <c r="M210" i="2"/>
  <c r="N210" i="2"/>
  <c r="M211" i="2"/>
  <c r="M213" i="2"/>
  <c r="N213" i="2"/>
  <c r="N214" i="2"/>
  <c r="M218" i="2"/>
  <c r="N218" i="2"/>
  <c r="M215" i="2"/>
  <c r="N215" i="2"/>
  <c r="M277" i="2"/>
  <c r="N277" i="2"/>
  <c r="M219" i="2"/>
  <c r="N219" i="2"/>
  <c r="M191" i="2"/>
  <c r="N191" i="2"/>
  <c r="M220" i="2"/>
  <c r="N220" i="2"/>
  <c r="M221" i="2"/>
  <c r="N221" i="2"/>
  <c r="M533" i="2"/>
  <c r="M530" i="2"/>
  <c r="N530" i="2"/>
  <c r="M224" i="2"/>
  <c r="N224" i="2"/>
  <c r="M226" i="2"/>
  <c r="N226" i="2"/>
  <c r="M227" i="2"/>
  <c r="N227" i="2"/>
  <c r="M216" i="2"/>
  <c r="N216" i="2"/>
  <c r="M231" i="2"/>
  <c r="N231" i="2"/>
  <c r="M232" i="2"/>
  <c r="N232" i="2"/>
  <c r="M233" i="2"/>
  <c r="N233" i="2"/>
  <c r="N235" i="2"/>
  <c r="M236" i="2"/>
  <c r="N236" i="2"/>
  <c r="M237" i="2"/>
  <c r="M238" i="2"/>
  <c r="N238" i="2"/>
  <c r="M240" i="2"/>
  <c r="N240" i="2"/>
  <c r="M241" i="2"/>
  <c r="N241" i="2"/>
  <c r="M242" i="2"/>
  <c r="N242" i="2"/>
  <c r="M243" i="2"/>
  <c r="N243" i="2"/>
  <c r="M217" i="2"/>
  <c r="N217" i="2"/>
  <c r="M540" i="2"/>
  <c r="N540" i="2"/>
  <c r="M247" i="2"/>
  <c r="N247" i="2"/>
  <c r="M248" i="2"/>
  <c r="M545" i="2"/>
  <c r="N545" i="2"/>
  <c r="M250" i="2"/>
  <c r="M249" i="2"/>
  <c r="N249" i="2"/>
  <c r="M228" i="2"/>
  <c r="M550" i="2"/>
  <c r="N550" i="2"/>
  <c r="M229" i="2"/>
  <c r="N229" i="2"/>
  <c r="M256" i="2"/>
  <c r="N256" i="2"/>
  <c r="M251" i="2"/>
  <c r="N251" i="2"/>
  <c r="M252" i="2"/>
  <c r="N252" i="2"/>
  <c r="M253" i="2"/>
  <c r="N253" i="2"/>
  <c r="M257" i="2"/>
  <c r="N257" i="2"/>
  <c r="N258" i="2"/>
  <c r="M259" i="2"/>
  <c r="N259" i="2"/>
  <c r="M260" i="2"/>
  <c r="N260" i="2"/>
  <c r="M261" i="2"/>
  <c r="N261" i="2"/>
  <c r="M263" i="2"/>
  <c r="N263" i="2"/>
  <c r="M268" i="2"/>
  <c r="N268" i="2"/>
  <c r="M264" i="2"/>
  <c r="N264" i="2"/>
  <c r="M265" i="2"/>
  <c r="N265" i="2"/>
  <c r="M266" i="2"/>
  <c r="N266" i="2"/>
  <c r="M267" i="2"/>
  <c r="N267" i="2"/>
  <c r="M282" i="2"/>
  <c r="N282" i="2"/>
  <c r="N254" i="2"/>
  <c r="M269" i="2"/>
  <c r="M270" i="2"/>
  <c r="N270" i="2"/>
  <c r="M273" i="2"/>
  <c r="N273" i="2"/>
  <c r="M274" i="2"/>
  <c r="N274" i="2"/>
  <c r="M553" i="2"/>
  <c r="N553" i="2"/>
  <c r="M275" i="2"/>
  <c r="N275" i="2"/>
  <c r="M276" i="2"/>
  <c r="N276" i="2"/>
  <c r="M279" i="2"/>
  <c r="N279" i="2"/>
  <c r="M271" i="2"/>
  <c r="M281" i="2"/>
  <c r="N281" i="2"/>
  <c r="M283" i="2"/>
  <c r="M556" i="2"/>
  <c r="N556" i="2"/>
  <c r="M290" i="2"/>
  <c r="N290" i="2"/>
  <c r="M291" i="2"/>
  <c r="N291" i="2"/>
  <c r="M292" i="2"/>
  <c r="N292" i="2"/>
  <c r="M293" i="2"/>
  <c r="N293" i="2"/>
  <c r="M296" i="2"/>
  <c r="N296" i="2"/>
  <c r="M309" i="2"/>
  <c r="M294" i="2"/>
  <c r="N294" i="2"/>
  <c r="N297" i="2"/>
  <c r="M298" i="2"/>
  <c r="N298" i="2"/>
  <c r="M299" i="2"/>
  <c r="N299" i="2"/>
  <c r="M300" i="2"/>
  <c r="N300" i="2"/>
  <c r="M284" i="2"/>
  <c r="N284" i="2"/>
  <c r="M285" i="2"/>
  <c r="N285" i="2"/>
  <c r="M301" i="2"/>
  <c r="N301" i="2"/>
  <c r="M302" i="2"/>
  <c r="N302" i="2"/>
  <c r="M303" i="2"/>
  <c r="N303" i="2"/>
  <c r="M304" i="2"/>
  <c r="N304" i="2"/>
  <c r="M305" i="2"/>
  <c r="M307" i="2"/>
  <c r="N307" i="2"/>
  <c r="M561" i="2"/>
  <c r="N561" i="2"/>
  <c r="M311" i="2"/>
  <c r="N311" i="2"/>
  <c r="M312" i="2"/>
  <c r="N312" i="2"/>
  <c r="M316" i="2"/>
  <c r="N316" i="2"/>
  <c r="M350" i="2"/>
  <c r="N350" i="2"/>
  <c r="M338" i="2"/>
  <c r="N338" i="2"/>
  <c r="M562" i="2"/>
  <c r="N562" i="2"/>
  <c r="M563" i="2"/>
  <c r="N563" i="2"/>
  <c r="N564" i="2"/>
  <c r="M320" i="2"/>
  <c r="N320" i="2"/>
  <c r="M321" i="2"/>
  <c r="N321" i="2"/>
  <c r="M322" i="2"/>
  <c r="N322" i="2"/>
  <c r="M339" i="2"/>
  <c r="N339" i="2"/>
  <c r="M340" i="2"/>
  <c r="N340" i="2"/>
  <c r="M323" i="2"/>
  <c r="N323" i="2"/>
  <c r="N324" i="2"/>
  <c r="M325" i="2"/>
  <c r="N325" i="2"/>
  <c r="M328" i="2"/>
  <c r="N328" i="2"/>
  <c r="N330" i="2"/>
  <c r="M331" i="2"/>
  <c r="N331" i="2"/>
  <c r="M332" i="2"/>
  <c r="N332" i="2"/>
  <c r="M333" i="2"/>
  <c r="N333" i="2"/>
  <c r="M334" i="2"/>
  <c r="N334" i="2"/>
  <c r="M335" i="2"/>
  <c r="M286" i="2"/>
  <c r="N286" i="2"/>
  <c r="M287" i="2"/>
  <c r="N287" i="2"/>
  <c r="M570" i="2"/>
  <c r="N570" i="2"/>
  <c r="M341" i="2"/>
  <c r="N341" i="2"/>
  <c r="N345" i="2"/>
  <c r="M343" i="2"/>
  <c r="N343" i="2"/>
  <c r="M346" i="2"/>
  <c r="N346" i="2"/>
  <c r="M347" i="2"/>
  <c r="N347" i="2"/>
  <c r="M348" i="2"/>
  <c r="M317" i="2"/>
  <c r="M349" i="2"/>
  <c r="N349" i="2"/>
  <c r="M336" i="2"/>
  <c r="N336" i="2"/>
  <c r="M354" i="2"/>
  <c r="N354" i="2"/>
  <c r="M352" i="2"/>
  <c r="N352" i="2"/>
  <c r="M579" i="2"/>
  <c r="N579" i="2"/>
  <c r="M355" i="2"/>
  <c r="N355" i="2"/>
  <c r="M356" i="2"/>
  <c r="N356" i="2"/>
  <c r="M357" i="2"/>
  <c r="M581" i="2"/>
  <c r="N581" i="2"/>
  <c r="M582" i="2"/>
  <c r="N582" i="2"/>
  <c r="M358" i="2"/>
  <c r="M359" i="2"/>
  <c r="N359" i="2"/>
  <c r="N584" i="2"/>
  <c r="M363" i="2"/>
  <c r="N363" i="2"/>
  <c r="N364" i="2"/>
  <c r="M587" i="2"/>
  <c r="N587" i="2"/>
  <c r="M367" i="2"/>
  <c r="N367" i="2"/>
  <c r="M588" i="2"/>
  <c r="N588" i="2"/>
  <c r="M591" i="2"/>
  <c r="M369" i="2"/>
  <c r="N369" i="2"/>
  <c r="M370" i="2"/>
  <c r="N370" i="2"/>
  <c r="M371" i="2"/>
  <c r="N371" i="2"/>
  <c r="M368" i="2"/>
  <c r="M374" i="2"/>
  <c r="N374" i="2"/>
  <c r="M375" i="2"/>
  <c r="M380" i="2"/>
  <c r="N380" i="2"/>
  <c r="M376" i="2"/>
  <c r="N376" i="2"/>
  <c r="M384" i="2"/>
  <c r="M381" i="2"/>
  <c r="N381" i="2"/>
  <c r="M385" i="2"/>
  <c r="N385" i="2"/>
  <c r="M25" i="2"/>
  <c r="N25" i="2"/>
  <c r="M288" i="2"/>
  <c r="N288" i="2"/>
  <c r="M289" i="2"/>
  <c r="N289" i="2"/>
  <c r="N378" i="2"/>
  <c r="M230" i="2"/>
  <c r="N230" i="2"/>
  <c r="M560" i="2"/>
  <c r="N560" i="2"/>
  <c r="M386" i="2"/>
  <c r="N386" i="2"/>
  <c r="M379" i="2"/>
  <c r="M327" i="2"/>
  <c r="N327" i="2"/>
  <c r="M382" i="2"/>
  <c r="N382" i="2"/>
  <c r="M387" i="2"/>
  <c r="N387" i="2"/>
  <c r="M365" i="2"/>
  <c r="M366" i="2"/>
  <c r="N468" i="2"/>
  <c r="M470" i="2"/>
  <c r="N470" i="2"/>
  <c r="M471" i="2"/>
  <c r="M472" i="2"/>
  <c r="N472" i="2"/>
  <c r="M473" i="2"/>
  <c r="N473" i="2"/>
  <c r="M474" i="2"/>
  <c r="M475" i="2"/>
  <c r="N475" i="2"/>
  <c r="M476" i="2"/>
  <c r="N476" i="2"/>
  <c r="M477" i="2"/>
  <c r="N477" i="2"/>
  <c r="M482" i="2"/>
  <c r="N482" i="2"/>
  <c r="M488" i="2"/>
  <c r="N488" i="2"/>
  <c r="M492" i="2"/>
  <c r="N492" i="2"/>
  <c r="M493" i="2"/>
  <c r="N493" i="2"/>
  <c r="M494" i="2"/>
  <c r="N494" i="2"/>
  <c r="M496" i="2"/>
  <c r="N496" i="2"/>
  <c r="M497" i="2"/>
  <c r="N497" i="2"/>
  <c r="M498" i="2"/>
  <c r="N498" i="2"/>
  <c r="N499" i="2"/>
  <c r="M500" i="2"/>
  <c r="N501" i="2"/>
  <c r="M505" i="2"/>
  <c r="N505" i="2"/>
  <c r="M507" i="2"/>
  <c r="N507" i="2"/>
  <c r="M509" i="2"/>
  <c r="N509" i="2"/>
  <c r="M511" i="2"/>
  <c r="N511" i="2"/>
  <c r="M512" i="2"/>
  <c r="N512" i="2"/>
  <c r="M513" i="2"/>
  <c r="N513" i="2"/>
  <c r="N515" i="2"/>
  <c r="N516" i="2"/>
  <c r="M519" i="2"/>
  <c r="N519" i="2"/>
  <c r="N520" i="2"/>
  <c r="M521" i="2"/>
  <c r="N521" i="2"/>
  <c r="M522" i="2"/>
  <c r="N522" i="2"/>
  <c r="M523" i="2"/>
  <c r="N523" i="2"/>
  <c r="M525" i="2"/>
  <c r="N525" i="2"/>
  <c r="M531" i="2"/>
  <c r="N531" i="2"/>
  <c r="N534" i="2"/>
  <c r="M308" i="2"/>
  <c r="N308" i="2"/>
  <c r="M535" i="2"/>
  <c r="M538" i="2"/>
  <c r="N538" i="2"/>
  <c r="M542" i="2"/>
  <c r="N542" i="2"/>
  <c r="M543" i="2"/>
  <c r="N543" i="2"/>
  <c r="N544" i="2"/>
  <c r="M547" i="2"/>
  <c r="N547" i="2"/>
  <c r="M548" i="2"/>
  <c r="N549" i="2"/>
  <c r="M554" i="2"/>
  <c r="N554" i="2"/>
  <c r="N555" i="2"/>
  <c r="M558" i="2"/>
  <c r="N558" i="2"/>
  <c r="M565" i="2"/>
  <c r="N565" i="2"/>
  <c r="M568" i="2"/>
  <c r="N568" i="2"/>
  <c r="M572" i="2"/>
  <c r="M569" i="2"/>
  <c r="N569" i="2"/>
  <c r="M571" i="2"/>
  <c r="N571" i="2"/>
  <c r="M589" i="2"/>
  <c r="N589" i="2"/>
  <c r="M573" i="2"/>
  <c r="M574" i="2"/>
  <c r="M576" i="2"/>
  <c r="N576" i="2"/>
  <c r="M578" i="2"/>
  <c r="N578" i="2"/>
  <c r="M580" i="2"/>
  <c r="N580" i="2"/>
  <c r="M360" i="2"/>
  <c r="M583" i="2"/>
  <c r="N583" i="2"/>
  <c r="M585" i="2"/>
  <c r="N585" i="2"/>
  <c r="M586" i="2"/>
  <c r="N586" i="2"/>
  <c r="M469" i="2"/>
  <c r="N469" i="2"/>
  <c r="M467" i="2"/>
  <c r="N465" i="2"/>
  <c r="M460" i="2"/>
  <c r="M454" i="2"/>
  <c r="N454" i="2"/>
  <c r="M455" i="2"/>
  <c r="N455" i="2"/>
  <c r="M456" i="2"/>
  <c r="N456" i="2"/>
  <c r="M449" i="2"/>
  <c r="N449" i="2"/>
  <c r="M389" i="2"/>
  <c r="M390" i="2"/>
  <c r="M394" i="2"/>
  <c r="N394" i="2"/>
  <c r="K394" i="2" s="1"/>
  <c r="M395" i="2"/>
  <c r="N395" i="2"/>
  <c r="K395" i="2" s="1"/>
  <c r="N396" i="2"/>
  <c r="K396" i="2" s="1"/>
  <c r="M398" i="2"/>
  <c r="N398" i="2"/>
  <c r="K398" i="2" s="1"/>
  <c r="M399" i="2"/>
  <c r="M400" i="2"/>
  <c r="N400" i="2"/>
  <c r="K400" i="2" s="1"/>
  <c r="M401" i="2"/>
  <c r="N401" i="2"/>
  <c r="K401" i="2" s="1"/>
  <c r="N402" i="2"/>
  <c r="K402" i="2" s="1"/>
  <c r="M403" i="2"/>
  <c r="M590" i="2"/>
  <c r="M405" i="2"/>
  <c r="N405" i="2"/>
  <c r="K405" i="2" s="1"/>
  <c r="M406" i="2"/>
  <c r="M407" i="2"/>
  <c r="N407" i="2"/>
  <c r="K407" i="2" s="1"/>
  <c r="M409" i="2"/>
  <c r="N409" i="2"/>
  <c r="K409" i="2" s="1"/>
  <c r="M410" i="2"/>
  <c r="N410" i="2"/>
  <c r="K410" i="2" s="1"/>
  <c r="M411" i="2"/>
  <c r="N411" i="2"/>
  <c r="K411" i="2" s="1"/>
  <c r="M412" i="2"/>
  <c r="N412" i="2"/>
  <c r="K412" i="2" s="1"/>
  <c r="M413" i="2"/>
  <c r="M415" i="2"/>
  <c r="N415" i="2"/>
  <c r="K415" i="2" s="1"/>
  <c r="M417" i="2"/>
  <c r="N417" i="2"/>
  <c r="K417" i="2" s="1"/>
  <c r="N418" i="2"/>
  <c r="K418" i="2" s="1"/>
  <c r="M419" i="2"/>
  <c r="N419" i="2"/>
  <c r="K419" i="2" s="1"/>
  <c r="M420" i="2"/>
  <c r="M421" i="2"/>
  <c r="N421" i="2"/>
  <c r="K421" i="2" s="1"/>
  <c r="M422" i="2"/>
  <c r="M423" i="2"/>
  <c r="N423" i="2"/>
  <c r="K423" i="2" s="1"/>
  <c r="M424" i="2"/>
  <c r="N424" i="2"/>
  <c r="K424" i="2" s="1"/>
  <c r="M425" i="2"/>
  <c r="N425" i="2"/>
  <c r="K425" i="2" s="1"/>
  <c r="N427" i="2"/>
  <c r="K427" i="2" s="1"/>
  <c r="N114" i="2"/>
  <c r="K114" i="2" s="1"/>
  <c r="M429" i="2"/>
  <c r="M430" i="2"/>
  <c r="N430" i="2"/>
  <c r="K430" i="2" s="1"/>
  <c r="M432" i="2"/>
  <c r="N432" i="2"/>
  <c r="K432" i="2" s="1"/>
  <c r="M433" i="2"/>
  <c r="N433" i="2"/>
  <c r="K433" i="2" s="1"/>
  <c r="M434" i="2"/>
  <c r="N434" i="2"/>
  <c r="N435" i="2"/>
  <c r="K435" i="2" s="1"/>
  <c r="N436" i="2"/>
  <c r="K436" i="2" s="1"/>
  <c r="N439" i="2"/>
  <c r="K439" i="2" s="1"/>
  <c r="M440" i="2"/>
  <c r="N440" i="2"/>
  <c r="K440" i="2" s="1"/>
  <c r="M441" i="2"/>
  <c r="M442" i="2"/>
  <c r="N442" i="2"/>
  <c r="K442" i="2" s="1"/>
  <c r="M443" i="2"/>
  <c r="N443" i="2"/>
  <c r="K443" i="2" s="1"/>
  <c r="M462" i="2"/>
  <c r="N462" i="2"/>
  <c r="M463" i="2"/>
  <c r="N463" i="2"/>
  <c r="M464" i="2"/>
  <c r="N464" i="2"/>
  <c r="M457" i="2"/>
  <c r="F388" i="2"/>
  <c r="D4" i="5"/>
  <c r="E4" i="5"/>
  <c r="G4" i="5"/>
  <c r="D5" i="5"/>
  <c r="E5" i="5"/>
  <c r="G5" i="5"/>
  <c r="D6" i="5"/>
  <c r="E6" i="5"/>
  <c r="G6" i="5"/>
  <c r="D7" i="5"/>
  <c r="E7" i="5"/>
  <c r="G7" i="5"/>
  <c r="D8" i="5"/>
  <c r="E8" i="5"/>
  <c r="G8" i="5"/>
  <c r="D9" i="5"/>
  <c r="E9" i="5"/>
  <c r="G9" i="5"/>
  <c r="D10" i="5"/>
  <c r="E10" i="5"/>
  <c r="G10" i="5"/>
  <c r="D11" i="5"/>
  <c r="E11" i="5"/>
  <c r="G11" i="5"/>
  <c r="D12" i="5"/>
  <c r="E12" i="5"/>
  <c r="G12" i="5"/>
  <c r="D13" i="5"/>
  <c r="E13" i="5"/>
  <c r="G13" i="5"/>
  <c r="E14" i="5"/>
  <c r="D15" i="5"/>
  <c r="E15" i="5"/>
  <c r="G15" i="5"/>
  <c r="D16" i="5"/>
  <c r="E16" i="5"/>
  <c r="G16" i="5"/>
  <c r="D17" i="5"/>
  <c r="E17" i="5"/>
  <c r="G17" i="5"/>
  <c r="D18" i="5"/>
  <c r="E18" i="5"/>
  <c r="G18" i="5"/>
  <c r="D19" i="5"/>
  <c r="E19" i="5"/>
  <c r="G19" i="5"/>
  <c r="D20" i="5"/>
  <c r="E20" i="5"/>
  <c r="G20" i="5"/>
  <c r="D21" i="5"/>
  <c r="E21" i="5"/>
  <c r="G21" i="5"/>
  <c r="D23" i="5"/>
  <c r="E23" i="5"/>
  <c r="G23" i="5"/>
  <c r="D24" i="5"/>
  <c r="E24" i="5"/>
  <c r="G24" i="5"/>
  <c r="D25" i="5"/>
  <c r="E25" i="5"/>
  <c r="G25" i="5"/>
  <c r="D26" i="5"/>
  <c r="E26" i="5"/>
  <c r="G26" i="5"/>
  <c r="E27" i="5"/>
  <c r="D28" i="5"/>
  <c r="E28" i="5"/>
  <c r="G28" i="5"/>
  <c r="D29" i="5"/>
  <c r="E29" i="5"/>
  <c r="G29" i="5"/>
  <c r="D30" i="5"/>
  <c r="E30" i="5"/>
  <c r="G30" i="5"/>
  <c r="D31" i="5"/>
  <c r="E31" i="5"/>
  <c r="G31" i="5"/>
  <c r="D32" i="5"/>
  <c r="E32" i="5"/>
  <c r="G32" i="5"/>
  <c r="D33" i="5"/>
  <c r="E33" i="5"/>
  <c r="G33" i="5"/>
  <c r="D34" i="5"/>
  <c r="E34" i="5"/>
  <c r="G34" i="5"/>
  <c r="D35" i="5"/>
  <c r="E35" i="5"/>
  <c r="G35" i="5"/>
  <c r="D36" i="5"/>
  <c r="E36" i="5"/>
  <c r="G36" i="5"/>
  <c r="D37" i="5"/>
  <c r="E37" i="5"/>
  <c r="G37" i="5"/>
  <c r="D39" i="5"/>
  <c r="E39" i="5"/>
  <c r="G39" i="5"/>
  <c r="E40" i="5"/>
  <c r="D41" i="5"/>
  <c r="E41" i="5"/>
  <c r="G41" i="5"/>
  <c r="D42" i="5"/>
  <c r="E42" i="5"/>
  <c r="G42" i="5"/>
  <c r="D43" i="5"/>
  <c r="E43" i="5"/>
  <c r="G43" i="5"/>
  <c r="D44" i="5"/>
  <c r="E44" i="5"/>
  <c r="G44" i="5"/>
  <c r="D45" i="5"/>
  <c r="E45" i="5"/>
  <c r="G45" i="5"/>
  <c r="D46" i="5"/>
  <c r="E46" i="5"/>
  <c r="G46" i="5"/>
  <c r="D47" i="5"/>
  <c r="E47" i="5"/>
  <c r="G47" i="5"/>
  <c r="D48" i="5"/>
  <c r="E48" i="5"/>
  <c r="G48" i="5"/>
  <c r="D49" i="5"/>
  <c r="E49" i="5"/>
  <c r="G49" i="5"/>
  <c r="D50" i="5"/>
  <c r="E50" i="5"/>
  <c r="G50" i="5"/>
  <c r="D51" i="5"/>
  <c r="E51" i="5"/>
  <c r="G51" i="5"/>
  <c r="E52" i="5"/>
  <c r="D53" i="5"/>
  <c r="E53" i="5"/>
  <c r="F53" i="5"/>
  <c r="G53" i="5"/>
  <c r="D54" i="5"/>
  <c r="E54" i="5"/>
  <c r="G54" i="5"/>
  <c r="D55" i="5"/>
  <c r="E55" i="5"/>
  <c r="G55" i="5"/>
  <c r="D56" i="5"/>
  <c r="E56" i="5"/>
  <c r="G56" i="5"/>
  <c r="D57" i="5"/>
  <c r="E57" i="5"/>
  <c r="G57" i="5"/>
  <c r="D58" i="5"/>
  <c r="E58" i="5"/>
  <c r="G58" i="5"/>
  <c r="D59" i="5"/>
  <c r="E59" i="5"/>
  <c r="G59" i="5"/>
  <c r="D60" i="5"/>
  <c r="E60" i="5"/>
  <c r="G60" i="5"/>
  <c r="D61" i="5"/>
  <c r="E61" i="5"/>
  <c r="G61" i="5"/>
  <c r="D62" i="5"/>
  <c r="E62" i="5"/>
  <c r="G62" i="5"/>
  <c r="D63" i="5"/>
  <c r="E63" i="5"/>
  <c r="G63" i="5"/>
  <c r="E64" i="5"/>
  <c r="D65" i="5"/>
  <c r="E65" i="5"/>
  <c r="G65" i="5"/>
  <c r="D66" i="5"/>
  <c r="E66" i="5"/>
  <c r="G66" i="5"/>
  <c r="D67" i="5"/>
  <c r="E67" i="5"/>
  <c r="G67" i="5"/>
  <c r="D68" i="5"/>
  <c r="E68" i="5"/>
  <c r="G68" i="5"/>
  <c r="D69" i="5"/>
  <c r="E69" i="5"/>
  <c r="G69" i="5"/>
  <c r="D70" i="5"/>
  <c r="E70" i="5"/>
  <c r="G70" i="5"/>
  <c r="D71" i="5"/>
  <c r="E71" i="5"/>
  <c r="G71" i="5"/>
  <c r="D72" i="5"/>
  <c r="E72" i="5"/>
  <c r="G72" i="5"/>
  <c r="D73" i="5"/>
  <c r="E73" i="5"/>
  <c r="G73" i="5"/>
  <c r="D74" i="5"/>
  <c r="E74" i="5"/>
  <c r="G74" i="5"/>
  <c r="D75" i="5"/>
  <c r="E75" i="5"/>
  <c r="G75" i="5"/>
  <c r="E76" i="5"/>
  <c r="D77" i="5"/>
  <c r="E77" i="5"/>
  <c r="G77" i="5"/>
  <c r="D78" i="5"/>
  <c r="E78" i="5"/>
  <c r="G78" i="5"/>
  <c r="D79" i="5"/>
  <c r="E79" i="5"/>
  <c r="G79" i="5"/>
  <c r="D80" i="5"/>
  <c r="E80" i="5"/>
  <c r="G80" i="5"/>
  <c r="D81" i="5"/>
  <c r="E81" i="5"/>
  <c r="G81" i="5"/>
  <c r="D82" i="5"/>
  <c r="E82" i="5"/>
  <c r="G82" i="5"/>
  <c r="D83" i="5"/>
  <c r="E83" i="5"/>
  <c r="G83" i="5"/>
  <c r="D84" i="5"/>
  <c r="E84" i="5"/>
  <c r="G84" i="5"/>
  <c r="D85" i="5"/>
  <c r="E85" i="5"/>
  <c r="G85" i="5"/>
  <c r="D86" i="5"/>
  <c r="E86" i="5"/>
  <c r="G86" i="5"/>
  <c r="D87" i="5"/>
  <c r="E87" i="5"/>
  <c r="G87" i="5"/>
  <c r="E88" i="5"/>
  <c r="D89" i="5"/>
  <c r="E89" i="5"/>
  <c r="G89" i="5"/>
  <c r="D90" i="5"/>
  <c r="E90" i="5"/>
  <c r="G90" i="5"/>
  <c r="D91" i="5"/>
  <c r="E91" i="5"/>
  <c r="G91" i="5"/>
  <c r="G3" i="5"/>
  <c r="E3" i="5"/>
  <c r="D3" i="5"/>
  <c r="P3" i="4"/>
  <c r="F4" i="5" s="1"/>
  <c r="Q3" i="4"/>
  <c r="P4" i="4"/>
  <c r="F56" i="5" s="1"/>
  <c r="P5" i="4"/>
  <c r="F57" i="5" s="1"/>
  <c r="Q5" i="4"/>
  <c r="P6" i="4"/>
  <c r="F58" i="5" s="1"/>
  <c r="P7" i="4"/>
  <c r="F59" i="5" s="1"/>
  <c r="P8" i="4"/>
  <c r="F60" i="5" s="1"/>
  <c r="Q8" i="4"/>
  <c r="P9" i="4"/>
  <c r="F61" i="5" s="1"/>
  <c r="P10" i="4"/>
  <c r="F62" i="5" s="1"/>
  <c r="P11" i="4"/>
  <c r="F63" i="5" s="1"/>
  <c r="Q11" i="4"/>
  <c r="P12" i="4"/>
  <c r="F64" i="5" s="1"/>
  <c r="P13" i="4"/>
  <c r="F65" i="5" s="1"/>
  <c r="P14" i="4"/>
  <c r="F66" i="5" s="1"/>
  <c r="Q14" i="4"/>
  <c r="P15" i="4"/>
  <c r="F67" i="5" s="1"/>
  <c r="P16" i="4"/>
  <c r="F68" i="5" s="1"/>
  <c r="P17" i="4"/>
  <c r="F69" i="5" s="1"/>
  <c r="Q17" i="4"/>
  <c r="P18" i="4"/>
  <c r="F70" i="5" s="1"/>
  <c r="P19" i="4"/>
  <c r="F71" i="5" s="1"/>
  <c r="P20" i="4"/>
  <c r="F72" i="5" s="1"/>
  <c r="Q20" i="4"/>
  <c r="P21" i="4"/>
  <c r="F73" i="5" s="1"/>
  <c r="P22" i="4"/>
  <c r="F74" i="5" s="1"/>
  <c r="P23" i="4"/>
  <c r="F75" i="5" s="1"/>
  <c r="Q23" i="4"/>
  <c r="P24" i="4"/>
  <c r="F76" i="5" s="1"/>
  <c r="P25" i="4"/>
  <c r="F77" i="5" s="1"/>
  <c r="P26" i="4"/>
  <c r="F78" i="5" s="1"/>
  <c r="Q26" i="4"/>
  <c r="P27" i="4"/>
  <c r="F79" i="5" s="1"/>
  <c r="P28" i="4"/>
  <c r="F80" i="5" s="1"/>
  <c r="P29" i="4"/>
  <c r="F81" i="5" s="1"/>
  <c r="Q29" i="4"/>
  <c r="P30" i="4"/>
  <c r="F82" i="5" s="1"/>
  <c r="P31" i="4"/>
  <c r="F83" i="5" s="1"/>
  <c r="P32" i="4"/>
  <c r="F84" i="5" s="1"/>
  <c r="Q32" i="4"/>
  <c r="P33" i="4"/>
  <c r="F85" i="5" s="1"/>
  <c r="P34" i="4"/>
  <c r="F86" i="5" s="1"/>
  <c r="P35" i="4"/>
  <c r="F87" i="5" s="1"/>
  <c r="Q35" i="4"/>
  <c r="P36" i="4"/>
  <c r="F88" i="5" s="1"/>
  <c r="P37" i="4"/>
  <c r="F89" i="5" s="1"/>
  <c r="P38" i="4"/>
  <c r="F90" i="5" s="1"/>
  <c r="Q38" i="4"/>
  <c r="P39" i="4"/>
  <c r="F91" i="5" s="1"/>
  <c r="P40" i="4"/>
  <c r="F140" i="5" s="1"/>
  <c r="Q40" i="4"/>
  <c r="P41" i="4"/>
  <c r="F141" i="5" s="1"/>
  <c r="Q41" i="4"/>
  <c r="P42" i="4"/>
  <c r="Q42" i="4"/>
  <c r="P43" i="4"/>
  <c r="Q43" i="4"/>
  <c r="P44" i="4"/>
  <c r="Q44" i="4"/>
  <c r="P45" i="4"/>
  <c r="Q45" i="4"/>
  <c r="P46" i="4"/>
  <c r="Q46" i="4"/>
  <c r="P47" i="4"/>
  <c r="Q47" i="4"/>
  <c r="P48" i="4"/>
  <c r="Q48" i="4"/>
  <c r="P49" i="4"/>
  <c r="P50" i="4"/>
  <c r="Q50" i="4"/>
  <c r="P51" i="4"/>
  <c r="P52" i="4"/>
  <c r="P53" i="4"/>
  <c r="Q53" i="4"/>
  <c r="P54" i="4"/>
  <c r="P55" i="4"/>
  <c r="P56" i="4"/>
  <c r="Q56" i="4"/>
  <c r="P57" i="4"/>
  <c r="P58" i="4"/>
  <c r="P59" i="4"/>
  <c r="Q59" i="4"/>
  <c r="P60" i="4"/>
  <c r="P61" i="4"/>
  <c r="P62" i="4"/>
  <c r="Q62" i="4"/>
  <c r="P63" i="4"/>
  <c r="P64" i="4"/>
  <c r="P65" i="4"/>
  <c r="Q65" i="4"/>
  <c r="P66" i="4"/>
  <c r="P67" i="4"/>
  <c r="P68" i="4"/>
  <c r="Q68" i="4"/>
  <c r="P69" i="4"/>
  <c r="P70" i="4"/>
  <c r="P71" i="4"/>
  <c r="Q71" i="4"/>
  <c r="P72" i="4"/>
  <c r="P73" i="4"/>
  <c r="P74" i="4"/>
  <c r="Q74" i="4"/>
  <c r="P75" i="4"/>
  <c r="P76" i="4"/>
  <c r="F38" i="5" s="1"/>
  <c r="P77" i="4"/>
  <c r="Q77" i="4"/>
  <c r="P78" i="4"/>
  <c r="P79" i="4"/>
  <c r="P80" i="4"/>
  <c r="Q80" i="4"/>
  <c r="P81" i="4"/>
  <c r="P82" i="4"/>
  <c r="P83" i="4"/>
  <c r="Q83" i="4"/>
  <c r="P84" i="4"/>
  <c r="P85" i="4"/>
  <c r="P86" i="4"/>
  <c r="Q86" i="4"/>
  <c r="P87" i="4"/>
  <c r="P88" i="4"/>
  <c r="N3" i="1"/>
  <c r="N4" i="1"/>
  <c r="N5" i="1"/>
  <c r="N6" i="1"/>
  <c r="N7" i="1"/>
  <c r="N8" i="1"/>
  <c r="N9" i="1"/>
  <c r="N10" i="1"/>
  <c r="N11" i="1"/>
  <c r="N12" i="1"/>
  <c r="N13" i="1"/>
  <c r="N14" i="1"/>
  <c r="N15" i="1"/>
  <c r="N16" i="1"/>
  <c r="N17" i="1"/>
  <c r="N18" i="1"/>
  <c r="N19" i="1"/>
  <c r="N20" i="1"/>
  <c r="N21" i="1"/>
  <c r="N22" i="1"/>
  <c r="N23" i="1"/>
  <c r="N24" i="1"/>
  <c r="N25" i="1"/>
  <c r="N26" i="1"/>
  <c r="N27" i="1"/>
  <c r="N28" i="1"/>
  <c r="N29" i="1"/>
  <c r="N30" i="1"/>
  <c r="N31" i="1"/>
  <c r="N32" i="1"/>
  <c r="N33" i="1"/>
  <c r="N34" i="1"/>
  <c r="N35" i="1"/>
  <c r="N36" i="1"/>
  <c r="N37" i="1"/>
  <c r="N38" i="1"/>
  <c r="N39" i="1"/>
  <c r="N40" i="1"/>
  <c r="N41" i="1"/>
  <c r="N42" i="1"/>
  <c r="N43" i="1"/>
  <c r="N44" i="1"/>
  <c r="N45" i="1"/>
  <c r="N46" i="1"/>
  <c r="N47" i="1"/>
  <c r="N48" i="1"/>
  <c r="N49" i="1"/>
  <c r="N50" i="1"/>
  <c r="N51" i="1"/>
  <c r="N52" i="1"/>
  <c r="N53" i="1"/>
  <c r="N54" i="1"/>
  <c r="N55" i="1"/>
  <c r="N56" i="1"/>
  <c r="N57" i="1"/>
  <c r="N58" i="1"/>
  <c r="N59" i="1"/>
  <c r="N60" i="1"/>
  <c r="N61" i="1"/>
  <c r="N62" i="1"/>
  <c r="N63" i="1"/>
  <c r="N64" i="1"/>
  <c r="N65" i="1"/>
  <c r="N66" i="1"/>
  <c r="N67" i="1"/>
  <c r="N68" i="1"/>
  <c r="N69" i="1"/>
  <c r="N70" i="1"/>
  <c r="N71" i="1"/>
  <c r="N72" i="1"/>
  <c r="N73" i="1"/>
  <c r="N74" i="1"/>
  <c r="N75" i="1"/>
  <c r="N76" i="1"/>
  <c r="N77" i="1"/>
  <c r="N78" i="1"/>
  <c r="N79" i="1"/>
  <c r="N80" i="1"/>
  <c r="N81" i="1"/>
  <c r="N82" i="1"/>
  <c r="N83" i="1"/>
  <c r="N84" i="1"/>
  <c r="N85" i="1"/>
  <c r="N86" i="1"/>
  <c r="N87" i="1"/>
  <c r="N88" i="1"/>
  <c r="N89" i="1"/>
  <c r="N90" i="1"/>
  <c r="N91" i="1"/>
  <c r="N92" i="1"/>
  <c r="N93" i="1"/>
  <c r="N94" i="1"/>
  <c r="N95" i="1"/>
  <c r="N96" i="1"/>
  <c r="N97" i="1"/>
  <c r="N98" i="1"/>
  <c r="N99" i="1"/>
  <c r="N100" i="1"/>
  <c r="N101" i="1"/>
  <c r="N102" i="1"/>
  <c r="N103" i="1"/>
  <c r="N104" i="1"/>
  <c r="N105" i="1"/>
  <c r="N106" i="1"/>
  <c r="N107" i="1"/>
  <c r="N108" i="1"/>
  <c r="N109" i="1"/>
  <c r="N110" i="1"/>
  <c r="N111" i="1"/>
  <c r="N112" i="1"/>
  <c r="N113" i="1"/>
  <c r="N114" i="1"/>
  <c r="N115" i="1"/>
  <c r="N116" i="1"/>
  <c r="N117" i="1"/>
  <c r="N118" i="1"/>
  <c r="N119" i="1"/>
  <c r="N120" i="1"/>
  <c r="N121" i="1"/>
  <c r="N122" i="1"/>
  <c r="N123" i="1"/>
  <c r="N124" i="1"/>
  <c r="N125" i="1"/>
  <c r="N126" i="1"/>
  <c r="N127" i="1"/>
  <c r="N128" i="1"/>
  <c r="N129" i="1"/>
  <c r="N130" i="1"/>
  <c r="N131" i="1"/>
  <c r="N132" i="1"/>
  <c r="N133" i="1"/>
  <c r="N134" i="1"/>
  <c r="N135" i="1"/>
  <c r="N136" i="1"/>
  <c r="N137" i="1"/>
  <c r="N138" i="1"/>
  <c r="N139" i="1"/>
  <c r="N140" i="1"/>
  <c r="N141" i="1"/>
  <c r="N142" i="1"/>
  <c r="N143" i="1"/>
  <c r="N144" i="1"/>
  <c r="N145" i="1"/>
  <c r="N146" i="1"/>
  <c r="N147" i="1"/>
  <c r="N148" i="1"/>
  <c r="N149" i="1"/>
  <c r="N150" i="1"/>
  <c r="N151" i="1"/>
  <c r="N152" i="1"/>
  <c r="N153" i="1"/>
  <c r="N154" i="1"/>
  <c r="N155" i="1"/>
  <c r="N156" i="1"/>
  <c r="N157" i="1"/>
  <c r="N158" i="1"/>
  <c r="N159" i="1"/>
  <c r="N160" i="1"/>
  <c r="N161" i="1"/>
  <c r="N162" i="1"/>
  <c r="N163" i="1"/>
  <c r="N164" i="1"/>
  <c r="N165" i="1"/>
  <c r="N166" i="1"/>
  <c r="N167" i="1"/>
  <c r="N168" i="1"/>
  <c r="N169" i="1"/>
  <c r="N170" i="1"/>
  <c r="N171" i="1"/>
  <c r="N172" i="1"/>
  <c r="N173" i="1"/>
  <c r="N174" i="1"/>
  <c r="N175" i="1"/>
  <c r="N176" i="1"/>
  <c r="N177" i="1"/>
  <c r="N178" i="1"/>
  <c r="N179" i="1"/>
  <c r="N180" i="1"/>
  <c r="N181" i="1"/>
  <c r="N182" i="1"/>
  <c r="N183" i="1"/>
  <c r="N184" i="1"/>
  <c r="N185" i="1"/>
  <c r="N186" i="1"/>
  <c r="N187" i="1"/>
  <c r="N188" i="1"/>
  <c r="N189" i="1"/>
  <c r="N190" i="1"/>
  <c r="N191" i="1"/>
  <c r="N192" i="1"/>
  <c r="N193" i="1"/>
  <c r="N194" i="1"/>
  <c r="N195" i="1"/>
  <c r="N196" i="1"/>
  <c r="N197" i="1"/>
  <c r="N198" i="1"/>
  <c r="N199" i="1"/>
  <c r="N200" i="1"/>
  <c r="N201" i="1"/>
  <c r="N202" i="1"/>
  <c r="N203" i="1"/>
  <c r="N204" i="1"/>
  <c r="N205" i="1"/>
  <c r="N206" i="1"/>
  <c r="N207" i="1"/>
  <c r="N208" i="1"/>
  <c r="N209" i="1"/>
  <c r="N210" i="1"/>
  <c r="N211" i="1"/>
  <c r="N212" i="1"/>
  <c r="N213" i="1"/>
  <c r="N214" i="1"/>
  <c r="N215" i="1"/>
  <c r="N216" i="1"/>
  <c r="N217" i="1"/>
  <c r="N218" i="1"/>
  <c r="N219" i="1"/>
  <c r="N220" i="1"/>
  <c r="N221" i="1"/>
  <c r="N222" i="1"/>
  <c r="N223" i="1"/>
  <c r="N224" i="1"/>
  <c r="N225" i="1"/>
  <c r="N226" i="1"/>
  <c r="N227" i="1"/>
  <c r="N228" i="1"/>
  <c r="N229" i="1"/>
  <c r="N230" i="1"/>
  <c r="N231" i="1"/>
  <c r="N232" i="1"/>
  <c r="N233" i="1"/>
  <c r="N234" i="1"/>
  <c r="N235" i="1"/>
  <c r="N236" i="1"/>
  <c r="N237" i="1"/>
  <c r="N238" i="1"/>
  <c r="N239" i="1"/>
  <c r="N240" i="1"/>
  <c r="N241" i="1"/>
  <c r="N242" i="1"/>
  <c r="N243" i="1"/>
  <c r="N244" i="1"/>
  <c r="N245" i="1"/>
  <c r="N246" i="1"/>
  <c r="N247" i="1"/>
  <c r="N248" i="1"/>
  <c r="N249" i="1"/>
  <c r="N250" i="1"/>
  <c r="N251" i="1"/>
  <c r="N252" i="1"/>
  <c r="N253" i="1"/>
  <c r="N254" i="1"/>
  <c r="N255" i="1"/>
  <c r="N256" i="1"/>
  <c r="N257" i="1"/>
  <c r="N258" i="1"/>
  <c r="N259" i="1"/>
  <c r="N260" i="1"/>
  <c r="N261" i="1"/>
  <c r="N262" i="1"/>
  <c r="N263" i="1"/>
  <c r="N264" i="1"/>
  <c r="N265" i="1"/>
  <c r="N266" i="1"/>
  <c r="N267" i="1"/>
  <c r="N268" i="1"/>
  <c r="N269" i="1"/>
  <c r="N270" i="1"/>
  <c r="N271" i="1"/>
  <c r="N272" i="1"/>
  <c r="N273" i="1"/>
  <c r="N274" i="1"/>
  <c r="N275" i="1"/>
  <c r="N276" i="1"/>
  <c r="N277" i="1"/>
  <c r="N278" i="1"/>
  <c r="N279" i="1"/>
  <c r="N280" i="1"/>
  <c r="N281" i="1"/>
  <c r="N282" i="1"/>
  <c r="N283" i="1"/>
  <c r="N284" i="1"/>
  <c r="N285" i="1"/>
  <c r="N286" i="1"/>
  <c r="N287" i="1"/>
  <c r="N288" i="1"/>
  <c r="N289" i="1"/>
  <c r="N290" i="1"/>
  <c r="N291" i="1"/>
  <c r="N292" i="1"/>
  <c r="N293" i="1"/>
  <c r="N294" i="1"/>
  <c r="N295" i="1"/>
  <c r="N296" i="1"/>
  <c r="N297" i="1"/>
  <c r="N298" i="1"/>
  <c r="N299" i="1"/>
  <c r="N300" i="1"/>
  <c r="N301" i="1"/>
  <c r="N302" i="1"/>
  <c r="N303" i="1"/>
  <c r="N304" i="1"/>
  <c r="N305" i="1"/>
  <c r="E255" i="2" s="1"/>
  <c r="N306" i="1"/>
  <c r="N307" i="1"/>
  <c r="N308" i="1"/>
  <c r="N309" i="1"/>
  <c r="N310" i="1"/>
  <c r="N311" i="1"/>
  <c r="N312" i="1"/>
  <c r="N313" i="1"/>
  <c r="N314" i="1"/>
  <c r="N315" i="1"/>
  <c r="N316" i="1"/>
  <c r="N317" i="1"/>
  <c r="N318" i="1"/>
  <c r="N319" i="1"/>
  <c r="N320" i="1"/>
  <c r="N321" i="1"/>
  <c r="N322" i="1"/>
  <c r="N323" i="1"/>
  <c r="N324" i="1"/>
  <c r="N325" i="1"/>
  <c r="N326" i="1"/>
  <c r="N327" i="1"/>
  <c r="N328" i="1"/>
  <c r="N329" i="1"/>
  <c r="N330" i="1"/>
  <c r="N331" i="1"/>
  <c r="N332" i="1"/>
  <c r="N333" i="1"/>
  <c r="N334" i="1"/>
  <c r="N335" i="1"/>
  <c r="N336" i="1"/>
  <c r="N337" i="1"/>
  <c r="N338" i="1"/>
  <c r="N339" i="1"/>
  <c r="N340" i="1"/>
  <c r="N341" i="1"/>
  <c r="N342" i="1"/>
  <c r="N343" i="1"/>
  <c r="N344" i="1"/>
  <c r="N345" i="1"/>
  <c r="N346" i="1"/>
  <c r="N347" i="1"/>
  <c r="N348" i="1"/>
  <c r="N349" i="1"/>
  <c r="N350" i="1"/>
  <c r="N351" i="1"/>
  <c r="N352" i="1"/>
  <c r="N353" i="1"/>
  <c r="N354" i="1"/>
  <c r="N355" i="1"/>
  <c r="N356" i="1"/>
  <c r="N357" i="1"/>
  <c r="N358" i="1"/>
  <c r="N359" i="1"/>
  <c r="N360" i="1"/>
  <c r="N361" i="1"/>
  <c r="N362" i="1"/>
  <c r="N363" i="1"/>
  <c r="N364" i="1"/>
  <c r="N365" i="1"/>
  <c r="N366" i="1"/>
  <c r="N367" i="1"/>
  <c r="N368" i="1"/>
  <c r="N369" i="1"/>
  <c r="N370" i="1"/>
  <c r="N371" i="1"/>
  <c r="N372" i="1"/>
  <c r="N373" i="1"/>
  <c r="N374" i="1"/>
  <c r="N375" i="1"/>
  <c r="N376" i="1"/>
  <c r="N377" i="1"/>
  <c r="N378" i="1"/>
  <c r="N379" i="1"/>
  <c r="N380" i="1"/>
  <c r="N381" i="1"/>
  <c r="N382" i="1"/>
  <c r="N383" i="1"/>
  <c r="N384" i="1"/>
  <c r="N385" i="1"/>
  <c r="N386" i="1"/>
  <c r="N387" i="1"/>
  <c r="N388" i="1"/>
  <c r="N389" i="1"/>
  <c r="N390" i="1"/>
  <c r="N391" i="1"/>
  <c r="N392" i="1"/>
  <c r="N393" i="1"/>
  <c r="N394" i="1"/>
  <c r="N395" i="1"/>
  <c r="N396" i="1"/>
  <c r="N397" i="1"/>
  <c r="N398" i="1"/>
  <c r="N399" i="1"/>
  <c r="N400" i="1"/>
  <c r="N401" i="1"/>
  <c r="N402" i="1"/>
  <c r="N403" i="1"/>
  <c r="N404" i="1"/>
  <c r="N405" i="1"/>
  <c r="N406" i="1"/>
  <c r="N407" i="1"/>
  <c r="N408" i="1"/>
  <c r="N409" i="1"/>
  <c r="N410" i="1"/>
  <c r="N411" i="1"/>
  <c r="N412" i="1"/>
  <c r="N413" i="1"/>
  <c r="N414" i="1"/>
  <c r="N415" i="1"/>
  <c r="N416" i="1"/>
  <c r="N417" i="1"/>
  <c r="N418" i="1"/>
  <c r="N419" i="1"/>
  <c r="N420" i="1"/>
  <c r="N421" i="1"/>
  <c r="N422" i="1"/>
  <c r="N423" i="1"/>
  <c r="N424" i="1"/>
  <c r="N425" i="1"/>
  <c r="N426" i="1"/>
  <c r="N427" i="1"/>
  <c r="N428" i="1"/>
  <c r="N429" i="1"/>
  <c r="N430" i="1"/>
  <c r="N431" i="1"/>
  <c r="N432" i="1"/>
  <c r="N433" i="1"/>
  <c r="N434" i="1"/>
  <c r="N435" i="1"/>
  <c r="N436" i="1"/>
  <c r="N437" i="1"/>
  <c r="N438" i="1"/>
  <c r="N439" i="1"/>
  <c r="N440" i="1"/>
  <c r="N441" i="1"/>
  <c r="N442" i="1"/>
  <c r="N443" i="1"/>
  <c r="N444" i="1"/>
  <c r="N445" i="1"/>
  <c r="N446" i="1"/>
  <c r="N447" i="1"/>
  <c r="N448" i="1"/>
  <c r="N449" i="1"/>
  <c r="N450" i="1"/>
  <c r="N451" i="1"/>
  <c r="N452" i="1"/>
  <c r="N453" i="1"/>
  <c r="N454" i="1"/>
  <c r="N455" i="1"/>
  <c r="N456" i="1"/>
  <c r="N457" i="1"/>
  <c r="N458" i="1"/>
  <c r="N459" i="1"/>
  <c r="N460" i="1"/>
  <c r="N461" i="1"/>
  <c r="N462" i="1"/>
  <c r="N463" i="1"/>
  <c r="N464" i="1"/>
  <c r="N465" i="1"/>
  <c r="N466" i="1"/>
  <c r="N467" i="1"/>
  <c r="N468" i="1"/>
  <c r="N469" i="1"/>
  <c r="N470" i="1"/>
  <c r="N471" i="1"/>
  <c r="N472" i="1"/>
  <c r="N473" i="1"/>
  <c r="N474" i="1"/>
  <c r="N475" i="1"/>
  <c r="N476" i="1"/>
  <c r="N477" i="1"/>
  <c r="N478" i="1"/>
  <c r="N479" i="1"/>
  <c r="N480" i="1"/>
  <c r="N481" i="1"/>
  <c r="N482" i="1"/>
  <c r="N483" i="1"/>
  <c r="N484" i="1"/>
  <c r="N485" i="1"/>
  <c r="N486" i="1"/>
  <c r="N487" i="1"/>
  <c r="N488" i="1"/>
  <c r="N489" i="1"/>
  <c r="N490" i="1"/>
  <c r="N491" i="1"/>
  <c r="N492" i="1"/>
  <c r="N493" i="1"/>
  <c r="N494" i="1"/>
  <c r="N495" i="1"/>
  <c r="N496" i="1"/>
  <c r="N497" i="1"/>
  <c r="N498" i="1"/>
  <c r="N499" i="1"/>
  <c r="N500" i="1"/>
  <c r="N501" i="1"/>
  <c r="N502" i="1"/>
  <c r="N503" i="1"/>
  <c r="N504" i="1"/>
  <c r="N505" i="1"/>
  <c r="N506" i="1"/>
  <c r="N507" i="1"/>
  <c r="N508" i="1"/>
  <c r="N509" i="1"/>
  <c r="N510" i="1"/>
  <c r="N511" i="1"/>
  <c r="N512" i="1"/>
  <c r="N513" i="1"/>
  <c r="N514" i="1"/>
  <c r="N515" i="1"/>
  <c r="N516" i="1"/>
  <c r="N517" i="1"/>
  <c r="N518" i="1"/>
  <c r="N519" i="1"/>
  <c r="N520" i="1"/>
  <c r="N521" i="1"/>
  <c r="N522" i="1"/>
  <c r="N523" i="1"/>
  <c r="N524" i="1"/>
  <c r="N525" i="1"/>
  <c r="N526" i="1"/>
  <c r="N527" i="1"/>
  <c r="N528" i="1"/>
  <c r="N529" i="1"/>
  <c r="N530" i="1"/>
  <c r="N531" i="1"/>
  <c r="N532" i="1"/>
  <c r="N533" i="1"/>
  <c r="N534" i="1"/>
  <c r="N535" i="1"/>
  <c r="N536" i="1"/>
  <c r="N537" i="1"/>
  <c r="N538" i="1"/>
  <c r="N539" i="1"/>
  <c r="N540" i="1"/>
  <c r="N541" i="1"/>
  <c r="N542" i="1"/>
  <c r="N543" i="1"/>
  <c r="N544" i="1"/>
  <c r="N545" i="1"/>
  <c r="N546" i="1"/>
  <c r="N547" i="1"/>
  <c r="N548" i="1"/>
  <c r="N549" i="1"/>
  <c r="N550" i="1"/>
  <c r="N551" i="1"/>
  <c r="N552" i="1"/>
  <c r="N553" i="1"/>
  <c r="N554" i="1"/>
  <c r="N555" i="1"/>
  <c r="N556" i="1"/>
  <c r="N557" i="1"/>
  <c r="N558" i="1"/>
  <c r="N559" i="1"/>
  <c r="N560" i="1"/>
  <c r="N561" i="1"/>
  <c r="N562" i="1"/>
  <c r="N563" i="1"/>
  <c r="N564" i="1"/>
  <c r="N565" i="1"/>
  <c r="N566" i="1"/>
  <c r="N567" i="1"/>
  <c r="N568" i="1"/>
  <c r="N569" i="1"/>
  <c r="N570" i="1"/>
  <c r="N571" i="1"/>
  <c r="N572" i="1"/>
  <c r="N573" i="1"/>
  <c r="N574" i="1"/>
  <c r="N575" i="1"/>
  <c r="N576" i="1"/>
  <c r="N577" i="1"/>
  <c r="N578" i="1"/>
  <c r="N579" i="1"/>
  <c r="N580" i="1"/>
  <c r="N581" i="1"/>
  <c r="N582" i="1"/>
  <c r="N583" i="1"/>
  <c r="N584" i="1"/>
  <c r="N585" i="1"/>
  <c r="N586" i="1"/>
  <c r="N587" i="1"/>
  <c r="E578" i="2" s="1"/>
  <c r="N588" i="1"/>
  <c r="N589" i="1"/>
  <c r="N590" i="1"/>
  <c r="N2" i="1"/>
  <c r="Q2" i="4"/>
  <c r="P2" i="4"/>
  <c r="F3" i="5" s="1"/>
  <c r="E301" i="2" l="1"/>
  <c r="E512" i="2"/>
  <c r="E568" i="2"/>
  <c r="F93" i="5"/>
  <c r="F116" i="5"/>
  <c r="F115" i="5"/>
  <c r="F142" i="5"/>
  <c r="X141" i="5"/>
  <c r="R146" i="4"/>
  <c r="R139" i="4"/>
  <c r="R143" i="4"/>
  <c r="R140" i="4"/>
  <c r="R144" i="4"/>
  <c r="R142" i="4"/>
  <c r="R141" i="4"/>
  <c r="R145" i="4"/>
  <c r="F22" i="5"/>
  <c r="U246" i="2"/>
  <c r="P246" i="2"/>
  <c r="E176" i="2"/>
  <c r="E401" i="2"/>
  <c r="E82" i="2"/>
  <c r="E361" i="2"/>
  <c r="E449" i="2"/>
  <c r="E469" i="2"/>
  <c r="E270" i="2"/>
  <c r="F54" i="5"/>
  <c r="F114" i="5"/>
  <c r="F113" i="5"/>
  <c r="F45" i="5"/>
  <c r="F15" i="5"/>
  <c r="E118" i="2"/>
  <c r="E447" i="2"/>
  <c r="E386" i="2"/>
  <c r="E120" i="2"/>
  <c r="E126" i="2"/>
  <c r="E417" i="2"/>
  <c r="E508" i="2"/>
  <c r="E381" i="2"/>
  <c r="E446" i="2"/>
  <c r="E376" i="2"/>
  <c r="E379" i="2"/>
  <c r="E125" i="2"/>
  <c r="E382" i="2"/>
  <c r="E484" i="2"/>
  <c r="E256" i="2"/>
  <c r="E207" i="2"/>
  <c r="E324" i="2"/>
  <c r="E383" i="2"/>
  <c r="E104" i="2"/>
  <c r="E100" i="2"/>
  <c r="E419" i="2"/>
  <c r="E154" i="2"/>
  <c r="E387" i="2"/>
  <c r="E199" i="2"/>
  <c r="E349" i="2"/>
  <c r="E515" i="2"/>
  <c r="E315" i="2"/>
  <c r="E547" i="2"/>
  <c r="E140" i="2"/>
  <c r="E246" i="2"/>
  <c r="E166" i="2"/>
  <c r="E582" i="2"/>
  <c r="E368" i="2"/>
  <c r="E536" i="2"/>
  <c r="E276" i="2"/>
  <c r="E144" i="2"/>
  <c r="E248" i="2"/>
  <c r="E72" i="2"/>
  <c r="E11" i="2"/>
  <c r="L434" i="2"/>
  <c r="K434" i="2"/>
  <c r="Q245" i="2"/>
  <c r="T245" i="2" s="1"/>
  <c r="P245" i="2"/>
  <c r="L49" i="2"/>
  <c r="L244" i="2"/>
  <c r="Q244" i="2" s="1"/>
  <c r="E249" i="2"/>
  <c r="E283" i="2"/>
  <c r="E198" i="2"/>
  <c r="E208" i="2"/>
  <c r="E79" i="2"/>
  <c r="E454" i="2"/>
  <c r="E369" i="2"/>
  <c r="E204" i="2"/>
  <c r="E366" i="2"/>
  <c r="E558" i="2"/>
  <c r="E284" i="2"/>
  <c r="E156" i="2"/>
  <c r="E213" i="2"/>
  <c r="E233" i="2"/>
  <c r="E471" i="2"/>
  <c r="E380" i="2"/>
  <c r="E478" i="2"/>
  <c r="E70" i="2"/>
  <c r="E137" i="2"/>
  <c r="E113" i="2"/>
  <c r="E195" i="2"/>
  <c r="E18" i="2"/>
  <c r="E41" i="2"/>
  <c r="E459" i="2"/>
  <c r="E78" i="2"/>
  <c r="E179" i="2"/>
  <c r="E250" i="2"/>
  <c r="E196" i="2"/>
  <c r="E200" i="2"/>
  <c r="E555" i="2"/>
  <c r="E363" i="2"/>
  <c r="E458" i="2"/>
  <c r="E85" i="2"/>
  <c r="E23" i="2"/>
  <c r="E59" i="2"/>
  <c r="E55" i="2"/>
  <c r="E19" i="2"/>
  <c r="E92" i="2"/>
  <c r="E320" i="2"/>
  <c r="Y26" i="5"/>
  <c r="Y25" i="5"/>
  <c r="F96" i="5"/>
  <c r="F36" i="5"/>
  <c r="W113" i="5"/>
  <c r="X113" i="5"/>
  <c r="X38" i="5"/>
  <c r="R38" i="5"/>
  <c r="Y23" i="5"/>
  <c r="Y35" i="5"/>
  <c r="Y34" i="5"/>
  <c r="Y43" i="5"/>
  <c r="Y31" i="5"/>
  <c r="Y37" i="5"/>
  <c r="Y33" i="5"/>
  <c r="Y30" i="5"/>
  <c r="Y51" i="5"/>
  <c r="Y47" i="5"/>
  <c r="R3" i="4"/>
  <c r="R15" i="4"/>
  <c r="R27" i="4"/>
  <c r="R39" i="4"/>
  <c r="R51" i="4"/>
  <c r="R63" i="4"/>
  <c r="R75" i="4"/>
  <c r="R87" i="4"/>
  <c r="R99" i="4"/>
  <c r="R111" i="4"/>
  <c r="R123" i="4"/>
  <c r="R135" i="4"/>
  <c r="R72" i="4"/>
  <c r="R4" i="4"/>
  <c r="R16" i="4"/>
  <c r="R28" i="4"/>
  <c r="R40" i="4"/>
  <c r="R52" i="4"/>
  <c r="R64" i="4"/>
  <c r="R76" i="4"/>
  <c r="R88" i="4"/>
  <c r="R100" i="4"/>
  <c r="R112" i="4"/>
  <c r="R124" i="4"/>
  <c r="R136" i="4"/>
  <c r="R12" i="4"/>
  <c r="R48" i="4"/>
  <c r="R84" i="4"/>
  <c r="R38" i="4"/>
  <c r="R5" i="4"/>
  <c r="R17" i="4"/>
  <c r="R29" i="4"/>
  <c r="R41" i="4"/>
  <c r="R53" i="4"/>
  <c r="R65" i="4"/>
  <c r="R77" i="4"/>
  <c r="R89" i="4"/>
  <c r="R101" i="4"/>
  <c r="R113" i="4"/>
  <c r="R125" i="4"/>
  <c r="R137" i="4"/>
  <c r="R60" i="4"/>
  <c r="R132" i="4"/>
  <c r="R26" i="4"/>
  <c r="R6" i="4"/>
  <c r="R18" i="4"/>
  <c r="R30" i="4"/>
  <c r="R42" i="4"/>
  <c r="R54" i="4"/>
  <c r="R66" i="4"/>
  <c r="R78" i="4"/>
  <c r="R90" i="4"/>
  <c r="R102" i="4"/>
  <c r="R114" i="4"/>
  <c r="R126" i="4"/>
  <c r="R138" i="4"/>
  <c r="R98" i="4"/>
  <c r="R7" i="4"/>
  <c r="R19" i="4"/>
  <c r="R31" i="4"/>
  <c r="R43" i="4"/>
  <c r="R55" i="4"/>
  <c r="R67" i="4"/>
  <c r="R79" i="4"/>
  <c r="R91" i="4"/>
  <c r="R103" i="4"/>
  <c r="R115" i="4"/>
  <c r="R127" i="4"/>
  <c r="R2" i="4"/>
  <c r="R24" i="4"/>
  <c r="R108" i="4"/>
  <c r="R50" i="4"/>
  <c r="R122" i="4"/>
  <c r="R8" i="4"/>
  <c r="R20" i="4"/>
  <c r="R32" i="4"/>
  <c r="R44" i="4"/>
  <c r="R56" i="4"/>
  <c r="R68" i="4"/>
  <c r="R80" i="4"/>
  <c r="R92" i="4"/>
  <c r="R104" i="4"/>
  <c r="R116" i="4"/>
  <c r="R128" i="4"/>
  <c r="R120" i="4"/>
  <c r="R62" i="4"/>
  <c r="R9" i="4"/>
  <c r="R21" i="4"/>
  <c r="R33" i="4"/>
  <c r="R45" i="4"/>
  <c r="R57" i="4"/>
  <c r="R69" i="4"/>
  <c r="R81" i="4"/>
  <c r="R93" i="4"/>
  <c r="R105" i="4"/>
  <c r="R117" i="4"/>
  <c r="R129" i="4"/>
  <c r="R131" i="4"/>
  <c r="R36" i="4"/>
  <c r="R96" i="4"/>
  <c r="R74" i="4"/>
  <c r="R10" i="4"/>
  <c r="R22" i="4"/>
  <c r="R34" i="4"/>
  <c r="R46" i="4"/>
  <c r="R58" i="4"/>
  <c r="R70" i="4"/>
  <c r="R82" i="4"/>
  <c r="R94" i="4"/>
  <c r="R106" i="4"/>
  <c r="R118" i="4"/>
  <c r="R130" i="4"/>
  <c r="R110" i="4"/>
  <c r="R11" i="4"/>
  <c r="R23" i="4"/>
  <c r="R35" i="4"/>
  <c r="R47" i="4"/>
  <c r="R59" i="4"/>
  <c r="R71" i="4"/>
  <c r="R83" i="4"/>
  <c r="R95" i="4"/>
  <c r="R107" i="4"/>
  <c r="R119" i="4"/>
  <c r="R13" i="4"/>
  <c r="R25" i="4"/>
  <c r="R37" i="4"/>
  <c r="R49" i="4"/>
  <c r="R61" i="4"/>
  <c r="R73" i="4"/>
  <c r="R85" i="4"/>
  <c r="R97" i="4"/>
  <c r="R109" i="4"/>
  <c r="R121" i="4"/>
  <c r="R133" i="4"/>
  <c r="R14" i="4"/>
  <c r="R86" i="4"/>
  <c r="R134" i="4"/>
  <c r="F17" i="5"/>
  <c r="F9" i="5"/>
  <c r="F50" i="5"/>
  <c r="F104" i="5"/>
  <c r="F12" i="5"/>
  <c r="F6" i="5"/>
  <c r="F103" i="5"/>
  <c r="F46" i="5"/>
  <c r="F18" i="5"/>
  <c r="F100" i="5"/>
  <c r="F14" i="5"/>
  <c r="F8" i="5"/>
  <c r="F13" i="5"/>
  <c r="F7" i="5"/>
  <c r="F41" i="5"/>
  <c r="F31" i="5"/>
  <c r="F21" i="5"/>
  <c r="F20" i="5"/>
  <c r="F19" i="5"/>
  <c r="F11" i="5"/>
  <c r="F5" i="5"/>
  <c r="F27" i="5"/>
  <c r="F10" i="5"/>
  <c r="F16" i="5"/>
  <c r="E7" i="2"/>
  <c r="E585" i="2"/>
  <c r="E95" i="2"/>
  <c r="E423" i="2"/>
  <c r="E99" i="2"/>
  <c r="E145" i="2"/>
  <c r="E571" i="2"/>
  <c r="E109" i="2"/>
  <c r="E583" i="2"/>
  <c r="E338" i="2"/>
  <c r="E9" i="2"/>
  <c r="E90" i="2"/>
  <c r="E581" i="2"/>
  <c r="E407" i="2"/>
  <c r="E396" i="2"/>
  <c r="E542" i="2"/>
  <c r="E279" i="2"/>
  <c r="E521" i="2"/>
  <c r="E290" i="2"/>
  <c r="E139" i="2"/>
  <c r="E488" i="2"/>
  <c r="E245" i="2"/>
  <c r="E86" i="2"/>
  <c r="E548" i="2"/>
  <c r="E311" i="2"/>
  <c r="E103" i="2"/>
  <c r="E56" i="2"/>
  <c r="E24" i="2"/>
  <c r="E42" i="2"/>
  <c r="E430" i="2"/>
  <c r="E88" i="2"/>
  <c r="E576" i="2"/>
  <c r="E302" i="2"/>
  <c r="E5" i="2"/>
  <c r="E389" i="2"/>
  <c r="E80" i="2"/>
  <c r="E442" i="2"/>
  <c r="E241" i="2"/>
  <c r="E427" i="2"/>
  <c r="E526" i="2"/>
  <c r="E322" i="2"/>
  <c r="E287" i="2"/>
  <c r="E286" i="2"/>
  <c r="E553" i="2"/>
  <c r="E543" i="2"/>
  <c r="E410" i="2"/>
  <c r="E152" i="2"/>
  <c r="E331" i="2"/>
  <c r="E71" i="2"/>
  <c r="E307" i="2"/>
  <c r="E110" i="2"/>
  <c r="E129" i="2"/>
  <c r="E174" i="2"/>
  <c r="E453" i="2"/>
  <c r="E460" i="2"/>
  <c r="E556" i="2"/>
  <c r="E499" i="2"/>
  <c r="E203" i="2"/>
  <c r="E151" i="2"/>
  <c r="E384" i="2"/>
  <c r="E225" i="2"/>
  <c r="E504" i="2"/>
  <c r="E39" i="2"/>
  <c r="E189" i="2"/>
  <c r="E89" i="2"/>
  <c r="E40" i="2"/>
  <c r="E32" i="2"/>
  <c r="E441" i="2"/>
  <c r="E473" i="2"/>
  <c r="T361" i="2"/>
  <c r="U361" i="2"/>
  <c r="E243" i="2"/>
  <c r="E433" i="2"/>
  <c r="E220" i="2"/>
  <c r="E493" i="2"/>
  <c r="E35" i="2"/>
  <c r="E538" i="2"/>
  <c r="E456" i="2"/>
  <c r="E579" i="2"/>
  <c r="E513" i="2"/>
  <c r="E509" i="2"/>
  <c r="E321" i="2"/>
  <c r="E306" i="2"/>
  <c r="E559" i="2"/>
  <c r="E444" i="2"/>
  <c r="E409" i="2"/>
  <c r="E227" i="2"/>
  <c r="E502" i="2"/>
  <c r="E274" i="2"/>
  <c r="E26" i="2"/>
  <c r="E96" i="2"/>
  <c r="E275" i="2"/>
  <c r="E58" i="2"/>
  <c r="E130" i="2"/>
  <c r="E169" i="2"/>
  <c r="E121" i="2"/>
  <c r="E415" i="2"/>
  <c r="E224" i="2"/>
  <c r="E64" i="2"/>
  <c r="E367" i="2"/>
  <c r="E175" i="2"/>
  <c r="E76" i="2"/>
  <c r="E44" i="2"/>
  <c r="E74" i="2"/>
  <c r="E221" i="2"/>
  <c r="E354" i="2"/>
  <c r="E440" i="2"/>
  <c r="E299" i="2"/>
  <c r="E294" i="2"/>
  <c r="E461" i="2"/>
  <c r="E160" i="2"/>
  <c r="E142" i="2"/>
  <c r="E263" i="2"/>
  <c r="E470" i="2"/>
  <c r="E494" i="2"/>
  <c r="E187" i="2"/>
  <c r="E242" i="2"/>
  <c r="E149" i="2"/>
  <c r="E188" i="2"/>
  <c r="E217" i="2"/>
  <c r="E588" i="2"/>
  <c r="E406" i="2"/>
  <c r="E326" i="2"/>
  <c r="E402" i="2"/>
  <c r="E229" i="2"/>
  <c r="E119" i="2"/>
  <c r="E108" i="2"/>
  <c r="E432" i="2"/>
  <c r="E475" i="2"/>
  <c r="E105" i="2"/>
  <c r="E136" i="2"/>
  <c r="E112" i="2"/>
  <c r="E54" i="2"/>
  <c r="E48" i="2"/>
  <c r="E492" i="2"/>
  <c r="E443" i="2"/>
  <c r="E185" i="2"/>
  <c r="E525" i="2"/>
  <c r="E298" i="2"/>
  <c r="E463" i="2"/>
  <c r="E421" i="2"/>
  <c r="E496" i="2"/>
  <c r="E97" i="2"/>
  <c r="E3" i="2"/>
  <c r="E336" i="2"/>
  <c r="E534" i="2"/>
  <c r="E122" i="2"/>
  <c r="E300" i="2"/>
  <c r="E528" i="2"/>
  <c r="E161" i="2"/>
  <c r="E292" i="2"/>
  <c r="E497" i="2"/>
  <c r="E159" i="2"/>
  <c r="E412" i="2"/>
  <c r="E223" i="2"/>
  <c r="E73" i="2"/>
  <c r="E12" i="2"/>
  <c r="E60" i="2"/>
  <c r="E477" i="2"/>
  <c r="E43" i="2"/>
  <c r="E472" i="2"/>
  <c r="E289" i="2"/>
  <c r="E219" i="2"/>
  <c r="E480" i="2"/>
  <c r="E165" i="2"/>
  <c r="E288" i="2"/>
  <c r="E183" i="2"/>
  <c r="E172" i="2"/>
  <c r="E451" i="2"/>
  <c r="E343" i="2"/>
  <c r="E334" i="2"/>
  <c r="E247" i="2"/>
  <c r="E486" i="2"/>
  <c r="E107" i="2"/>
  <c r="E261" i="2"/>
  <c r="E157" i="2"/>
  <c r="E435" i="2"/>
  <c r="E138" i="2"/>
  <c r="E216" i="2"/>
  <c r="E507" i="2"/>
  <c r="E580" i="2"/>
  <c r="E282" i="2"/>
  <c r="E155" i="2"/>
  <c r="E117" i="2"/>
  <c r="E171" i="2"/>
  <c r="E445" i="2"/>
  <c r="E344" i="2"/>
  <c r="E215" i="2"/>
  <c r="E481" i="2"/>
  <c r="E491" i="2"/>
  <c r="E182" i="2"/>
  <c r="E134" i="2"/>
  <c r="E124" i="2"/>
  <c r="E265" i="2"/>
  <c r="E167" i="2"/>
  <c r="E186" i="2"/>
  <c r="E498" i="2"/>
  <c r="E244" i="2"/>
  <c r="E550" i="2"/>
  <c r="E31" i="2"/>
  <c r="E370" i="2"/>
  <c r="E532" i="2"/>
  <c r="E400" i="2"/>
  <c r="E317" i="2"/>
  <c r="E545" i="2"/>
  <c r="E68" i="2"/>
  <c r="E226" i="2"/>
  <c r="E561" i="2"/>
  <c r="E374" i="2"/>
  <c r="E312" i="2"/>
  <c r="E303" i="2"/>
  <c r="E479" i="2"/>
  <c r="E434" i="2"/>
  <c r="E258" i="2"/>
  <c r="E177" i="2"/>
  <c r="E505" i="2"/>
  <c r="E127" i="2"/>
  <c r="E487" i="2"/>
  <c r="E163" i="2"/>
  <c r="E520" i="2"/>
  <c r="E490" i="2"/>
  <c r="E148" i="2"/>
  <c r="E474" i="2"/>
  <c r="E30" i="2"/>
  <c r="E455" i="2"/>
  <c r="E197" i="2"/>
  <c r="E230" i="2"/>
  <c r="E150" i="2"/>
  <c r="E143" i="2"/>
  <c r="E238" i="2"/>
  <c r="E352" i="2"/>
  <c r="E61" i="2"/>
  <c r="E77" i="2"/>
  <c r="E131" i="2"/>
  <c r="E38" i="2"/>
  <c r="E33" i="2"/>
  <c r="E259" i="2"/>
  <c r="E251" i="2"/>
  <c r="E133" i="2"/>
  <c r="E52" i="2"/>
  <c r="E327" i="2"/>
  <c r="E535" i="2"/>
  <c r="E135" i="2"/>
  <c r="E281" i="2"/>
  <c r="E522" i="2"/>
  <c r="E194" i="2"/>
  <c r="E333" i="2"/>
  <c r="E50" i="2"/>
  <c r="E355" i="2"/>
  <c r="E273" i="2"/>
  <c r="E569" i="2"/>
  <c r="E570" i="2"/>
  <c r="E49" i="2"/>
  <c r="E464" i="2"/>
  <c r="E340" i="2"/>
  <c r="E462" i="2"/>
  <c r="E277" i="2"/>
  <c r="E375" i="2"/>
  <c r="E293" i="2"/>
  <c r="E193" i="2"/>
  <c r="E240" i="2"/>
  <c r="E560" i="2"/>
  <c r="E398" i="2"/>
  <c r="E439" i="2"/>
  <c r="E591" i="2"/>
  <c r="E319" i="2"/>
  <c r="E205" i="2"/>
  <c r="E358" i="2"/>
  <c r="E191" i="2"/>
  <c r="E332" i="2"/>
  <c r="E318" i="2"/>
  <c r="E101" i="2"/>
  <c r="E424" i="2"/>
  <c r="E153" i="2"/>
  <c r="E360" i="2"/>
  <c r="E114" i="2"/>
  <c r="E554" i="2"/>
  <c r="E356" i="2"/>
  <c r="E347" i="2"/>
  <c r="E562" i="2"/>
  <c r="E115" i="2"/>
  <c r="E516" i="2"/>
  <c r="E531" i="2"/>
  <c r="E527" i="2"/>
  <c r="E63" i="2"/>
  <c r="E476" i="2"/>
  <c r="E29" i="2"/>
  <c r="E565" i="2"/>
  <c r="E544" i="2"/>
  <c r="E586" i="2"/>
  <c r="E537" i="2"/>
  <c r="E314" i="2"/>
  <c r="E232" i="2"/>
  <c r="E62" i="2"/>
  <c r="E411" i="2"/>
  <c r="E529" i="2"/>
  <c r="E514" i="2"/>
  <c r="E264" i="2"/>
  <c r="E13" i="2"/>
  <c r="E350" i="2"/>
  <c r="E102" i="2"/>
  <c r="E46" i="2"/>
  <c r="E84" i="2"/>
  <c r="E16" i="2"/>
  <c r="E254" i="2"/>
  <c r="E181" i="2"/>
  <c r="E291" i="2"/>
  <c r="E519" i="2"/>
  <c r="E278" i="2"/>
  <c r="E158" i="2"/>
  <c r="E83" i="2"/>
  <c r="E98" i="2"/>
  <c r="E4" i="2"/>
  <c r="E323" i="2"/>
  <c r="E237" i="2"/>
  <c r="E116" i="2"/>
  <c r="E212" i="2"/>
  <c r="E47" i="2"/>
  <c r="E173" i="2"/>
  <c r="E53" i="2"/>
  <c r="E37" i="2"/>
  <c r="E17" i="2"/>
  <c r="E429" i="2"/>
  <c r="E81" i="2"/>
  <c r="E335" i="2"/>
  <c r="E425" i="2"/>
  <c r="E385" i="2"/>
  <c r="E342" i="2"/>
  <c r="E231" i="2"/>
  <c r="E523" i="2"/>
  <c r="L315" i="2"/>
  <c r="Y27" i="5"/>
  <c r="Y48" i="5"/>
  <c r="Y29" i="5"/>
  <c r="Y50" i="5"/>
  <c r="Y39" i="5"/>
  <c r="Y32" i="5"/>
  <c r="Y21" i="5"/>
  <c r="Y42" i="5"/>
  <c r="Y49" i="5"/>
  <c r="M50" i="5"/>
  <c r="M40" i="5"/>
  <c r="Y22" i="5"/>
  <c r="Y44" i="5"/>
  <c r="Y45" i="5"/>
  <c r="Y24" i="5"/>
  <c r="Y46" i="5"/>
  <c r="M41" i="5"/>
  <c r="M42" i="5"/>
  <c r="M43" i="5"/>
  <c r="M44" i="5"/>
  <c r="M45" i="5"/>
  <c r="M46" i="5"/>
  <c r="M47" i="5"/>
  <c r="Y40" i="5"/>
  <c r="M48" i="5"/>
  <c r="Y41" i="5"/>
  <c r="M49" i="5"/>
  <c r="M37" i="5"/>
  <c r="M39" i="5"/>
  <c r="M51" i="5"/>
  <c r="L22" i="5"/>
  <c r="Q22" i="5"/>
  <c r="E15" i="2"/>
  <c r="E22" i="2"/>
  <c r="F40" i="5"/>
  <c r="F111" i="5"/>
  <c r="F48" i="5"/>
  <c r="F39" i="5"/>
  <c r="F110" i="5"/>
  <c r="F98" i="5"/>
  <c r="F49" i="5"/>
  <c r="F109" i="5"/>
  <c r="F55" i="5"/>
  <c r="F30" i="5"/>
  <c r="F99" i="5"/>
  <c r="F29" i="5"/>
  <c r="F47" i="5"/>
  <c r="F37" i="5"/>
  <c r="F28" i="5"/>
  <c r="F108" i="5"/>
  <c r="F106" i="5"/>
  <c r="F52" i="5"/>
  <c r="F26" i="5"/>
  <c r="F105" i="5"/>
  <c r="F97" i="5"/>
  <c r="F35" i="5"/>
  <c r="F25" i="5"/>
  <c r="F43" i="5"/>
  <c r="F44" i="5"/>
  <c r="F92" i="5"/>
  <c r="F24" i="5"/>
  <c r="F51" i="5"/>
  <c r="F32" i="5"/>
  <c r="F102" i="5"/>
  <c r="F95" i="5"/>
  <c r="F94" i="5"/>
  <c r="F34" i="5"/>
  <c r="F33" i="5"/>
  <c r="F42" i="5"/>
  <c r="F23" i="5"/>
  <c r="F101" i="5"/>
  <c r="E8" i="2"/>
  <c r="E65" i="2"/>
  <c r="E67" i="2"/>
  <c r="E66" i="2"/>
  <c r="E27" i="2"/>
  <c r="E10" i="2"/>
  <c r="E36" i="2"/>
  <c r="L383" i="2"/>
  <c r="Q383" i="2" s="1"/>
  <c r="L102" i="5"/>
  <c r="M102" i="5" s="1"/>
  <c r="N102" i="5" s="1"/>
  <c r="S102" i="5" s="1"/>
  <c r="W102" i="5" s="1"/>
  <c r="L101" i="5"/>
  <c r="M101" i="5" s="1"/>
  <c r="N101" i="5" s="1"/>
  <c r="S101" i="5" s="1"/>
  <c r="L433" i="2"/>
  <c r="L443" i="2"/>
  <c r="L5" i="2"/>
  <c r="M108" i="5"/>
  <c r="N108" i="5" s="1"/>
  <c r="S108" i="5" s="1"/>
  <c r="X108" i="5" s="1"/>
  <c r="M107" i="5"/>
  <c r="N107" i="5" s="1"/>
  <c r="R107" i="5" s="1"/>
  <c r="Q102" i="5"/>
  <c r="Q96" i="5"/>
  <c r="N96" i="5"/>
  <c r="R96" i="5" s="1"/>
  <c r="Q108" i="5"/>
  <c r="Q110" i="5"/>
  <c r="L110" i="5"/>
  <c r="M110" i="5" s="1"/>
  <c r="N110" i="5" s="1"/>
  <c r="L100" i="5"/>
  <c r="M100" i="5" s="1"/>
  <c r="N100" i="5" s="1"/>
  <c r="Q111" i="5"/>
  <c r="L111" i="5"/>
  <c r="M111" i="5" s="1"/>
  <c r="N111" i="5" s="1"/>
  <c r="L94" i="5"/>
  <c r="N94" i="5" s="1"/>
  <c r="Q99" i="5"/>
  <c r="L99" i="5"/>
  <c r="M99" i="5" s="1"/>
  <c r="N99" i="5" s="1"/>
  <c r="L112" i="5"/>
  <c r="M112" i="5" s="1"/>
  <c r="N112" i="5" s="1"/>
  <c r="S112" i="5" s="1"/>
  <c r="Q105" i="5"/>
  <c r="L105" i="5"/>
  <c r="M105" i="5" s="1"/>
  <c r="N105" i="5" s="1"/>
  <c r="L106" i="5"/>
  <c r="M106" i="5" s="1"/>
  <c r="N106" i="5" s="1"/>
  <c r="Q112" i="5"/>
  <c r="Q109" i="5"/>
  <c r="Q106" i="5"/>
  <c r="Q100" i="5"/>
  <c r="Q94" i="5"/>
  <c r="Q107" i="5"/>
  <c r="Q101" i="5"/>
  <c r="Q98" i="5"/>
  <c r="Q95" i="5"/>
  <c r="N95" i="5"/>
  <c r="L92" i="5"/>
  <c r="N92" i="5" s="1"/>
  <c r="Q92" i="5"/>
  <c r="O244" i="2"/>
  <c r="J314" i="2"/>
  <c r="J508" i="2"/>
  <c r="K508" i="2" s="1"/>
  <c r="O508" i="2"/>
  <c r="O383" i="2"/>
  <c r="O176" i="2"/>
  <c r="O5" i="2"/>
  <c r="Q82" i="4"/>
  <c r="Q64" i="4"/>
  <c r="Q22" i="4"/>
  <c r="Q4" i="4"/>
  <c r="Q94" i="4"/>
  <c r="Q76" i="4"/>
  <c r="Q58" i="4"/>
  <c r="Q52" i="4"/>
  <c r="Q28" i="4"/>
  <c r="Q10" i="4"/>
  <c r="Q103" i="4"/>
  <c r="Q88" i="4"/>
  <c r="Q70" i="4"/>
  <c r="Q34" i="4"/>
  <c r="Q16" i="4"/>
  <c r="Q87" i="4"/>
  <c r="Q81" i="4"/>
  <c r="Q75" i="4"/>
  <c r="Q69" i="4"/>
  <c r="Q63" i="4"/>
  <c r="Q57" i="4"/>
  <c r="Q51" i="4"/>
  <c r="Q39" i="4"/>
  <c r="Q33" i="4"/>
  <c r="Q27" i="4"/>
  <c r="Q21" i="4"/>
  <c r="Q15" i="4"/>
  <c r="Q9" i="4"/>
  <c r="G88" i="5"/>
  <c r="G76" i="5"/>
  <c r="G64" i="5"/>
  <c r="G52" i="5"/>
  <c r="G40" i="5"/>
  <c r="G27" i="5"/>
  <c r="G14" i="5"/>
  <c r="D14" i="5"/>
  <c r="Q100" i="4"/>
  <c r="Q85" i="4"/>
  <c r="Q73" i="4"/>
  <c r="Q61" i="4"/>
  <c r="Q31" i="4"/>
  <c r="Q19" i="4"/>
  <c r="Q7" i="4"/>
  <c r="Q79" i="4"/>
  <c r="Q67" i="4"/>
  <c r="Q55" i="4"/>
  <c r="Q49" i="4"/>
  <c r="Q37" i="4"/>
  <c r="Q25" i="4"/>
  <c r="Q13" i="4"/>
  <c r="Q89" i="4"/>
  <c r="Q84" i="4"/>
  <c r="Q78" i="4"/>
  <c r="Q72" i="4"/>
  <c r="Q66" i="4"/>
  <c r="Q60" i="4"/>
  <c r="Q54" i="4"/>
  <c r="Q36" i="4"/>
  <c r="Q30" i="4"/>
  <c r="Q24" i="4"/>
  <c r="Q18" i="4"/>
  <c r="Q12" i="4"/>
  <c r="Q105" i="4"/>
  <c r="Q99" i="4"/>
  <c r="Q93" i="4"/>
  <c r="Q104" i="4"/>
  <c r="Q98" i="4"/>
  <c r="Q92" i="4"/>
  <c r="Q97" i="4"/>
  <c r="Q91" i="4"/>
  <c r="Q108" i="4"/>
  <c r="Q102" i="4"/>
  <c r="Q96" i="4"/>
  <c r="Q90" i="4"/>
  <c r="Q107" i="4"/>
  <c r="Q101" i="4"/>
  <c r="Q95" i="4"/>
  <c r="M418" i="2"/>
  <c r="N590" i="2"/>
  <c r="N467" i="2"/>
  <c r="M555" i="2"/>
  <c r="M520" i="2"/>
  <c r="M501" i="2"/>
  <c r="M378" i="2"/>
  <c r="M364" i="2"/>
  <c r="M330" i="2"/>
  <c r="N271" i="2"/>
  <c r="N250" i="2"/>
  <c r="M202" i="2"/>
  <c r="N147" i="2"/>
  <c r="M137" i="2"/>
  <c r="N39" i="2"/>
  <c r="M28" i="2"/>
  <c r="D464" i="2"/>
  <c r="D439" i="2"/>
  <c r="E416" i="2"/>
  <c r="F406" i="2"/>
  <c r="F402" i="2"/>
  <c r="E393" i="2"/>
  <c r="C467" i="2"/>
  <c r="D583" i="2"/>
  <c r="E577" i="2"/>
  <c r="F520" i="2"/>
  <c r="C516" i="2"/>
  <c r="E511" i="2"/>
  <c r="C498" i="2"/>
  <c r="E272" i="2"/>
  <c r="D366" i="2"/>
  <c r="F327" i="2"/>
  <c r="C289" i="2"/>
  <c r="C381" i="2"/>
  <c r="C375" i="2"/>
  <c r="C359" i="2"/>
  <c r="E357" i="2"/>
  <c r="E353" i="2"/>
  <c r="C336" i="2"/>
  <c r="D342" i="2"/>
  <c r="E325" i="2"/>
  <c r="E339" i="2"/>
  <c r="F319" i="2"/>
  <c r="C562" i="2"/>
  <c r="D306" i="2"/>
  <c r="D294" i="2"/>
  <c r="D279" i="2"/>
  <c r="C254" i="2"/>
  <c r="D248" i="2"/>
  <c r="F237" i="2"/>
  <c r="D233" i="2"/>
  <c r="D227" i="2"/>
  <c r="D223" i="2"/>
  <c r="C220" i="2"/>
  <c r="F212" i="2"/>
  <c r="D200" i="2"/>
  <c r="F526" i="2"/>
  <c r="F189" i="2"/>
  <c r="D182" i="2"/>
  <c r="C175" i="2"/>
  <c r="D160" i="2"/>
  <c r="D137" i="2"/>
  <c r="F118" i="2"/>
  <c r="F478" i="2"/>
  <c r="N577" i="2"/>
  <c r="N518" i="2"/>
  <c r="M499" i="2"/>
  <c r="M235" i="2"/>
  <c r="M214" i="2"/>
  <c r="M93" i="2"/>
  <c r="F437" i="2"/>
  <c r="C429" i="2"/>
  <c r="C406" i="2"/>
  <c r="C402" i="2"/>
  <c r="F391" i="2"/>
  <c r="C461" i="2"/>
  <c r="D469" i="2"/>
  <c r="F539" i="2"/>
  <c r="F308" i="2"/>
  <c r="D515" i="2"/>
  <c r="F501" i="2"/>
  <c r="C475" i="2"/>
  <c r="C471" i="2"/>
  <c r="E365" i="2"/>
  <c r="D288" i="2"/>
  <c r="C358" i="2"/>
  <c r="D334" i="2"/>
  <c r="F330" i="2"/>
  <c r="D324" i="2"/>
  <c r="F564" i="2"/>
  <c r="F285" i="2"/>
  <c r="E309" i="2"/>
  <c r="C283" i="2"/>
  <c r="D276" i="2"/>
  <c r="C258" i="2"/>
  <c r="D241" i="2"/>
  <c r="C237" i="2"/>
  <c r="D232" i="2"/>
  <c r="F533" i="2"/>
  <c r="C212" i="2"/>
  <c r="D197" i="2"/>
  <c r="D167" i="2"/>
  <c r="F147" i="2"/>
  <c r="C118" i="2"/>
  <c r="C478" i="2"/>
  <c r="E75" i="2"/>
  <c r="D14" i="2"/>
  <c r="E14" i="2"/>
  <c r="M439" i="2"/>
  <c r="N416" i="2"/>
  <c r="K416" i="2" s="1"/>
  <c r="N551" i="2"/>
  <c r="N539" i="2"/>
  <c r="M468" i="2"/>
  <c r="M345" i="2"/>
  <c r="M297" i="2"/>
  <c r="M200" i="2"/>
  <c r="M437" i="2"/>
  <c r="N429" i="2"/>
  <c r="K429" i="2" s="1"/>
  <c r="M551" i="2"/>
  <c r="M539" i="2"/>
  <c r="M518" i="2"/>
  <c r="M489" i="2"/>
  <c r="N366" i="2"/>
  <c r="N375" i="2"/>
  <c r="N342" i="2"/>
  <c r="N248" i="2"/>
  <c r="N182" i="2"/>
  <c r="N63" i="2"/>
  <c r="F441" i="2"/>
  <c r="E437" i="2"/>
  <c r="F433" i="2"/>
  <c r="F414" i="2"/>
  <c r="F410" i="2"/>
  <c r="E391" i="2"/>
  <c r="F551" i="2"/>
  <c r="E539" i="2"/>
  <c r="E308" i="2"/>
  <c r="C515" i="2"/>
  <c r="E501" i="2"/>
  <c r="E482" i="2"/>
  <c r="D365" i="2"/>
  <c r="F368" i="2"/>
  <c r="E364" i="2"/>
  <c r="F287" i="2"/>
  <c r="E330" i="2"/>
  <c r="C324" i="2"/>
  <c r="E564" i="2"/>
  <c r="F303" i="2"/>
  <c r="E285" i="2"/>
  <c r="D309" i="2"/>
  <c r="F229" i="2"/>
  <c r="F250" i="2"/>
  <c r="F217" i="2"/>
  <c r="E533" i="2"/>
  <c r="F207" i="2"/>
  <c r="F532" i="2"/>
  <c r="E180" i="2"/>
  <c r="C167" i="2"/>
  <c r="E147" i="2"/>
  <c r="D75" i="2"/>
  <c r="F93" i="2"/>
  <c r="C14" i="2"/>
  <c r="F428" i="2"/>
  <c r="F395" i="2"/>
  <c r="E551" i="2"/>
  <c r="D364" i="2"/>
  <c r="D564" i="2"/>
  <c r="F202" i="2"/>
  <c r="D147" i="2"/>
  <c r="C75" i="2"/>
  <c r="E93" i="2"/>
  <c r="N313" i="2"/>
  <c r="M436" i="2"/>
  <c r="N391" i="2"/>
  <c r="K391" i="2" s="1"/>
  <c r="M549" i="2"/>
  <c r="M516" i="2"/>
  <c r="N365" i="2"/>
  <c r="N358" i="2"/>
  <c r="N348" i="2"/>
  <c r="M324" i="2"/>
  <c r="M306" i="2"/>
  <c r="N309" i="2"/>
  <c r="M254" i="2"/>
  <c r="M258" i="2"/>
  <c r="N223" i="2"/>
  <c r="N212" i="2"/>
  <c r="N91" i="2"/>
  <c r="C441" i="2"/>
  <c r="F436" i="2"/>
  <c r="E428" i="2"/>
  <c r="E418" i="2"/>
  <c r="C414" i="2"/>
  <c r="E590" i="2"/>
  <c r="E395" i="2"/>
  <c r="F390" i="2"/>
  <c r="E573" i="2"/>
  <c r="F572" i="2"/>
  <c r="C551" i="2"/>
  <c r="D544" i="2"/>
  <c r="C539" i="2"/>
  <c r="F518" i="2"/>
  <c r="C501" i="2"/>
  <c r="E489" i="2"/>
  <c r="C482" i="2"/>
  <c r="F468" i="2"/>
  <c r="F378" i="2"/>
  <c r="C368" i="2"/>
  <c r="C364" i="2"/>
  <c r="F348" i="2"/>
  <c r="F345" i="2"/>
  <c r="D287" i="2"/>
  <c r="C330" i="2"/>
  <c r="C564" i="2"/>
  <c r="D303" i="2"/>
  <c r="F267" i="2"/>
  <c r="F268" i="2"/>
  <c r="F260" i="2"/>
  <c r="F252" i="2"/>
  <c r="D229" i="2"/>
  <c r="D250" i="2"/>
  <c r="D217" i="2"/>
  <c r="F235" i="2"/>
  <c r="C533" i="2"/>
  <c r="E214" i="2"/>
  <c r="F209" i="2"/>
  <c r="D207" i="2"/>
  <c r="E202" i="2"/>
  <c r="D532" i="2"/>
  <c r="F192" i="2"/>
  <c r="C180" i="2"/>
  <c r="E178" i="2"/>
  <c r="E162" i="2"/>
  <c r="E128" i="2"/>
  <c r="F106" i="2"/>
  <c r="D93" i="2"/>
  <c r="F28" i="2"/>
  <c r="N306" i="2"/>
  <c r="M182" i="2"/>
  <c r="D441" i="2"/>
  <c r="C437" i="2"/>
  <c r="E414" i="2"/>
  <c r="F590" i="2"/>
  <c r="D391" i="2"/>
  <c r="D533" i="2"/>
  <c r="F214" i="2"/>
  <c r="F128" i="2"/>
  <c r="N428" i="2"/>
  <c r="K428" i="2" s="1"/>
  <c r="M391" i="2"/>
  <c r="N506" i="2"/>
  <c r="N353" i="2"/>
  <c r="N319" i="2"/>
  <c r="M223" i="2"/>
  <c r="N526" i="2"/>
  <c r="N478" i="2"/>
  <c r="M91" i="2"/>
  <c r="E313" i="2"/>
  <c r="E436" i="2"/>
  <c r="D428" i="2"/>
  <c r="D418" i="2"/>
  <c r="F413" i="2"/>
  <c r="D590" i="2"/>
  <c r="D395" i="2"/>
  <c r="E390" i="2"/>
  <c r="F466" i="2"/>
  <c r="D573" i="2"/>
  <c r="E572" i="2"/>
  <c r="F549" i="2"/>
  <c r="C544" i="2"/>
  <c r="E518" i="2"/>
  <c r="F499" i="2"/>
  <c r="C489" i="2"/>
  <c r="E468" i="2"/>
  <c r="E378" i="2"/>
  <c r="F371" i="2"/>
  <c r="F354" i="2"/>
  <c r="E348" i="2"/>
  <c r="E345" i="2"/>
  <c r="F328" i="2"/>
  <c r="F563" i="2"/>
  <c r="E316" i="2"/>
  <c r="F297" i="2"/>
  <c r="F271" i="2"/>
  <c r="E267" i="2"/>
  <c r="E268" i="2"/>
  <c r="E260" i="2"/>
  <c r="E252" i="2"/>
  <c r="C250" i="2"/>
  <c r="E235" i="2"/>
  <c r="F221" i="2"/>
  <c r="D214" i="2"/>
  <c r="E209" i="2"/>
  <c r="D202" i="2"/>
  <c r="E192" i="2"/>
  <c r="F204" i="2"/>
  <c r="F168" i="2"/>
  <c r="D178" i="2"/>
  <c r="C162" i="2"/>
  <c r="D128" i="2"/>
  <c r="E106" i="2"/>
  <c r="F91" i="2"/>
  <c r="E28" i="2"/>
  <c r="F448" i="2"/>
  <c r="M393" i="2"/>
  <c r="M342" i="2"/>
  <c r="F573" i="2"/>
  <c r="F489" i="2"/>
  <c r="D180" i="2"/>
  <c r="M414" i="2"/>
  <c r="N461" i="2"/>
  <c r="N537" i="2"/>
  <c r="N272" i="2"/>
  <c r="N337" i="2"/>
  <c r="M428" i="2"/>
  <c r="N413" i="2"/>
  <c r="K413" i="2" s="1"/>
  <c r="N390" i="2"/>
  <c r="K390" i="2" s="1"/>
  <c r="M461" i="2"/>
  <c r="N573" i="2"/>
  <c r="M537" i="2"/>
  <c r="M506" i="2"/>
  <c r="M337" i="2"/>
  <c r="N368" i="2"/>
  <c r="M319" i="2"/>
  <c r="N283" i="2"/>
  <c r="M526" i="2"/>
  <c r="N180" i="2"/>
  <c r="N106" i="2"/>
  <c r="E457" i="2"/>
  <c r="D313" i="2"/>
  <c r="E422" i="2"/>
  <c r="C418" i="2"/>
  <c r="E413" i="2"/>
  <c r="C390" i="2"/>
  <c r="C466" i="2"/>
  <c r="C572" i="2"/>
  <c r="F555" i="2"/>
  <c r="E549" i="2"/>
  <c r="F537" i="2"/>
  <c r="D499" i="2"/>
  <c r="C348" i="2"/>
  <c r="E328" i="2"/>
  <c r="D316" i="2"/>
  <c r="E297" i="2"/>
  <c r="E271" i="2"/>
  <c r="D192" i="2"/>
  <c r="C172" i="2"/>
  <c r="E168" i="2"/>
  <c r="F166" i="2"/>
  <c r="C128" i="2"/>
  <c r="E91" i="2"/>
  <c r="F63" i="2"/>
  <c r="E448" i="2"/>
  <c r="M426" i="2"/>
  <c r="M466" i="2"/>
  <c r="N471" i="2"/>
  <c r="M448" i="2"/>
  <c r="C422" i="2"/>
  <c r="F403" i="2"/>
  <c r="C399" i="2"/>
  <c r="E467" i="2"/>
  <c r="E589" i="2"/>
  <c r="C555" i="2"/>
  <c r="F516" i="2"/>
  <c r="E506" i="2"/>
  <c r="F498" i="2"/>
  <c r="F289" i="2"/>
  <c r="F381" i="2"/>
  <c r="F375" i="2"/>
  <c r="E359" i="2"/>
  <c r="F279" i="2"/>
  <c r="F233" i="2"/>
  <c r="C392" i="2"/>
  <c r="M517" i="2"/>
  <c r="N438" i="2"/>
  <c r="K438" i="2" s="1"/>
  <c r="N392" i="2"/>
  <c r="K392" i="2" s="1"/>
  <c r="N536" i="2"/>
  <c r="M557" i="2"/>
  <c r="E399" i="2"/>
  <c r="E552" i="2"/>
  <c r="E388" i="2"/>
  <c r="M313" i="2"/>
  <c r="M438" i="2"/>
  <c r="N399" i="2"/>
  <c r="K399" i="2" s="1"/>
  <c r="M392" i="2"/>
  <c r="M544" i="2"/>
  <c r="M536" i="2"/>
  <c r="N305" i="2"/>
  <c r="N211" i="2"/>
  <c r="C114" i="2"/>
  <c r="C417" i="2"/>
  <c r="C410" i="2"/>
  <c r="E405" i="2"/>
  <c r="F460" i="2"/>
  <c r="D552" i="2"/>
  <c r="F536" i="2"/>
  <c r="F513" i="2"/>
  <c r="F497" i="2"/>
  <c r="E146" i="2"/>
  <c r="C117" i="2"/>
  <c r="D62" i="2"/>
  <c r="E503" i="2"/>
  <c r="F503" i="2"/>
  <c r="M503" i="2"/>
  <c r="E51" i="2"/>
  <c r="M51" i="2"/>
  <c r="M388" i="2"/>
  <c r="D426" i="2"/>
  <c r="F426" i="2"/>
  <c r="D535" i="2"/>
  <c r="C535" i="2"/>
  <c r="C570" i="2"/>
  <c r="F570" i="2"/>
  <c r="C563" i="2"/>
  <c r="E563" i="2"/>
  <c r="E304" i="2"/>
  <c r="F304" i="2"/>
  <c r="C253" i="2"/>
  <c r="E253" i="2"/>
  <c r="C210" i="2"/>
  <c r="E210" i="2"/>
  <c r="C190" i="2"/>
  <c r="E190" i="2"/>
  <c r="C204" i="2"/>
  <c r="D204" i="2"/>
  <c r="E517" i="2"/>
  <c r="F485" i="2"/>
  <c r="F557" i="2"/>
  <c r="M584" i="2"/>
  <c r="C536" i="2"/>
  <c r="N404" i="2"/>
  <c r="K404" i="2" s="1"/>
  <c r="N485" i="2"/>
  <c r="N503" i="2"/>
  <c r="F438" i="2"/>
  <c r="F500" i="2"/>
  <c r="M404" i="2"/>
  <c r="N372" i="2"/>
  <c r="N326" i="2"/>
  <c r="N234" i="2"/>
  <c r="D525" i="2"/>
  <c r="D25" i="2"/>
  <c r="E25" i="2"/>
  <c r="N552" i="2"/>
  <c r="N222" i="2"/>
  <c r="F517" i="2"/>
  <c r="N388" i="2"/>
  <c r="K388" i="2" s="1"/>
  <c r="M552" i="2"/>
  <c r="M222" i="2"/>
  <c r="F305" i="2"/>
  <c r="M485" i="2"/>
  <c r="E438" i="2"/>
  <c r="F544" i="2"/>
  <c r="C517" i="2"/>
  <c r="E500" i="2"/>
  <c r="E485" i="2"/>
  <c r="F341" i="2"/>
  <c r="E305" i="2"/>
  <c r="E557" i="2"/>
  <c r="F546" i="2"/>
  <c r="N441" i="2"/>
  <c r="K441" i="2" s="1"/>
  <c r="M435" i="2"/>
  <c r="M114" i="2"/>
  <c r="N422" i="2"/>
  <c r="K422" i="2" s="1"/>
  <c r="M396" i="2"/>
  <c r="N389" i="2"/>
  <c r="K389" i="2" s="1"/>
  <c r="N574" i="2"/>
  <c r="M534" i="2"/>
  <c r="M372" i="2"/>
  <c r="M326" i="2"/>
  <c r="M234" i="2"/>
  <c r="N179" i="2"/>
  <c r="F457" i="2"/>
  <c r="F427" i="2"/>
  <c r="F415" i="2"/>
  <c r="C412" i="2"/>
  <c r="F576" i="2"/>
  <c r="C525" i="2"/>
  <c r="C500" i="2"/>
  <c r="E341" i="2"/>
  <c r="F326" i="2"/>
  <c r="D305" i="2"/>
  <c r="D557" i="2"/>
  <c r="F280" i="2"/>
  <c r="E546" i="2"/>
  <c r="E257" i="2"/>
  <c r="E234" i="2"/>
  <c r="F222" i="2"/>
  <c r="E211" i="2"/>
  <c r="F514" i="2"/>
  <c r="F179" i="2"/>
  <c r="F105" i="2"/>
  <c r="C74" i="2"/>
  <c r="F13" i="2"/>
  <c r="F584" i="2"/>
  <c r="D341" i="2"/>
  <c r="D326" i="2"/>
  <c r="E280" i="2"/>
  <c r="D546" i="2"/>
  <c r="D257" i="2"/>
  <c r="F247" i="2"/>
  <c r="D234" i="2"/>
  <c r="E222" i="2"/>
  <c r="D211" i="2"/>
  <c r="E524" i="2"/>
  <c r="D514" i="2"/>
  <c r="D179" i="2"/>
  <c r="D503" i="2"/>
  <c r="C274" i="2"/>
  <c r="F274" i="2"/>
  <c r="F277" i="2"/>
  <c r="C277" i="2"/>
  <c r="D427" i="2"/>
  <c r="C415" i="2"/>
  <c r="E404" i="2"/>
  <c r="E392" i="2"/>
  <c r="E465" i="2"/>
  <c r="E584" i="2"/>
  <c r="C326" i="2"/>
  <c r="C280" i="2"/>
  <c r="C257" i="2"/>
  <c r="D247" i="2"/>
  <c r="C234" i="2"/>
  <c r="C222" i="2"/>
  <c r="C211" i="2"/>
  <c r="D524" i="2"/>
  <c r="C514" i="2"/>
  <c r="C179" i="2"/>
  <c r="C503" i="2"/>
  <c r="C427" i="2"/>
  <c r="D404" i="2"/>
  <c r="D465" i="2"/>
  <c r="F574" i="2"/>
  <c r="F372" i="2"/>
  <c r="D584" i="2"/>
  <c r="C247" i="2"/>
  <c r="C524" i="2"/>
  <c r="E372" i="2"/>
  <c r="N546" i="2"/>
  <c r="N280" i="2"/>
  <c r="M546" i="2"/>
  <c r="M465" i="2"/>
  <c r="N524" i="2"/>
  <c r="E574" i="2"/>
  <c r="C388" i="2"/>
  <c r="N557" i="2"/>
  <c r="M524" i="2"/>
  <c r="D574" i="2"/>
  <c r="D372" i="2"/>
  <c r="M280" i="2"/>
  <c r="C433" i="2"/>
  <c r="D394" i="2"/>
  <c r="E394" i="2"/>
  <c r="D538" i="2"/>
  <c r="F538" i="2"/>
  <c r="C470" i="2"/>
  <c r="F470" i="2"/>
  <c r="C236" i="2"/>
  <c r="E236" i="2"/>
  <c r="D201" i="2"/>
  <c r="N201" i="2"/>
  <c r="C193" i="2"/>
  <c r="M193" i="2"/>
  <c r="C181" i="2"/>
  <c r="F181" i="2"/>
  <c r="C504" i="2"/>
  <c r="D504" i="2"/>
  <c r="E587" i="2"/>
  <c r="F579" i="2"/>
  <c r="E346" i="2"/>
  <c r="F286" i="2"/>
  <c r="E296" i="2"/>
  <c r="D261" i="2"/>
  <c r="E218" i="2"/>
  <c r="C197" i="2"/>
  <c r="F172" i="2"/>
  <c r="F462" i="2"/>
  <c r="F114" i="2"/>
  <c r="E426" i="2"/>
  <c r="C423" i="2"/>
  <c r="F405" i="2"/>
  <c r="E403" i="2"/>
  <c r="C400" i="2"/>
  <c r="F454" i="2"/>
  <c r="E466" i="2"/>
  <c r="C589" i="2"/>
  <c r="C538" i="2"/>
  <c r="C510" i="2"/>
  <c r="F450" i="2"/>
  <c r="D371" i="2"/>
  <c r="E371" i="2"/>
  <c r="D354" i="2"/>
  <c r="C354" i="2"/>
  <c r="C545" i="2"/>
  <c r="F545" i="2"/>
  <c r="C530" i="2"/>
  <c r="E530" i="2"/>
  <c r="C201" i="2"/>
  <c r="E201" i="2"/>
  <c r="C495" i="2"/>
  <c r="F567" i="2"/>
  <c r="D379" i="2"/>
  <c r="F379" i="2"/>
  <c r="D591" i="2"/>
  <c r="C591" i="2"/>
  <c r="C266" i="2"/>
  <c r="E266" i="2"/>
  <c r="C540" i="2"/>
  <c r="E540" i="2"/>
  <c r="C221" i="2"/>
  <c r="D221" i="2"/>
  <c r="C205" i="2"/>
  <c r="D205" i="2"/>
  <c r="M567" i="2"/>
  <c r="F420" i="2"/>
  <c r="F351" i="2"/>
  <c r="D337" i="2"/>
  <c r="E337" i="2"/>
  <c r="C312" i="2"/>
  <c r="F312" i="2"/>
  <c r="C291" i="2"/>
  <c r="F291" i="2"/>
  <c r="C264" i="2"/>
  <c r="D264" i="2"/>
  <c r="C242" i="2"/>
  <c r="D242" i="2"/>
  <c r="M329" i="2"/>
  <c r="C164" i="2"/>
  <c r="D164" i="2"/>
  <c r="E164" i="2"/>
  <c r="N164" i="2"/>
  <c r="C159" i="2"/>
  <c r="F159" i="2"/>
  <c r="N159" i="2"/>
  <c r="C141" i="2"/>
  <c r="E141" i="2"/>
  <c r="N141" i="2"/>
  <c r="F141" i="2"/>
  <c r="C132" i="2"/>
  <c r="F132" i="2"/>
  <c r="D132" i="2"/>
  <c r="N132" i="2"/>
  <c r="E132" i="2"/>
  <c r="C123" i="2"/>
  <c r="E123" i="2"/>
  <c r="F123" i="2"/>
  <c r="N123" i="2"/>
  <c r="D123" i="2"/>
  <c r="C111" i="2"/>
  <c r="D111" i="2"/>
  <c r="E111" i="2"/>
  <c r="N111" i="2"/>
  <c r="C100" i="2"/>
  <c r="D100" i="2"/>
  <c r="N100" i="2"/>
  <c r="C94" i="2"/>
  <c r="F94" i="2"/>
  <c r="N94" i="2"/>
  <c r="C87" i="2"/>
  <c r="E87" i="2"/>
  <c r="F87" i="2"/>
  <c r="N87" i="2"/>
  <c r="C69" i="2"/>
  <c r="D69" i="2"/>
  <c r="E69" i="2"/>
  <c r="N69" i="2"/>
  <c r="C57" i="2"/>
  <c r="D57" i="2"/>
  <c r="N57" i="2"/>
  <c r="C45" i="2"/>
  <c r="F45" i="2"/>
  <c r="N45" i="2"/>
  <c r="C34" i="2"/>
  <c r="E34" i="2"/>
  <c r="N34" i="2"/>
  <c r="C21" i="2"/>
  <c r="D21" i="2"/>
  <c r="F21" i="2"/>
  <c r="N21" i="2"/>
  <c r="C452" i="2"/>
  <c r="F452" i="2"/>
  <c r="E452" i="2"/>
  <c r="N452" i="2"/>
  <c r="C6" i="2"/>
  <c r="E6" i="2"/>
  <c r="F6" i="2"/>
  <c r="D6" i="2"/>
  <c r="N6" i="2"/>
  <c r="D566" i="2"/>
  <c r="N566" i="2"/>
  <c r="D431" i="2"/>
  <c r="N431" i="2"/>
  <c r="K431" i="2" s="1"/>
  <c r="D420" i="2"/>
  <c r="N420" i="2"/>
  <c r="K420" i="2" s="1"/>
  <c r="D408" i="2"/>
  <c r="N408" i="2"/>
  <c r="K408" i="2" s="1"/>
  <c r="D397" i="2"/>
  <c r="N397" i="2"/>
  <c r="K397" i="2" s="1"/>
  <c r="D450" i="2"/>
  <c r="N450" i="2"/>
  <c r="D575" i="2"/>
  <c r="N575" i="2"/>
  <c r="D567" i="2"/>
  <c r="N567" i="2"/>
  <c r="D541" i="2"/>
  <c r="N541" i="2"/>
  <c r="D510" i="2"/>
  <c r="N510" i="2"/>
  <c r="E510" i="2"/>
  <c r="E495" i="2"/>
  <c r="D495" i="2"/>
  <c r="N495" i="2"/>
  <c r="D483" i="2"/>
  <c r="N483" i="2"/>
  <c r="E483" i="2"/>
  <c r="E20" i="2"/>
  <c r="D20" i="2"/>
  <c r="N20" i="2"/>
  <c r="D377" i="2"/>
  <c r="N377" i="2"/>
  <c r="E377" i="2"/>
  <c r="D373" i="2"/>
  <c r="N373" i="2"/>
  <c r="E373" i="2"/>
  <c r="D362" i="2"/>
  <c r="N362" i="2"/>
  <c r="E362" i="2"/>
  <c r="D351" i="2"/>
  <c r="N351" i="2"/>
  <c r="E351" i="2"/>
  <c r="C344" i="2"/>
  <c r="N344" i="2"/>
  <c r="C329" i="2"/>
  <c r="N329" i="2"/>
  <c r="C295" i="2"/>
  <c r="F295" i="2"/>
  <c r="N295" i="2"/>
  <c r="C310" i="2"/>
  <c r="N310" i="2"/>
  <c r="C318" i="2"/>
  <c r="N318" i="2"/>
  <c r="C269" i="2"/>
  <c r="N269" i="2"/>
  <c r="C262" i="2"/>
  <c r="N262" i="2"/>
  <c r="C228" i="2"/>
  <c r="F228" i="2"/>
  <c r="N228" i="2"/>
  <c r="C239" i="2"/>
  <c r="N239" i="2"/>
  <c r="C225" i="2"/>
  <c r="N225" i="2"/>
  <c r="C529" i="2"/>
  <c r="F529" i="2"/>
  <c r="N529" i="2"/>
  <c r="C206" i="2"/>
  <c r="N206" i="2"/>
  <c r="C195" i="2"/>
  <c r="D195" i="2"/>
  <c r="N195" i="2"/>
  <c r="C184" i="2"/>
  <c r="F184" i="2"/>
  <c r="N184" i="2"/>
  <c r="C170" i="2"/>
  <c r="N170" i="2"/>
  <c r="M450" i="2"/>
  <c r="M510" i="2"/>
  <c r="M362" i="2"/>
  <c r="M262" i="2"/>
  <c r="E420" i="2"/>
  <c r="E450" i="2"/>
  <c r="E567" i="2"/>
  <c r="F483" i="2"/>
  <c r="C351" i="2"/>
  <c r="F318" i="2"/>
  <c r="E262" i="2"/>
  <c r="D225" i="2"/>
  <c r="E170" i="2"/>
  <c r="F111" i="2"/>
  <c r="E57" i="2"/>
  <c r="M373" i="2"/>
  <c r="F377" i="2"/>
  <c r="E329" i="2"/>
  <c r="D318" i="2"/>
  <c r="F239" i="2"/>
  <c r="E206" i="2"/>
  <c r="D159" i="2"/>
  <c r="F69" i="2"/>
  <c r="D452" i="2"/>
  <c r="M318" i="2"/>
  <c r="M164" i="2"/>
  <c r="F431" i="2"/>
  <c r="F397" i="2"/>
  <c r="F575" i="2"/>
  <c r="C377" i="2"/>
  <c r="D329" i="2"/>
  <c r="F269" i="2"/>
  <c r="E239" i="2"/>
  <c r="D206" i="2"/>
  <c r="M397" i="2"/>
  <c r="M541" i="2"/>
  <c r="M377" i="2"/>
  <c r="M310" i="2"/>
  <c r="M170" i="2"/>
  <c r="E431" i="2"/>
  <c r="E397" i="2"/>
  <c r="E575" i="2"/>
  <c r="F362" i="2"/>
  <c r="F310" i="2"/>
  <c r="E269" i="2"/>
  <c r="D239" i="2"/>
  <c r="E184" i="2"/>
  <c r="O468" i="1"/>
  <c r="M408" i="2"/>
  <c r="M295" i="2"/>
  <c r="M184" i="2"/>
  <c r="C431" i="2"/>
  <c r="C397" i="2"/>
  <c r="C575" i="2"/>
  <c r="F495" i="2"/>
  <c r="C362" i="2"/>
  <c r="F344" i="2"/>
  <c r="E310" i="2"/>
  <c r="D269" i="2"/>
  <c r="D184" i="2"/>
  <c r="D87" i="2"/>
  <c r="E21" i="2"/>
  <c r="M206" i="2"/>
  <c r="F566" i="2"/>
  <c r="F408" i="2"/>
  <c r="F541" i="2"/>
  <c r="F20" i="2"/>
  <c r="D344" i="2"/>
  <c r="E228" i="2"/>
  <c r="D529" i="2"/>
  <c r="F164" i="2"/>
  <c r="E94" i="2"/>
  <c r="F34" i="2"/>
  <c r="M575" i="2"/>
  <c r="M483" i="2"/>
  <c r="M344" i="2"/>
  <c r="M529" i="2"/>
  <c r="E566" i="2"/>
  <c r="E408" i="2"/>
  <c r="E541" i="2"/>
  <c r="C20" i="2"/>
  <c r="D228" i="2"/>
  <c r="D94" i="2"/>
  <c r="D34" i="2"/>
  <c r="M431" i="2"/>
  <c r="M225" i="2"/>
  <c r="C566" i="2"/>
  <c r="C408" i="2"/>
  <c r="C541" i="2"/>
  <c r="F373" i="2"/>
  <c r="E295" i="2"/>
  <c r="F195" i="2"/>
  <c r="F100" i="2"/>
  <c r="E45" i="2"/>
  <c r="N457" i="2"/>
  <c r="N437" i="2"/>
  <c r="K437" i="2" s="1"/>
  <c r="N426" i="2"/>
  <c r="K426" i="2" s="1"/>
  <c r="N414" i="2"/>
  <c r="K414" i="2" s="1"/>
  <c r="N403" i="2"/>
  <c r="K403" i="2" s="1"/>
  <c r="N393" i="2"/>
  <c r="K393" i="2" s="1"/>
  <c r="N466" i="2"/>
  <c r="N360" i="2"/>
  <c r="N572" i="2"/>
  <c r="N548" i="2"/>
  <c r="N535" i="2"/>
  <c r="N517" i="2"/>
  <c r="N500" i="2"/>
  <c r="N489" i="2"/>
  <c r="N474" i="2"/>
  <c r="N379" i="2"/>
  <c r="N384" i="2"/>
  <c r="N591" i="2"/>
  <c r="N357" i="2"/>
  <c r="N317" i="2"/>
  <c r="N335" i="2"/>
  <c r="D317" i="2"/>
  <c r="H1" i="2"/>
  <c r="U245" i="2" l="1"/>
  <c r="Q49" i="2"/>
  <c r="P49" i="2"/>
  <c r="K314" i="2"/>
  <c r="L314" i="2" s="1"/>
  <c r="Q314" i="2" s="1"/>
  <c r="Q315" i="2"/>
  <c r="U315" i="2" s="1"/>
  <c r="P315" i="2"/>
  <c r="L508" i="2"/>
  <c r="W108" i="5"/>
  <c r="X102" i="5"/>
  <c r="S107" i="5"/>
  <c r="R108" i="5"/>
  <c r="S96" i="5"/>
  <c r="X96" i="5" s="1"/>
  <c r="R101" i="5"/>
  <c r="Q104" i="5"/>
  <c r="R102" i="5"/>
  <c r="R112" i="5"/>
  <c r="S111" i="5"/>
  <c r="R111" i="5"/>
  <c r="S99" i="5"/>
  <c r="R99" i="5"/>
  <c r="S100" i="5"/>
  <c r="R100" i="5"/>
  <c r="S106" i="5"/>
  <c r="R106" i="5"/>
  <c r="S110" i="5"/>
  <c r="R110" i="5"/>
  <c r="S94" i="5"/>
  <c r="R94" i="5"/>
  <c r="S105" i="5"/>
  <c r="R105" i="5"/>
  <c r="L97" i="5"/>
  <c r="N97" i="5" s="1"/>
  <c r="Q97" i="5"/>
  <c r="W112" i="5"/>
  <c r="X112" i="5"/>
  <c r="W101" i="5"/>
  <c r="X101" i="5"/>
  <c r="L98" i="5"/>
  <c r="M98" i="5" s="1"/>
  <c r="N98" i="5" s="1"/>
  <c r="L103" i="5"/>
  <c r="M103" i="5" s="1"/>
  <c r="N103" i="5" s="1"/>
  <c r="Q103" i="5"/>
  <c r="L104" i="5"/>
  <c r="M104" i="5" s="1"/>
  <c r="N104" i="5" s="1"/>
  <c r="R95" i="5"/>
  <c r="S95" i="5"/>
  <c r="L109" i="5"/>
  <c r="M109" i="5" s="1"/>
  <c r="N109" i="5" s="1"/>
  <c r="S92" i="5"/>
  <c r="R92" i="5"/>
  <c r="P383" i="2"/>
  <c r="O314" i="2"/>
  <c r="T383" i="2"/>
  <c r="U383" i="2"/>
  <c r="P244" i="2"/>
  <c r="T244" i="2"/>
  <c r="U244" i="2"/>
  <c r="J176" i="2"/>
  <c r="K176" i="2" s="1"/>
  <c r="J5" i="2"/>
  <c r="Q56" i="5"/>
  <c r="Q60" i="5"/>
  <c r="Q61" i="5"/>
  <c r="Q64" i="5"/>
  <c r="Q65" i="5"/>
  <c r="Q68" i="5"/>
  <c r="Q69" i="5"/>
  <c r="Q72" i="5"/>
  <c r="Q73" i="5"/>
  <c r="Q76" i="5"/>
  <c r="Q77" i="5"/>
  <c r="Q80" i="5"/>
  <c r="Q81" i="5"/>
  <c r="Q82" i="5"/>
  <c r="Q84" i="5"/>
  <c r="Q85" i="5"/>
  <c r="Q86" i="5"/>
  <c r="Q87" i="5"/>
  <c r="Q88" i="5"/>
  <c r="Q89" i="5"/>
  <c r="L1" i="2"/>
  <c r="K1" i="2"/>
  <c r="I1" i="2"/>
  <c r="U49" i="2" l="1"/>
  <c r="T49" i="2"/>
  <c r="T315" i="2"/>
  <c r="X107" i="5"/>
  <c r="P508" i="2"/>
  <c r="Q508" i="2"/>
  <c r="U508" i="2" s="1"/>
  <c r="L176" i="2"/>
  <c r="W96" i="5"/>
  <c r="W107" i="5"/>
  <c r="S109" i="5"/>
  <c r="R109" i="5"/>
  <c r="S104" i="5"/>
  <c r="R104" i="5"/>
  <c r="S97" i="5"/>
  <c r="R97" i="5"/>
  <c r="S103" i="5"/>
  <c r="R103" i="5"/>
  <c r="S98" i="5"/>
  <c r="R98" i="5"/>
  <c r="W95" i="5"/>
  <c r="X95" i="5"/>
  <c r="W94" i="5"/>
  <c r="X94" i="5"/>
  <c r="W110" i="5"/>
  <c r="X110" i="5"/>
  <c r="W106" i="5"/>
  <c r="X106" i="5"/>
  <c r="W100" i="5"/>
  <c r="X100" i="5"/>
  <c r="W99" i="5"/>
  <c r="X99" i="5"/>
  <c r="W105" i="5"/>
  <c r="X105" i="5"/>
  <c r="W111" i="5"/>
  <c r="X111" i="5"/>
  <c r="W92" i="5"/>
  <c r="X92" i="5"/>
  <c r="P314" i="2"/>
  <c r="U314" i="2"/>
  <c r="T314" i="2"/>
  <c r="T508" i="2"/>
  <c r="L70" i="5"/>
  <c r="Q70" i="5"/>
  <c r="L63" i="5"/>
  <c r="Q63" i="5"/>
  <c r="L67" i="5"/>
  <c r="Q67" i="5"/>
  <c r="L91" i="5"/>
  <c r="Q91" i="5"/>
  <c r="L79" i="5"/>
  <c r="Q79" i="5"/>
  <c r="Q57" i="5"/>
  <c r="L88" i="5"/>
  <c r="L87" i="5"/>
  <c r="L76" i="5"/>
  <c r="L86" i="5"/>
  <c r="L64" i="5"/>
  <c r="Q75" i="5"/>
  <c r="Q58" i="5"/>
  <c r="Q74" i="5"/>
  <c r="L72" i="5"/>
  <c r="L84" i="5"/>
  <c r="L77" i="5"/>
  <c r="L56" i="5"/>
  <c r="M56" i="5" s="1"/>
  <c r="L65" i="5"/>
  <c r="L89" i="5"/>
  <c r="L85" i="5"/>
  <c r="L80" i="5"/>
  <c r="L61" i="5"/>
  <c r="L82" i="5"/>
  <c r="L73" i="5"/>
  <c r="L68" i="5"/>
  <c r="L60" i="5"/>
  <c r="L81" i="5"/>
  <c r="L69" i="5"/>
  <c r="Q62" i="5"/>
  <c r="L57" i="5"/>
  <c r="Q83" i="5"/>
  <c r="Q78" i="5"/>
  <c r="Q66" i="5"/>
  <c r="Q90" i="5"/>
  <c r="N56" i="5" l="1"/>
  <c r="S56" i="5" s="1"/>
  <c r="M66" i="5"/>
  <c r="M65" i="5"/>
  <c r="N65" i="5" s="1"/>
  <c r="M64" i="5"/>
  <c r="N64" i="5" s="1"/>
  <c r="M63" i="5"/>
  <c r="N63" i="5" s="1"/>
  <c r="M62" i="5"/>
  <c r="M73" i="5"/>
  <c r="N73" i="5" s="1"/>
  <c r="M61" i="5"/>
  <c r="N61" i="5" s="1"/>
  <c r="M72" i="5"/>
  <c r="N72" i="5" s="1"/>
  <c r="S72" i="5" s="1"/>
  <c r="M60" i="5"/>
  <c r="N60" i="5" s="1"/>
  <c r="M71" i="5"/>
  <c r="M59" i="5"/>
  <c r="M70" i="5"/>
  <c r="N70" i="5" s="1"/>
  <c r="M58" i="5"/>
  <c r="M69" i="5"/>
  <c r="N69" i="5" s="1"/>
  <c r="M57" i="5"/>
  <c r="N57" i="5" s="1"/>
  <c r="M68" i="5"/>
  <c r="N68" i="5" s="1"/>
  <c r="S68" i="5" s="1"/>
  <c r="M67" i="5"/>
  <c r="N67" i="5" s="1"/>
  <c r="Q176" i="2"/>
  <c r="T176" i="2" s="1"/>
  <c r="P176" i="2"/>
  <c r="P5" i="2"/>
  <c r="Q5" i="2"/>
  <c r="T5" i="2" s="1"/>
  <c r="W98" i="5"/>
  <c r="X98" i="5"/>
  <c r="W103" i="5"/>
  <c r="X103" i="5"/>
  <c r="W97" i="5"/>
  <c r="X97" i="5"/>
  <c r="W104" i="5"/>
  <c r="X104" i="5"/>
  <c r="W109" i="5"/>
  <c r="X109" i="5"/>
  <c r="Q59" i="5"/>
  <c r="Q71" i="5"/>
  <c r="L75" i="5"/>
  <c r="L74" i="5"/>
  <c r="M74" i="5" s="1"/>
  <c r="L58" i="5"/>
  <c r="L66" i="5"/>
  <c r="L83" i="5"/>
  <c r="L78" i="5"/>
  <c r="L59" i="5"/>
  <c r="L62" i="5"/>
  <c r="L90" i="5"/>
  <c r="L71" i="5"/>
  <c r="O126" i="1"/>
  <c r="O560" i="2"/>
  <c r="O382" i="2"/>
  <c r="O20" i="2"/>
  <c r="R56" i="5" l="1"/>
  <c r="N66" i="5"/>
  <c r="S66" i="5" s="1"/>
  <c r="N62" i="5"/>
  <c r="S62" i="5" s="1"/>
  <c r="N58" i="5"/>
  <c r="S58" i="5" s="1"/>
  <c r="N59" i="5"/>
  <c r="S59" i="5" s="1"/>
  <c r="S60" i="5"/>
  <c r="W60" i="5" s="1"/>
  <c r="R60" i="5"/>
  <c r="N71" i="5"/>
  <c r="S71" i="5" s="1"/>
  <c r="S61" i="5"/>
  <c r="X61" i="5" s="1"/>
  <c r="R61" i="5"/>
  <c r="S69" i="5"/>
  <c r="X69" i="5" s="1"/>
  <c r="R69" i="5"/>
  <c r="R63" i="5"/>
  <c r="S63" i="5"/>
  <c r="W63" i="5" s="1"/>
  <c r="R67" i="5"/>
  <c r="S67" i="5"/>
  <c r="W67" i="5" s="1"/>
  <c r="S64" i="5"/>
  <c r="X64" i="5" s="1"/>
  <c r="R64" i="5"/>
  <c r="S70" i="5"/>
  <c r="X70" i="5" s="1"/>
  <c r="R70" i="5"/>
  <c r="S73" i="5"/>
  <c r="W73" i="5" s="1"/>
  <c r="R73" i="5"/>
  <c r="R57" i="5"/>
  <c r="S57" i="5"/>
  <c r="W57" i="5" s="1"/>
  <c r="R65" i="5"/>
  <c r="S65" i="5"/>
  <c r="W65" i="5" s="1"/>
  <c r="R68" i="5"/>
  <c r="N74" i="5"/>
  <c r="R74" i="5" s="1"/>
  <c r="M91" i="5"/>
  <c r="N91" i="5" s="1"/>
  <c r="M79" i="5"/>
  <c r="N79" i="5" s="1"/>
  <c r="M90" i="5"/>
  <c r="N90" i="5" s="1"/>
  <c r="S90" i="5" s="1"/>
  <c r="M78" i="5"/>
  <c r="N78" i="5" s="1"/>
  <c r="S78" i="5" s="1"/>
  <c r="M89" i="5"/>
  <c r="N89" i="5" s="1"/>
  <c r="M77" i="5"/>
  <c r="N77" i="5" s="1"/>
  <c r="M88" i="5"/>
  <c r="N88" i="5" s="1"/>
  <c r="M76" i="5"/>
  <c r="N76" i="5" s="1"/>
  <c r="M87" i="5"/>
  <c r="N87" i="5" s="1"/>
  <c r="M75" i="5"/>
  <c r="N75" i="5" s="1"/>
  <c r="M86" i="5"/>
  <c r="N86" i="5" s="1"/>
  <c r="M85" i="5"/>
  <c r="N85" i="5" s="1"/>
  <c r="M84" i="5"/>
  <c r="N84" i="5" s="1"/>
  <c r="M83" i="5"/>
  <c r="N83" i="5" s="1"/>
  <c r="M82" i="5"/>
  <c r="N82" i="5" s="1"/>
  <c r="M81" i="5"/>
  <c r="N81" i="5" s="1"/>
  <c r="M80" i="5"/>
  <c r="N80" i="5" s="1"/>
  <c r="R72" i="5"/>
  <c r="U5" i="2"/>
  <c r="U176" i="2"/>
  <c r="W72" i="5"/>
  <c r="X72" i="5"/>
  <c r="W56" i="5"/>
  <c r="X56" i="5"/>
  <c r="W68" i="5"/>
  <c r="X68" i="5"/>
  <c r="O379" i="2"/>
  <c r="O366" i="2"/>
  <c r="O230" i="2"/>
  <c r="O327" i="2"/>
  <c r="O365" i="2"/>
  <c r="J382" i="2"/>
  <c r="J20" i="2"/>
  <c r="J560" i="2"/>
  <c r="J366" i="2"/>
  <c r="O337" i="2"/>
  <c r="J327" i="2"/>
  <c r="J230" i="2"/>
  <c r="J379" i="2"/>
  <c r="J365" i="2"/>
  <c r="L365" i="2" l="1"/>
  <c r="Q365" i="2" s="1"/>
  <c r="K230" i="2"/>
  <c r="L230" i="2" s="1"/>
  <c r="Q230" i="2" s="1"/>
  <c r="L327" i="2"/>
  <c r="Q327" i="2" s="1"/>
  <c r="L366" i="2"/>
  <c r="Q366" i="2" s="1"/>
  <c r="K560" i="2"/>
  <c r="L560" i="2" s="1"/>
  <c r="Q560" i="2" s="1"/>
  <c r="L20" i="2"/>
  <c r="Q20" i="2" s="1"/>
  <c r="X60" i="5"/>
  <c r="R59" i="5"/>
  <c r="R58" i="5"/>
  <c r="R62" i="5"/>
  <c r="R66" i="5"/>
  <c r="W70" i="5"/>
  <c r="L379" i="2"/>
  <c r="Q379" i="2" s="1"/>
  <c r="W61" i="5"/>
  <c r="R71" i="5"/>
  <c r="X73" i="5"/>
  <c r="R90" i="5"/>
  <c r="X57" i="5"/>
  <c r="W69" i="5"/>
  <c r="X63" i="5"/>
  <c r="X65" i="5"/>
  <c r="R78" i="5"/>
  <c r="W64" i="5"/>
  <c r="X67" i="5"/>
  <c r="S74" i="5"/>
  <c r="W74" i="5" s="1"/>
  <c r="S83" i="5"/>
  <c r="W83" i="5" s="1"/>
  <c r="R83" i="5"/>
  <c r="S75" i="5"/>
  <c r="X75" i="5" s="1"/>
  <c r="R75" i="5"/>
  <c r="S84" i="5"/>
  <c r="R84" i="5"/>
  <c r="S91" i="5"/>
  <c r="R91" i="5"/>
  <c r="R85" i="5"/>
  <c r="S85" i="5"/>
  <c r="R86" i="5"/>
  <c r="S86" i="5"/>
  <c r="R87" i="5"/>
  <c r="S87" i="5"/>
  <c r="S76" i="5"/>
  <c r="R76" i="5"/>
  <c r="S88" i="5"/>
  <c r="R88" i="5"/>
  <c r="S77" i="5"/>
  <c r="R77" i="5"/>
  <c r="S80" i="5"/>
  <c r="R80" i="5"/>
  <c r="R89" i="5"/>
  <c r="S89" i="5"/>
  <c r="S81" i="5"/>
  <c r="R81" i="5"/>
  <c r="S79" i="5"/>
  <c r="R79" i="5"/>
  <c r="S82" i="5"/>
  <c r="R82" i="5"/>
  <c r="L382" i="2"/>
  <c r="W71" i="5"/>
  <c r="X71" i="5"/>
  <c r="W59" i="5"/>
  <c r="X59" i="5"/>
  <c r="W66" i="5"/>
  <c r="X66" i="5"/>
  <c r="W58" i="5"/>
  <c r="X58" i="5"/>
  <c r="W62" i="5"/>
  <c r="X62" i="5"/>
  <c r="W78" i="5"/>
  <c r="X78" i="5"/>
  <c r="W90" i="5"/>
  <c r="X90" i="5"/>
  <c r="O386" i="2"/>
  <c r="O387" i="2"/>
  <c r="J337" i="2"/>
  <c r="J386" i="2"/>
  <c r="J387" i="2"/>
  <c r="J7" i="3"/>
  <c r="K7" i="3" s="1"/>
  <c r="L7" i="3" s="1"/>
  <c r="L387" i="2" l="1"/>
  <c r="Q387" i="2" s="1"/>
  <c r="L386" i="2"/>
  <c r="Q386" i="2" s="1"/>
  <c r="L337" i="2"/>
  <c r="Q337" i="2" s="1"/>
  <c r="X74" i="5"/>
  <c r="W75" i="5"/>
  <c r="X83" i="5"/>
  <c r="W89" i="5"/>
  <c r="X89" i="5"/>
  <c r="W85" i="5"/>
  <c r="X85" i="5"/>
  <c r="W77" i="5"/>
  <c r="X77" i="5"/>
  <c r="W91" i="5"/>
  <c r="X91" i="5"/>
  <c r="W82" i="5"/>
  <c r="X82" i="5"/>
  <c r="W88" i="5"/>
  <c r="X88" i="5"/>
  <c r="W84" i="5"/>
  <c r="X84" i="5"/>
  <c r="W79" i="5"/>
  <c r="X79" i="5"/>
  <c r="X76" i="5"/>
  <c r="W76" i="5"/>
  <c r="W86" i="5"/>
  <c r="X86" i="5"/>
  <c r="W87" i="5"/>
  <c r="X87" i="5"/>
  <c r="W80" i="5"/>
  <c r="X80" i="5"/>
  <c r="W81" i="5"/>
  <c r="X81" i="5"/>
  <c r="Q382" i="2"/>
  <c r="P382" i="2"/>
  <c r="T20" i="2"/>
  <c r="U20" i="2"/>
  <c r="T379" i="2"/>
  <c r="U379" i="2"/>
  <c r="T560" i="2"/>
  <c r="U560" i="2"/>
  <c r="T365" i="2"/>
  <c r="U365" i="2"/>
  <c r="T327" i="2"/>
  <c r="U327" i="2"/>
  <c r="T230" i="2"/>
  <c r="U230" i="2"/>
  <c r="T366" i="2"/>
  <c r="U366" i="2"/>
  <c r="P20" i="2"/>
  <c r="P366" i="2"/>
  <c r="P327" i="2"/>
  <c r="P379" i="2"/>
  <c r="P365" i="2"/>
  <c r="P230" i="2"/>
  <c r="P560" i="2"/>
  <c r="K5" i="3"/>
  <c r="L5" i="3" s="1"/>
  <c r="M5" i="3" s="1"/>
  <c r="N5" i="3" s="1"/>
  <c r="K4" i="3"/>
  <c r="L4" i="3" s="1"/>
  <c r="N4" i="3" s="1"/>
  <c r="K3" i="3"/>
  <c r="N3" i="3" s="1"/>
  <c r="K593" i="2"/>
  <c r="T382" i="2" l="1"/>
  <c r="U382" i="2"/>
  <c r="T387" i="2"/>
  <c r="U387" i="2"/>
  <c r="T337" i="2"/>
  <c r="U337" i="2"/>
  <c r="T386" i="2"/>
  <c r="U386" i="2"/>
  <c r="P337" i="2"/>
  <c r="P387" i="2"/>
  <c r="P386" i="2"/>
  <c r="O560" i="1"/>
  <c r="O559" i="1"/>
  <c r="O455" i="1"/>
  <c r="V289" i="2" l="1"/>
  <c r="V25" i="2"/>
  <c r="O378" i="2"/>
  <c r="O289" i="2"/>
  <c r="O25" i="2"/>
  <c r="J25" i="2"/>
  <c r="J289" i="2"/>
  <c r="J378" i="2"/>
  <c r="L289" i="2" l="1"/>
  <c r="L25" i="2"/>
  <c r="L378" i="2"/>
  <c r="O288" i="2"/>
  <c r="V288" i="2"/>
  <c r="O377" i="2"/>
  <c r="J377" i="2"/>
  <c r="J288" i="2"/>
  <c r="Q55" i="5"/>
  <c r="Q54" i="5"/>
  <c r="Q53" i="5"/>
  <c r="Q52" i="5"/>
  <c r="Q48" i="5"/>
  <c r="Q47" i="5"/>
  <c r="Q45" i="5"/>
  <c r="Q44" i="5"/>
  <c r="Q43" i="5"/>
  <c r="Q42" i="5"/>
  <c r="Q41" i="5"/>
  <c r="Q40" i="5"/>
  <c r="Q39" i="5"/>
  <c r="Q37" i="5"/>
  <c r="Q36" i="5"/>
  <c r="Q35" i="5"/>
  <c r="Q34" i="5"/>
  <c r="Q32" i="5"/>
  <c r="Q31" i="5"/>
  <c r="Q30" i="5"/>
  <c r="Q29" i="5"/>
  <c r="Q28" i="5"/>
  <c r="Q27" i="5"/>
  <c r="Q26" i="5"/>
  <c r="Q25" i="5"/>
  <c r="Q24" i="5"/>
  <c r="Q23" i="5"/>
  <c r="Q21" i="5"/>
  <c r="Q19" i="5"/>
  <c r="Q18" i="5"/>
  <c r="Q17" i="5"/>
  <c r="Q16" i="5"/>
  <c r="Q15" i="5"/>
  <c r="Q14" i="5"/>
  <c r="Q11" i="5"/>
  <c r="Q10" i="5"/>
  <c r="Q7" i="5"/>
  <c r="Q6" i="5"/>
  <c r="Q5" i="5"/>
  <c r="Q4" i="5"/>
  <c r="L288" i="2" l="1"/>
  <c r="P378" i="2"/>
  <c r="Q378" i="2"/>
  <c r="T378" i="2" s="1"/>
  <c r="L377" i="2"/>
  <c r="Q289" i="2"/>
  <c r="P289" i="2"/>
  <c r="Q25" i="2"/>
  <c r="P25" i="2"/>
  <c r="L39" i="5"/>
  <c r="N39" i="5" s="1"/>
  <c r="L26" i="5"/>
  <c r="L17" i="5"/>
  <c r="L25" i="5"/>
  <c r="L30" i="5"/>
  <c r="Q50" i="5"/>
  <c r="Q51" i="5"/>
  <c r="Q12" i="5"/>
  <c r="Q13" i="5"/>
  <c r="N37" i="5"/>
  <c r="L43" i="5"/>
  <c r="N43" i="5" s="1"/>
  <c r="L54" i="5"/>
  <c r="N54" i="5" s="1"/>
  <c r="L14" i="5"/>
  <c r="L47" i="5"/>
  <c r="N47" i="5" s="1"/>
  <c r="L32" i="5"/>
  <c r="L40" i="5"/>
  <c r="N40" i="5" s="1"/>
  <c r="L45" i="5"/>
  <c r="N45" i="5" s="1"/>
  <c r="L34" i="5"/>
  <c r="L19" i="5"/>
  <c r="L55" i="5"/>
  <c r="N55" i="5" s="1"/>
  <c r="L7" i="5"/>
  <c r="L27" i="5"/>
  <c r="L52" i="5"/>
  <c r="M52" i="5" s="1"/>
  <c r="N52" i="5" s="1"/>
  <c r="L11" i="5"/>
  <c r="L21" i="5"/>
  <c r="L10" i="5"/>
  <c r="L48" i="5"/>
  <c r="N48" i="5" s="1"/>
  <c r="Q8" i="5"/>
  <c r="L15" i="5"/>
  <c r="Q20" i="5"/>
  <c r="L28" i="5"/>
  <c r="Q33" i="5"/>
  <c r="L41" i="5"/>
  <c r="N41" i="5" s="1"/>
  <c r="Q46" i="5"/>
  <c r="L53" i="5"/>
  <c r="M53" i="5" s="1"/>
  <c r="N53" i="5" s="1"/>
  <c r="L23" i="5"/>
  <c r="L35" i="5"/>
  <c r="L5" i="5"/>
  <c r="M5" i="5" s="1"/>
  <c r="L31" i="5"/>
  <c r="L44" i="5"/>
  <c r="N44" i="5" s="1"/>
  <c r="Q49" i="5"/>
  <c r="L18" i="5"/>
  <c r="L24" i="5"/>
  <c r="L36" i="5"/>
  <c r="N36" i="5" s="1"/>
  <c r="L4" i="5"/>
  <c r="M4" i="5" s="1"/>
  <c r="N4" i="5" s="1"/>
  <c r="Q9" i="5"/>
  <c r="L16" i="5"/>
  <c r="L29" i="5"/>
  <c r="L42" i="5"/>
  <c r="N42" i="5" s="1"/>
  <c r="L6" i="5"/>
  <c r="Q3" i="5"/>
  <c r="V526" i="2"/>
  <c r="V233" i="2"/>
  <c r="V248" i="2"/>
  <c r="V250" i="2"/>
  <c r="V570" i="2"/>
  <c r="V352" i="2"/>
  <c r="V380" i="2"/>
  <c r="V384" i="2"/>
  <c r="O269" i="1"/>
  <c r="O270" i="1"/>
  <c r="O271" i="1"/>
  <c r="O274" i="1"/>
  <c r="O354" i="1"/>
  <c r="O202" i="1"/>
  <c r="O276" i="1"/>
  <c r="O257" i="1"/>
  <c r="O258" i="1"/>
  <c r="O259" i="1"/>
  <c r="O261" i="1"/>
  <c r="O262" i="1"/>
  <c r="O264" i="1"/>
  <c r="O265" i="1"/>
  <c r="O272" i="1"/>
  <c r="O185" i="1"/>
  <c r="O190" i="1"/>
  <c r="O191" i="1"/>
  <c r="O488" i="1"/>
  <c r="O498" i="1"/>
  <c r="O389" i="1"/>
  <c r="O564" i="1"/>
  <c r="O139" i="1"/>
  <c r="O140" i="1"/>
  <c r="O142" i="1"/>
  <c r="O188" i="1"/>
  <c r="O206" i="1"/>
  <c r="O299" i="1"/>
  <c r="O306" i="1"/>
  <c r="O384" i="1"/>
  <c r="O413" i="1"/>
  <c r="O485" i="1"/>
  <c r="O563" i="1"/>
  <c r="O17" i="1"/>
  <c r="O15" i="1"/>
  <c r="O241" i="1"/>
  <c r="O388" i="1"/>
  <c r="O484" i="1"/>
  <c r="O492" i="1"/>
  <c r="O497" i="1"/>
  <c r="O500" i="1"/>
  <c r="O193" i="1"/>
  <c r="O226" i="1"/>
  <c r="O307" i="1"/>
  <c r="O362" i="1"/>
  <c r="O475" i="1"/>
  <c r="O511" i="1"/>
  <c r="O518" i="1"/>
  <c r="O13" i="1"/>
  <c r="O23" i="1"/>
  <c r="O127" i="1"/>
  <c r="O205" i="1"/>
  <c r="O208" i="1"/>
  <c r="O210" i="1"/>
  <c r="O212" i="1"/>
  <c r="O415" i="1"/>
  <c r="O478" i="1"/>
  <c r="O486" i="1"/>
  <c r="O496" i="1"/>
  <c r="O504" i="1"/>
  <c r="O16" i="1"/>
  <c r="O133" i="1"/>
  <c r="O136" i="1"/>
  <c r="O211" i="1"/>
  <c r="O316" i="1"/>
  <c r="O351" i="1"/>
  <c r="O353" i="1"/>
  <c r="O367" i="1"/>
  <c r="O14" i="1"/>
  <c r="O25" i="1"/>
  <c r="O167" i="1"/>
  <c r="O255" i="1"/>
  <c r="O321" i="1"/>
  <c r="O322" i="1"/>
  <c r="O426" i="1"/>
  <c r="O189" i="1"/>
  <c r="O134" i="1"/>
  <c r="O235" i="1"/>
  <c r="O309" i="1"/>
  <c r="O407" i="1"/>
  <c r="O19" i="1"/>
  <c r="O56" i="1"/>
  <c r="O59" i="1"/>
  <c r="O247" i="1"/>
  <c r="O256" i="1"/>
  <c r="O308" i="1"/>
  <c r="O325" i="1"/>
  <c r="O517" i="1"/>
  <c r="O11" i="1"/>
  <c r="O387" i="1"/>
  <c r="O433" i="1"/>
  <c r="O51" i="1"/>
  <c r="O218" i="1"/>
  <c r="O305" i="1"/>
  <c r="O311" i="1"/>
  <c r="O328" i="1"/>
  <c r="O350" i="1"/>
  <c r="O505" i="1"/>
  <c r="O5" i="1"/>
  <c r="O330" i="1"/>
  <c r="O436" i="1"/>
  <c r="O489" i="1"/>
  <c r="O7" i="1"/>
  <c r="O10" i="1"/>
  <c r="O18" i="1"/>
  <c r="O40" i="1"/>
  <c r="O43" i="1"/>
  <c r="O48" i="1"/>
  <c r="O53" i="1"/>
  <c r="O55" i="1"/>
  <c r="O60" i="1"/>
  <c r="O163" i="1"/>
  <c r="O209" i="1"/>
  <c r="O240" i="1"/>
  <c r="O420" i="1"/>
  <c r="O434" i="1"/>
  <c r="O8" i="1"/>
  <c r="O21" i="1"/>
  <c r="O130" i="1"/>
  <c r="O131" i="1"/>
  <c r="O153" i="1"/>
  <c r="O220" i="1"/>
  <c r="O223" i="1"/>
  <c r="O369" i="1"/>
  <c r="O447" i="1"/>
  <c r="O30" i="1"/>
  <c r="O44" i="1"/>
  <c r="O338" i="1"/>
  <c r="O409" i="1"/>
  <c r="O438" i="1"/>
  <c r="O460" i="1"/>
  <c r="O32" i="1"/>
  <c r="O248" i="1"/>
  <c r="O250" i="1"/>
  <c r="O267" i="1"/>
  <c r="O268" i="1"/>
  <c r="O297" i="1"/>
  <c r="O501" i="1"/>
  <c r="O520" i="1"/>
  <c r="O31" i="1"/>
  <c r="O65" i="1"/>
  <c r="O144" i="1"/>
  <c r="O159" i="1"/>
  <c r="O310" i="1"/>
  <c r="O336" i="1"/>
  <c r="O340" i="1"/>
  <c r="O430" i="1"/>
  <c r="O439" i="1"/>
  <c r="O67" i="1"/>
  <c r="O94" i="1"/>
  <c r="O107" i="1"/>
  <c r="O337" i="1"/>
  <c r="O408" i="1"/>
  <c r="O9" i="1"/>
  <c r="O22" i="1"/>
  <c r="O151" i="1"/>
  <c r="O162" i="1"/>
  <c r="O412" i="1"/>
  <c r="O4" i="1"/>
  <c r="O41" i="1"/>
  <c r="O54" i="1"/>
  <c r="O161" i="1"/>
  <c r="O303" i="1"/>
  <c r="O249" i="1"/>
  <c r="O39" i="1"/>
  <c r="O45" i="1"/>
  <c r="O61" i="1"/>
  <c r="O117" i="1"/>
  <c r="O118" i="1"/>
  <c r="O119" i="1"/>
  <c r="O122" i="1"/>
  <c r="O146" i="1"/>
  <c r="O148" i="1"/>
  <c r="O177" i="1"/>
  <c r="O246" i="1"/>
  <c r="O302" i="1"/>
  <c r="O335" i="1"/>
  <c r="O149" i="1"/>
  <c r="O157" i="1"/>
  <c r="O82" i="1"/>
  <c r="O84" i="1"/>
  <c r="O92" i="1"/>
  <c r="O96" i="1"/>
  <c r="O171" i="1"/>
  <c r="O172" i="1"/>
  <c r="O176" i="1"/>
  <c r="O229" i="1"/>
  <c r="O402" i="1"/>
  <c r="O87" i="1"/>
  <c r="O112" i="1"/>
  <c r="O147" i="1"/>
  <c r="O534" i="1"/>
  <c r="O125" i="1"/>
  <c r="O251" i="1"/>
  <c r="O277" i="1"/>
  <c r="O343" i="1"/>
  <c r="O405" i="1"/>
  <c r="O549" i="1"/>
  <c r="O446" i="1"/>
  <c r="O562" i="1"/>
  <c r="O556" i="1"/>
  <c r="O558" i="1"/>
  <c r="O86" i="1"/>
  <c r="O93" i="1"/>
  <c r="O178" i="1"/>
  <c r="O279" i="1"/>
  <c r="O451" i="1"/>
  <c r="O62" i="1"/>
  <c r="O80" i="1"/>
  <c r="O462" i="1"/>
  <c r="O104" i="1"/>
  <c r="O361" i="1"/>
  <c r="O371" i="1"/>
  <c r="O397" i="1"/>
  <c r="O106" i="1"/>
  <c r="O319" i="1"/>
  <c r="O198" i="1"/>
  <c r="O200" i="1"/>
  <c r="O404" i="1"/>
  <c r="O406" i="1"/>
  <c r="O450" i="1"/>
  <c r="O453" i="1"/>
  <c r="O345" i="1"/>
  <c r="O124" i="1"/>
  <c r="O100" i="1"/>
  <c r="O392" i="1"/>
  <c r="O395" i="1"/>
  <c r="O456" i="1"/>
  <c r="O457" i="1"/>
  <c r="O458" i="1"/>
  <c r="O120" i="1"/>
  <c r="O123" i="1"/>
  <c r="O396" i="1"/>
  <c r="O398" i="1"/>
  <c r="O459" i="1"/>
  <c r="O89" i="1"/>
  <c r="O566" i="1"/>
  <c r="O567" i="1"/>
  <c r="O72" i="1"/>
  <c r="O537" i="1"/>
  <c r="O105" i="1"/>
  <c r="O98" i="1"/>
  <c r="O286" i="1"/>
  <c r="O291" i="1"/>
  <c r="O312" i="1"/>
  <c r="O179" i="1"/>
  <c r="O183" i="1"/>
  <c r="O289" i="1"/>
  <c r="O313" i="1"/>
  <c r="O448" i="1"/>
  <c r="O376" i="1"/>
  <c r="O73" i="1"/>
  <c r="O76" i="1"/>
  <c r="O358" i="1"/>
  <c r="O283" i="1"/>
  <c r="O526" i="1"/>
  <c r="O349" i="1"/>
  <c r="O355" i="1"/>
  <c r="O181" i="1"/>
  <c r="O182" i="1"/>
  <c r="O26" i="1"/>
  <c r="O29" i="1"/>
  <c r="O66" i="1"/>
  <c r="O68" i="1"/>
  <c r="O69" i="1"/>
  <c r="O74" i="1"/>
  <c r="O75" i="1"/>
  <c r="O77" i="1"/>
  <c r="O85" i="1"/>
  <c r="O88" i="1"/>
  <c r="O90" i="1"/>
  <c r="O91" i="1"/>
  <c r="O95" i="1"/>
  <c r="O99" i="1"/>
  <c r="O101" i="1"/>
  <c r="O102" i="1"/>
  <c r="O108" i="1"/>
  <c r="O109" i="1"/>
  <c r="O114" i="1"/>
  <c r="O121" i="1"/>
  <c r="O128" i="1"/>
  <c r="O132" i="1"/>
  <c r="O141" i="1"/>
  <c r="O155" i="1"/>
  <c r="O164" i="1"/>
  <c r="O166" i="1"/>
  <c r="O168" i="1"/>
  <c r="O169" i="1"/>
  <c r="O173" i="1"/>
  <c r="O174" i="1"/>
  <c r="O175" i="1"/>
  <c r="O215" i="1"/>
  <c r="O216" i="1"/>
  <c r="O217" i="1"/>
  <c r="O221" i="1"/>
  <c r="O225" i="1"/>
  <c r="O232" i="1"/>
  <c r="O236" i="1"/>
  <c r="O237" i="1"/>
  <c r="O242" i="1"/>
  <c r="O266" i="1"/>
  <c r="O288" i="1"/>
  <c r="O294" i="1"/>
  <c r="O296" i="1"/>
  <c r="O298" i="1"/>
  <c r="O300" i="1"/>
  <c r="O304" i="1"/>
  <c r="O315" i="1"/>
  <c r="O333" i="1"/>
  <c r="O334" i="1"/>
  <c r="O342" i="1"/>
  <c r="O356" i="1"/>
  <c r="O357" i="1"/>
  <c r="O374" i="1"/>
  <c r="O403" i="1"/>
  <c r="O429" i="1"/>
  <c r="O432" i="1"/>
  <c r="O449" i="1"/>
  <c r="O554" i="1"/>
  <c r="O589" i="1"/>
  <c r="O588" i="1"/>
  <c r="O587" i="1"/>
  <c r="O586" i="1"/>
  <c r="O585" i="1"/>
  <c r="O584" i="1"/>
  <c r="O583" i="1"/>
  <c r="O582" i="1"/>
  <c r="O581" i="1"/>
  <c r="O555" i="1"/>
  <c r="O263" i="1"/>
  <c r="U378" i="2" l="1"/>
  <c r="N5" i="5"/>
  <c r="S5" i="5" s="1"/>
  <c r="M17" i="5"/>
  <c r="N17" i="5" s="1"/>
  <c r="M16" i="5"/>
  <c r="N16" i="5" s="1"/>
  <c r="M15" i="5"/>
  <c r="N15" i="5" s="1"/>
  <c r="S15" i="5" s="1"/>
  <c r="M14" i="5"/>
  <c r="N14" i="5" s="1"/>
  <c r="S14" i="5" s="1"/>
  <c r="M13" i="5"/>
  <c r="M12" i="5"/>
  <c r="M11" i="5"/>
  <c r="N11" i="5" s="1"/>
  <c r="M10" i="5"/>
  <c r="N10" i="5" s="1"/>
  <c r="M9" i="5"/>
  <c r="M8" i="5"/>
  <c r="M19" i="5"/>
  <c r="N19" i="5" s="1"/>
  <c r="S19" i="5" s="1"/>
  <c r="M7" i="5"/>
  <c r="N7" i="5" s="1"/>
  <c r="S7" i="5" s="1"/>
  <c r="M18" i="5"/>
  <c r="N18" i="5" s="1"/>
  <c r="R18" i="5" s="1"/>
  <c r="M6" i="5"/>
  <c r="N6" i="5" s="1"/>
  <c r="P377" i="2"/>
  <c r="Q377" i="2"/>
  <c r="T377" i="2" s="1"/>
  <c r="S4" i="5"/>
  <c r="R4" i="5"/>
  <c r="S45" i="5"/>
  <c r="R45" i="5"/>
  <c r="S43" i="5"/>
  <c r="R43" i="5"/>
  <c r="S36" i="5"/>
  <c r="R36" i="5"/>
  <c r="S41" i="5"/>
  <c r="R41" i="5"/>
  <c r="S37" i="5"/>
  <c r="R37" i="5"/>
  <c r="S40" i="5"/>
  <c r="R40" i="5"/>
  <c r="S39" i="5"/>
  <c r="R39" i="5"/>
  <c r="S52" i="5"/>
  <c r="R52" i="5"/>
  <c r="S44" i="5"/>
  <c r="R44" i="5"/>
  <c r="S47" i="5"/>
  <c r="R47" i="5"/>
  <c r="S42" i="5"/>
  <c r="R42" i="5"/>
  <c r="S48" i="5"/>
  <c r="R48" i="5"/>
  <c r="S55" i="5"/>
  <c r="R55" i="5"/>
  <c r="S54" i="5"/>
  <c r="R54" i="5"/>
  <c r="S53" i="5"/>
  <c r="R53" i="5"/>
  <c r="Q288" i="2"/>
  <c r="P288" i="2"/>
  <c r="U25" i="2"/>
  <c r="T25" i="2"/>
  <c r="U289" i="2"/>
  <c r="T289" i="2"/>
  <c r="V370" i="2"/>
  <c r="V375" i="2"/>
  <c r="V317" i="2"/>
  <c r="V332" i="2"/>
  <c r="V321" i="2"/>
  <c r="V345" i="2"/>
  <c r="V302" i="2"/>
  <c r="V274" i="2"/>
  <c r="V264" i="2"/>
  <c r="V229" i="2"/>
  <c r="V231" i="2"/>
  <c r="V160" i="2"/>
  <c r="V13" i="2"/>
  <c r="V444" i="2"/>
  <c r="V369" i="2"/>
  <c r="V374" i="2"/>
  <c r="V287" i="2"/>
  <c r="V331" i="2"/>
  <c r="V338" i="2"/>
  <c r="V344" i="2"/>
  <c r="V301" i="2"/>
  <c r="V561" i="2"/>
  <c r="V268" i="2"/>
  <c r="V550" i="2"/>
  <c r="V197" i="2"/>
  <c r="V35" i="2"/>
  <c r="V381" i="2"/>
  <c r="V591" i="2"/>
  <c r="V585" i="2"/>
  <c r="V348" i="2"/>
  <c r="V329" i="2"/>
  <c r="V557" i="2"/>
  <c r="V309" i="2"/>
  <c r="V203" i="2"/>
  <c r="V527" i="2"/>
  <c r="V34" i="2"/>
  <c r="V347" i="2"/>
  <c r="V328" i="2"/>
  <c r="V285" i="2"/>
  <c r="V296" i="2"/>
  <c r="V227" i="2"/>
  <c r="V204" i="2"/>
  <c r="V213" i="2"/>
  <c r="V205" i="2"/>
  <c r="V9" i="2"/>
  <c r="V358" i="2"/>
  <c r="V356" i="2"/>
  <c r="V346" i="2"/>
  <c r="V330" i="2"/>
  <c r="V305" i="2"/>
  <c r="V284" i="2"/>
  <c r="V228" i="2"/>
  <c r="V212" i="2"/>
  <c r="V201" i="2"/>
  <c r="V532" i="2"/>
  <c r="V150" i="2"/>
  <c r="V158" i="2"/>
  <c r="V579" i="2"/>
  <c r="V325" i="2"/>
  <c r="V312" i="2"/>
  <c r="V304" i="2"/>
  <c r="V294" i="2"/>
  <c r="V279" i="2"/>
  <c r="V253" i="2"/>
  <c r="V242" i="2"/>
  <c r="V225" i="2"/>
  <c r="V211" i="2"/>
  <c r="V200" i="2"/>
  <c r="V193" i="2"/>
  <c r="V364" i="2"/>
  <c r="V582" i="2"/>
  <c r="V335" i="2"/>
  <c r="V324" i="2"/>
  <c r="V311" i="2"/>
  <c r="V270" i="2"/>
  <c r="V310" i="2"/>
  <c r="V260" i="2"/>
  <c r="V241" i="2"/>
  <c r="V224" i="2"/>
  <c r="V210" i="2"/>
  <c r="V524" i="2"/>
  <c r="V168" i="2"/>
  <c r="V159" i="2"/>
  <c r="V490" i="2"/>
  <c r="V63" i="2"/>
  <c r="V41" i="2"/>
  <c r="V31" i="2"/>
  <c r="V21" i="2"/>
  <c r="V363" i="2"/>
  <c r="V581" i="2"/>
  <c r="V286" i="2"/>
  <c r="V323" i="2"/>
  <c r="V320" i="2"/>
  <c r="V318" i="2"/>
  <c r="V271" i="2"/>
  <c r="V273" i="2"/>
  <c r="V259" i="2"/>
  <c r="V240" i="2"/>
  <c r="V215" i="2"/>
  <c r="V223" i="2"/>
  <c r="V196" i="2"/>
  <c r="V184" i="2"/>
  <c r="V149" i="2"/>
  <c r="V139" i="2"/>
  <c r="V30" i="2"/>
  <c r="V18" i="2"/>
  <c r="V373" i="2"/>
  <c r="V587" i="2"/>
  <c r="V584" i="2"/>
  <c r="V334" i="2"/>
  <c r="V319" i="2"/>
  <c r="V298" i="2"/>
  <c r="V292" i="2"/>
  <c r="V299" i="2"/>
  <c r="V209" i="2"/>
  <c r="V148" i="2"/>
  <c r="V138" i="2"/>
  <c r="V29" i="2"/>
  <c r="V447" i="2"/>
  <c r="O385" i="2"/>
  <c r="V385" i="2"/>
  <c r="V459" i="2"/>
  <c r="V372" i="2"/>
  <c r="V353" i="2"/>
  <c r="V336" i="2"/>
  <c r="V342" i="2"/>
  <c r="V341" i="2"/>
  <c r="V326" i="2"/>
  <c r="V530" i="2"/>
  <c r="V216" i="2"/>
  <c r="V498" i="2"/>
  <c r="V28" i="2"/>
  <c r="V368" i="2"/>
  <c r="V343" i="2"/>
  <c r="V339" i="2"/>
  <c r="V306" i="2"/>
  <c r="V553" i="2"/>
  <c r="V254" i="2"/>
  <c r="V533" i="2"/>
  <c r="V188" i="2"/>
  <c r="V206" i="2"/>
  <c r="V50" i="2"/>
  <c r="O351" i="2"/>
  <c r="V351" i="2"/>
  <c r="V371" i="2"/>
  <c r="V376" i="2"/>
  <c r="V360" i="2"/>
  <c r="V349" i="2"/>
  <c r="V333" i="2"/>
  <c r="V322" i="2"/>
  <c r="V295" i="2"/>
  <c r="V303" i="2"/>
  <c r="V247" i="2"/>
  <c r="V222" i="2"/>
  <c r="V445" i="2"/>
  <c r="O452" i="2"/>
  <c r="O369" i="2"/>
  <c r="O83" i="2"/>
  <c r="O437" i="2"/>
  <c r="O430" i="2"/>
  <c r="O425" i="2"/>
  <c r="O419" i="2"/>
  <c r="O413" i="2"/>
  <c r="O407" i="2"/>
  <c r="O374" i="2"/>
  <c r="O580" i="2"/>
  <c r="O574" i="2"/>
  <c r="O287" i="2"/>
  <c r="O331" i="2"/>
  <c r="O338" i="2"/>
  <c r="O344" i="2"/>
  <c r="O301" i="2"/>
  <c r="O561" i="2"/>
  <c r="O567" i="2"/>
  <c r="O268" i="2"/>
  <c r="O256" i="2"/>
  <c r="O550" i="2"/>
  <c r="O237" i="2"/>
  <c r="O197" i="2"/>
  <c r="O537" i="2"/>
  <c r="O214" i="2"/>
  <c r="O202" i="2"/>
  <c r="O219" i="2"/>
  <c r="O187" i="2"/>
  <c r="O198" i="2"/>
  <c r="O510" i="2"/>
  <c r="O165" i="2"/>
  <c r="O152" i="2"/>
  <c r="O163" i="2"/>
  <c r="O141" i="2"/>
  <c r="O135" i="2"/>
  <c r="O128" i="2"/>
  <c r="O91" i="2"/>
  <c r="O109" i="2"/>
  <c r="O482" i="2"/>
  <c r="O480" i="2"/>
  <c r="O473" i="2"/>
  <c r="O76" i="2"/>
  <c r="O67" i="2"/>
  <c r="O56" i="2"/>
  <c r="O35" i="2"/>
  <c r="O26" i="2"/>
  <c r="O458" i="2"/>
  <c r="O24" i="2"/>
  <c r="O381" i="2"/>
  <c r="O401" i="2"/>
  <c r="O395" i="2"/>
  <c r="O391" i="2"/>
  <c r="O591" i="2"/>
  <c r="O585" i="2"/>
  <c r="O573" i="2"/>
  <c r="O348" i="2"/>
  <c r="O572" i="2"/>
  <c r="O350" i="2"/>
  <c r="O329" i="2"/>
  <c r="O557" i="2"/>
  <c r="O309" i="2"/>
  <c r="O554" i="2"/>
  <c r="O263" i="2"/>
  <c r="O258" i="2"/>
  <c r="O217" i="2"/>
  <c r="O542" i="2"/>
  <c r="O539" i="2"/>
  <c r="O536" i="2"/>
  <c r="O203" i="2"/>
  <c r="O527" i="2"/>
  <c r="O526" i="2"/>
  <c r="O186" i="2"/>
  <c r="O515" i="2"/>
  <c r="O169" i="2"/>
  <c r="O151" i="2"/>
  <c r="O147" i="2"/>
  <c r="O493" i="2"/>
  <c r="O162" i="2"/>
  <c r="O127" i="2"/>
  <c r="O119" i="2"/>
  <c r="O486" i="2"/>
  <c r="O101" i="2"/>
  <c r="O479" i="2"/>
  <c r="O88" i="2"/>
  <c r="O75" i="2"/>
  <c r="O66" i="2"/>
  <c r="O55" i="2"/>
  <c r="O45" i="2"/>
  <c r="O34" i="2"/>
  <c r="O464" i="2"/>
  <c r="O12" i="2"/>
  <c r="O10" i="2"/>
  <c r="O443" i="2"/>
  <c r="O19" i="2"/>
  <c r="O266" i="2"/>
  <c r="O441" i="2"/>
  <c r="O436" i="2"/>
  <c r="O429" i="2"/>
  <c r="O424" i="2"/>
  <c r="O418" i="2"/>
  <c r="O412" i="2"/>
  <c r="O406" i="2"/>
  <c r="O367" i="2"/>
  <c r="O589" i="2"/>
  <c r="O347" i="2"/>
  <c r="O568" i="2"/>
  <c r="O316" i="2"/>
  <c r="O328" i="2"/>
  <c r="O285" i="2"/>
  <c r="O296" i="2"/>
  <c r="O262" i="2"/>
  <c r="O257" i="2"/>
  <c r="O243" i="2"/>
  <c r="O541" i="2"/>
  <c r="O227" i="2"/>
  <c r="O204" i="2"/>
  <c r="O213" i="2"/>
  <c r="O525" i="2"/>
  <c r="O205" i="2"/>
  <c r="O518" i="2"/>
  <c r="O182" i="2"/>
  <c r="O504" i="2"/>
  <c r="O505" i="2"/>
  <c r="O509" i="2"/>
  <c r="O146" i="2"/>
  <c r="O140" i="2"/>
  <c r="O134" i="2"/>
  <c r="O489" i="2"/>
  <c r="O118" i="2"/>
  <c r="O100" i="2"/>
  <c r="O95" i="2"/>
  <c r="O472" i="2"/>
  <c r="O84" i="2"/>
  <c r="O65" i="2"/>
  <c r="O54" i="2"/>
  <c r="O44" i="2"/>
  <c r="O105" i="2"/>
  <c r="O463" i="2"/>
  <c r="O11" i="2"/>
  <c r="O9" i="2"/>
  <c r="O38" i="2"/>
  <c r="O358" i="2"/>
  <c r="O400" i="2"/>
  <c r="O394" i="2"/>
  <c r="O390" i="2"/>
  <c r="O586" i="2"/>
  <c r="O356" i="2"/>
  <c r="O354" i="2"/>
  <c r="O346" i="2"/>
  <c r="O330" i="2"/>
  <c r="O565" i="2"/>
  <c r="O305" i="2"/>
  <c r="O284" i="2"/>
  <c r="O300" i="2"/>
  <c r="O280" i="2"/>
  <c r="O261" i="2"/>
  <c r="O228" i="2"/>
  <c r="O544" i="2"/>
  <c r="O236" i="2"/>
  <c r="O226" i="2"/>
  <c r="O535" i="2"/>
  <c r="O212" i="2"/>
  <c r="O201" i="2"/>
  <c r="O532" i="2"/>
  <c r="O185" i="2"/>
  <c r="O175" i="2"/>
  <c r="O507" i="2"/>
  <c r="O177" i="2"/>
  <c r="O150" i="2"/>
  <c r="O145" i="2"/>
  <c r="O158" i="2"/>
  <c r="O133" i="2"/>
  <c r="O488" i="2"/>
  <c r="O117" i="2"/>
  <c r="O272" i="2"/>
  <c r="O99" i="2"/>
  <c r="O94" i="2"/>
  <c r="O81" i="2"/>
  <c r="O74" i="2"/>
  <c r="O64" i="2"/>
  <c r="O53" i="2"/>
  <c r="O43" i="2"/>
  <c r="O33" i="2"/>
  <c r="O462" i="2"/>
  <c r="O8" i="2"/>
  <c r="O449" i="2"/>
  <c r="O283" i="2"/>
  <c r="O37" i="2"/>
  <c r="O564" i="2"/>
  <c r="O440" i="2"/>
  <c r="O435" i="2"/>
  <c r="O114" i="2"/>
  <c r="O423" i="2"/>
  <c r="O417" i="2"/>
  <c r="O411" i="2"/>
  <c r="O405" i="2"/>
  <c r="O588" i="2"/>
  <c r="O355" i="2"/>
  <c r="O579" i="2"/>
  <c r="O569" i="2"/>
  <c r="O325" i="2"/>
  <c r="O312" i="2"/>
  <c r="O304" i="2"/>
  <c r="O294" i="2"/>
  <c r="O556" i="2"/>
  <c r="O279" i="2"/>
  <c r="O253" i="2"/>
  <c r="O549" i="2"/>
  <c r="O242" i="2"/>
  <c r="O225" i="2"/>
  <c r="O308" i="2"/>
  <c r="O211" i="2"/>
  <c r="O200" i="2"/>
  <c r="O193" i="2"/>
  <c r="O199" i="2"/>
  <c r="O174" i="2"/>
  <c r="O167" i="2"/>
  <c r="O501" i="2"/>
  <c r="O496" i="2"/>
  <c r="O497" i="2"/>
  <c r="O132" i="2"/>
  <c r="O126" i="2"/>
  <c r="O116" i="2"/>
  <c r="O120" i="2"/>
  <c r="O98" i="2"/>
  <c r="O475" i="2"/>
  <c r="O80" i="2"/>
  <c r="O73" i="2"/>
  <c r="O469" i="2"/>
  <c r="O42" i="2"/>
  <c r="O32" i="2"/>
  <c r="O22" i="2"/>
  <c r="O451" i="2"/>
  <c r="O7" i="2"/>
  <c r="O23" i="2"/>
  <c r="O434" i="2"/>
  <c r="O590" i="2"/>
  <c r="O399" i="2"/>
  <c r="O389" i="2"/>
  <c r="O364" i="2"/>
  <c r="O362" i="2"/>
  <c r="O582" i="2"/>
  <c r="O335" i="2"/>
  <c r="O324" i="2"/>
  <c r="O311" i="2"/>
  <c r="O558" i="2"/>
  <c r="O270" i="2"/>
  <c r="O310" i="2"/>
  <c r="O260" i="2"/>
  <c r="O249" i="2"/>
  <c r="O241" i="2"/>
  <c r="O235" i="2"/>
  <c r="O224" i="2"/>
  <c r="O534" i="2"/>
  <c r="O210" i="2"/>
  <c r="O524" i="2"/>
  <c r="O192" i="2"/>
  <c r="O168" i="2"/>
  <c r="O173" i="2"/>
  <c r="O506" i="2"/>
  <c r="O484" i="2"/>
  <c r="O159" i="2"/>
  <c r="O144" i="2"/>
  <c r="O490" i="2"/>
  <c r="O125" i="2"/>
  <c r="O108" i="2"/>
  <c r="O90" i="2"/>
  <c r="O78" i="2"/>
  <c r="O72" i="2"/>
  <c r="O63" i="2"/>
  <c r="O467" i="2"/>
  <c r="O41" i="2"/>
  <c r="O31" i="2"/>
  <c r="O21" i="2"/>
  <c r="O457" i="2"/>
  <c r="O450" i="2"/>
  <c r="O546" i="2"/>
  <c r="O103" i="2"/>
  <c r="O563" i="2"/>
  <c r="O439" i="2"/>
  <c r="O433" i="2"/>
  <c r="O428" i="2"/>
  <c r="O422" i="2"/>
  <c r="O416" i="2"/>
  <c r="O410" i="2"/>
  <c r="O363" i="2"/>
  <c r="O578" i="2"/>
  <c r="O581" i="2"/>
  <c r="O286" i="2"/>
  <c r="O323" i="2"/>
  <c r="O320" i="2"/>
  <c r="O318" i="2"/>
  <c r="O293" i="2"/>
  <c r="O271" i="2"/>
  <c r="O273" i="2"/>
  <c r="O259" i="2"/>
  <c r="O250" i="2"/>
  <c r="O240" i="2"/>
  <c r="O215" i="2"/>
  <c r="O223" i="2"/>
  <c r="O221" i="2"/>
  <c r="O196" i="2"/>
  <c r="O523" i="2"/>
  <c r="O514" i="2"/>
  <c r="O184" i="2"/>
  <c r="O513" i="2"/>
  <c r="O503" i="2"/>
  <c r="O500" i="2"/>
  <c r="O149" i="2"/>
  <c r="O143" i="2"/>
  <c r="O139" i="2"/>
  <c r="O131" i="2"/>
  <c r="O487" i="2"/>
  <c r="O113" i="2"/>
  <c r="O107" i="2"/>
  <c r="O478" i="2"/>
  <c r="O474" i="2"/>
  <c r="O87" i="2"/>
  <c r="O71" i="2"/>
  <c r="O52" i="2"/>
  <c r="O40" i="2"/>
  <c r="O30" i="2"/>
  <c r="O18" i="2"/>
  <c r="O6" i="2"/>
  <c r="O448" i="2"/>
  <c r="O373" i="2"/>
  <c r="O562" i="2"/>
  <c r="O404" i="2"/>
  <c r="O398" i="2"/>
  <c r="O587" i="2"/>
  <c r="O577" i="2"/>
  <c r="O584" i="2"/>
  <c r="O334" i="2"/>
  <c r="O340" i="2"/>
  <c r="O319" i="2"/>
  <c r="O298" i="2"/>
  <c r="O292" i="2"/>
  <c r="O299" i="2"/>
  <c r="O269" i="2"/>
  <c r="O552" i="2"/>
  <c r="O545" i="2"/>
  <c r="O282" i="2"/>
  <c r="O234" i="2"/>
  <c r="O218" i="2"/>
  <c r="O220" i="2"/>
  <c r="O209" i="2"/>
  <c r="O190" i="2"/>
  <c r="O183" i="2"/>
  <c r="O512" i="2"/>
  <c r="O181" i="2"/>
  <c r="O156" i="2"/>
  <c r="O148" i="2"/>
  <c r="O495" i="2"/>
  <c r="O138" i="2"/>
  <c r="O130" i="2"/>
  <c r="O124" i="2"/>
  <c r="O112" i="2"/>
  <c r="O106" i="2"/>
  <c r="O96" i="2"/>
  <c r="O36" i="2"/>
  <c r="O471" i="2"/>
  <c r="O70" i="2"/>
  <c r="O61" i="2"/>
  <c r="O93" i="2"/>
  <c r="O39" i="2"/>
  <c r="O29" i="2"/>
  <c r="O17" i="2"/>
  <c r="O455" i="2"/>
  <c r="O447" i="2"/>
  <c r="O459" i="2"/>
  <c r="O372" i="2"/>
  <c r="O3" i="2"/>
  <c r="O432" i="2"/>
  <c r="O427" i="2"/>
  <c r="O421" i="2"/>
  <c r="O415" i="2"/>
  <c r="O409" i="2"/>
  <c r="O384" i="2"/>
  <c r="O583" i="2"/>
  <c r="O353" i="2"/>
  <c r="O336" i="2"/>
  <c r="O342" i="2"/>
  <c r="O341" i="2"/>
  <c r="O307" i="2"/>
  <c r="O326" i="2"/>
  <c r="O291" i="2"/>
  <c r="O275" i="2"/>
  <c r="O265" i="2"/>
  <c r="O248" i="2"/>
  <c r="O239" i="2"/>
  <c r="O233" i="2"/>
  <c r="O530" i="2"/>
  <c r="O216" i="2"/>
  <c r="O528" i="2"/>
  <c r="O195" i="2"/>
  <c r="O189" i="2"/>
  <c r="O97" i="2"/>
  <c r="O511" i="2"/>
  <c r="O178" i="2"/>
  <c r="O155" i="2"/>
  <c r="O498" i="2"/>
  <c r="O494" i="2"/>
  <c r="O137" i="2"/>
  <c r="O129" i="2"/>
  <c r="O123" i="2"/>
  <c r="O111" i="2"/>
  <c r="O485" i="2"/>
  <c r="O477" i="2"/>
  <c r="O89" i="2"/>
  <c r="O86" i="2"/>
  <c r="O69" i="2"/>
  <c r="O60" i="2"/>
  <c r="O51" i="2"/>
  <c r="O62" i="2"/>
  <c r="O28" i="2"/>
  <c r="O16" i="2"/>
  <c r="O454" i="2"/>
  <c r="O267" i="2"/>
  <c r="O368" i="2"/>
  <c r="O566" i="2"/>
  <c r="O403" i="2"/>
  <c r="O397" i="2"/>
  <c r="O393" i="2"/>
  <c r="O380" i="2"/>
  <c r="O352" i="2"/>
  <c r="O571" i="2"/>
  <c r="O343" i="2"/>
  <c r="O339" i="2"/>
  <c r="O306" i="2"/>
  <c r="O570" i="2"/>
  <c r="O297" i="2"/>
  <c r="O553" i="2"/>
  <c r="O254" i="2"/>
  <c r="O252" i="2"/>
  <c r="O548" i="2"/>
  <c r="O238" i="2"/>
  <c r="O529" i="2"/>
  <c r="O533" i="2"/>
  <c r="O277" i="2"/>
  <c r="O208" i="2"/>
  <c r="O522" i="2"/>
  <c r="O188" i="2"/>
  <c r="O206" i="2"/>
  <c r="O172" i="2"/>
  <c r="O180" i="2"/>
  <c r="O154" i="2"/>
  <c r="O179" i="2"/>
  <c r="O136" i="2"/>
  <c r="O157" i="2"/>
  <c r="O122" i="2"/>
  <c r="O110" i="2"/>
  <c r="O104" i="2"/>
  <c r="O476" i="2"/>
  <c r="O79" i="2"/>
  <c r="O470" i="2"/>
  <c r="O59" i="2"/>
  <c r="O50" i="2"/>
  <c r="O466" i="2"/>
  <c r="O461" i="2"/>
  <c r="O15" i="2"/>
  <c r="O446" i="2"/>
  <c r="O48" i="2"/>
  <c r="O371" i="2"/>
  <c r="O438" i="2"/>
  <c r="O431" i="2"/>
  <c r="O426" i="2"/>
  <c r="O420" i="2"/>
  <c r="O414" i="2"/>
  <c r="O408" i="2"/>
  <c r="O376" i="2"/>
  <c r="O360" i="2"/>
  <c r="O576" i="2"/>
  <c r="O349" i="2"/>
  <c r="O333" i="2"/>
  <c r="O322" i="2"/>
  <c r="O295" i="2"/>
  <c r="O303" i="2"/>
  <c r="O281" i="2"/>
  <c r="O555" i="2"/>
  <c r="O251" i="2"/>
  <c r="O547" i="2"/>
  <c r="O247" i="2"/>
  <c r="O222" i="2"/>
  <c r="O191" i="2"/>
  <c r="O207" i="2"/>
  <c r="O194" i="2"/>
  <c r="O520" i="2"/>
  <c r="O517" i="2"/>
  <c r="O171" i="2"/>
  <c r="O166" i="2"/>
  <c r="O153" i="2"/>
  <c r="O492" i="2"/>
  <c r="O161" i="2"/>
  <c r="O121" i="2"/>
  <c r="O115" i="2"/>
  <c r="O102" i="2"/>
  <c r="O481" i="2"/>
  <c r="O82" i="2"/>
  <c r="O85" i="2"/>
  <c r="O68" i="2"/>
  <c r="O58" i="2"/>
  <c r="O47" i="2"/>
  <c r="O460" i="2"/>
  <c r="O14" i="2"/>
  <c r="O445" i="2"/>
  <c r="O453" i="2"/>
  <c r="O370" i="2"/>
  <c r="O442" i="2"/>
  <c r="O402" i="2"/>
  <c r="O396" i="2"/>
  <c r="O392" i="2"/>
  <c r="O375" i="2"/>
  <c r="O357" i="2"/>
  <c r="O575" i="2"/>
  <c r="O317" i="2"/>
  <c r="O332" i="2"/>
  <c r="O321" i="2"/>
  <c r="O345" i="2"/>
  <c r="O302" i="2"/>
  <c r="O290" i="2"/>
  <c r="O274" i="2"/>
  <c r="O264" i="2"/>
  <c r="O551" i="2"/>
  <c r="O229" i="2"/>
  <c r="O543" i="2"/>
  <c r="O232" i="2"/>
  <c r="O538" i="2"/>
  <c r="O231" i="2"/>
  <c r="O531" i="2"/>
  <c r="O521" i="2"/>
  <c r="O519" i="2"/>
  <c r="O516" i="2"/>
  <c r="O170" i="2"/>
  <c r="O502" i="2"/>
  <c r="O499" i="2"/>
  <c r="O164" i="2"/>
  <c r="O142" i="2"/>
  <c r="O491" i="2"/>
  <c r="O160" i="2"/>
  <c r="O483" i="2"/>
  <c r="O92" i="2"/>
  <c r="O77" i="2"/>
  <c r="O468" i="2"/>
  <c r="O57" i="2"/>
  <c r="O46" i="2"/>
  <c r="O465" i="2"/>
  <c r="O27" i="2"/>
  <c r="O13" i="2"/>
  <c r="O456" i="2"/>
  <c r="O444" i="2"/>
  <c r="O388" i="2"/>
  <c r="L3" i="5"/>
  <c r="M3" i="5" s="1"/>
  <c r="N3" i="5" s="1"/>
  <c r="Y1" i="5"/>
  <c r="L13" i="5"/>
  <c r="L51" i="5"/>
  <c r="N51" i="5" s="1"/>
  <c r="J385" i="2"/>
  <c r="J351" i="2"/>
  <c r="O348" i="1"/>
  <c r="O281" i="1"/>
  <c r="O379" i="1"/>
  <c r="O292" i="1"/>
  <c r="O540" i="1"/>
  <c r="O359" i="1"/>
  <c r="O423" i="1"/>
  <c r="O466" i="1"/>
  <c r="O111" i="1"/>
  <c r="O373" i="1"/>
  <c r="O378" i="1"/>
  <c r="O483" i="1"/>
  <c r="O224" i="1"/>
  <c r="O145" i="1"/>
  <c r="O435" i="1"/>
  <c r="O6" i="1"/>
  <c r="O329" i="1"/>
  <c r="O327" i="1"/>
  <c r="O50" i="1"/>
  <c r="O381" i="1"/>
  <c r="O513" i="1"/>
  <c r="O467" i="1"/>
  <c r="O574" i="1"/>
  <c r="O580" i="1"/>
  <c r="O393" i="1"/>
  <c r="O366" i="1"/>
  <c r="O522" i="1"/>
  <c r="O550" i="1"/>
  <c r="O372" i="1"/>
  <c r="O547" i="1"/>
  <c r="O545" i="1"/>
  <c r="O548" i="1"/>
  <c r="O476" i="1"/>
  <c r="O509" i="1"/>
  <c r="O184" i="1"/>
  <c r="O194" i="1"/>
  <c r="O525" i="1"/>
  <c r="O290" i="1"/>
  <c r="O542" i="1"/>
  <c r="O347" i="1"/>
  <c r="O421" i="1"/>
  <c r="O314" i="1"/>
  <c r="O465" i="1"/>
  <c r="O110" i="1"/>
  <c r="O454" i="1"/>
  <c r="O196" i="1"/>
  <c r="O280" i="1"/>
  <c r="O57" i="1"/>
  <c r="O401" i="1"/>
  <c r="O58" i="1"/>
  <c r="O138" i="1"/>
  <c r="O3" i="1"/>
  <c r="O528" i="1"/>
  <c r="O326" i="1"/>
  <c r="O479" i="1"/>
  <c r="O47" i="1"/>
  <c r="O234" i="1"/>
  <c r="O473" i="1"/>
  <c r="O569" i="1"/>
  <c r="O575" i="1"/>
  <c r="O375" i="1"/>
  <c r="O115" i="1"/>
  <c r="O539" i="1"/>
  <c r="O344" i="1"/>
  <c r="O390" i="1"/>
  <c r="O365" i="1"/>
  <c r="O63" i="1"/>
  <c r="O278" i="1"/>
  <c r="O543" i="1"/>
  <c r="O360" i="1"/>
  <c r="O170" i="1"/>
  <c r="O437" i="1"/>
  <c r="O445" i="1"/>
  <c r="O152" i="1"/>
  <c r="O36" i="1"/>
  <c r="O428" i="1"/>
  <c r="O160" i="1"/>
  <c r="O427" i="1"/>
  <c r="O230" i="1"/>
  <c r="O533" i="1"/>
  <c r="O410" i="1"/>
  <c r="O2" i="1"/>
  <c r="O239" i="1"/>
  <c r="O35" i="1"/>
  <c r="O254" i="1"/>
  <c r="O219" i="1"/>
  <c r="O253" i="1"/>
  <c r="O431" i="1"/>
  <c r="O332" i="1"/>
  <c r="O490" i="1"/>
  <c r="O383" i="1"/>
  <c r="O187" i="1"/>
  <c r="O516" i="1"/>
  <c r="O470" i="1"/>
  <c r="O24" i="1"/>
  <c r="O495" i="1"/>
  <c r="O480" i="1"/>
  <c r="O201" i="1"/>
  <c r="O317" i="1"/>
  <c r="O260" i="1"/>
  <c r="O204" i="1"/>
  <c r="O273" i="1"/>
  <c r="O180" i="1"/>
  <c r="O285" i="1"/>
  <c r="O199" i="1"/>
  <c r="O116" i="1"/>
  <c r="O129" i="1"/>
  <c r="O464" i="1"/>
  <c r="O79" i="1"/>
  <c r="O70" i="1"/>
  <c r="O97" i="1"/>
  <c r="O244" i="1"/>
  <c r="O491" i="1"/>
  <c r="O341" i="1"/>
  <c r="O49" i="1"/>
  <c r="O293" i="1"/>
  <c r="O137" i="1"/>
  <c r="O20" i="1"/>
  <c r="O519" i="1"/>
  <c r="O245" i="1"/>
  <c r="O440" i="1"/>
  <c r="O33" i="1"/>
  <c r="O213" i="1"/>
  <c r="O472" i="1"/>
  <c r="O570" i="1"/>
  <c r="O576" i="1"/>
  <c r="O524" i="1"/>
  <c r="O46" i="1"/>
  <c r="O228" i="1"/>
  <c r="O444" i="1"/>
  <c r="O295" i="1"/>
  <c r="O380" i="1"/>
  <c r="O150" i="1"/>
  <c r="O34" i="1"/>
  <c r="O419" i="1"/>
  <c r="O156" i="1"/>
  <c r="O416" i="1"/>
  <c r="O113" i="1"/>
  <c r="O514" i="1"/>
  <c r="O368" i="1"/>
  <c r="O452" i="1"/>
  <c r="O222" i="1"/>
  <c r="O477" i="1"/>
  <c r="O135" i="1"/>
  <c r="O382" i="1"/>
  <c r="O377" i="1"/>
  <c r="O331" i="1"/>
  <c r="O532" i="1"/>
  <c r="O487" i="1"/>
  <c r="O515" i="1"/>
  <c r="O510" i="1"/>
  <c r="O494" i="1"/>
  <c r="O471" i="1"/>
  <c r="O192" i="1"/>
  <c r="O203" i="1"/>
  <c r="O282" i="1"/>
  <c r="O287" i="1"/>
  <c r="O83" i="1"/>
  <c r="O284" i="1"/>
  <c r="O538" i="1"/>
  <c r="O422" i="1"/>
  <c r="O400" i="1"/>
  <c r="O529" i="1"/>
  <c r="O463" i="1"/>
  <c r="O78" i="1"/>
  <c r="O521" i="1"/>
  <c r="O81" i="1"/>
  <c r="O197" i="1"/>
  <c r="O64" i="1"/>
  <c r="O231" i="1"/>
  <c r="O27" i="1"/>
  <c r="O474" i="1"/>
  <c r="O339" i="1"/>
  <c r="O243" i="1"/>
  <c r="O238" i="1"/>
  <c r="O411" i="1"/>
  <c r="O233" i="1"/>
  <c r="O28" i="1"/>
  <c r="O165" i="1"/>
  <c r="O364" i="1"/>
  <c r="O568" i="1"/>
  <c r="O571" i="1"/>
  <c r="O577" i="1"/>
  <c r="O442" i="1"/>
  <c r="O523" i="1"/>
  <c r="O399" i="1"/>
  <c r="O370" i="1"/>
  <c r="O38" i="1"/>
  <c r="O441" i="1"/>
  <c r="O551" i="1"/>
  <c r="O418" i="1"/>
  <c r="O508" i="1"/>
  <c r="O481" i="1"/>
  <c r="O346" i="1"/>
  <c r="O527" i="1"/>
  <c r="O512" i="1"/>
  <c r="O503" i="1"/>
  <c r="O414" i="1"/>
  <c r="O536" i="1"/>
  <c r="O572" i="1"/>
  <c r="O578" i="1"/>
  <c r="O590" i="1"/>
  <c r="O546" i="1"/>
  <c r="O425" i="1"/>
  <c r="O553" i="1"/>
  <c r="O424" i="1"/>
  <c r="O541" i="1"/>
  <c r="O461" i="1"/>
  <c r="O443" i="1"/>
  <c r="O557" i="1"/>
  <c r="O318" i="1"/>
  <c r="O506" i="1"/>
  <c r="O573" i="1"/>
  <c r="O579" i="1"/>
  <c r="O103" i="1"/>
  <c r="O391" i="1"/>
  <c r="O394" i="1"/>
  <c r="O227" i="1"/>
  <c r="O385" i="1"/>
  <c r="O544" i="1"/>
  <c r="O195" i="1"/>
  <c r="O143" i="1"/>
  <c r="O552" i="1"/>
  <c r="O301" i="1"/>
  <c r="O37" i="1"/>
  <c r="O158" i="1"/>
  <c r="O363" i="1"/>
  <c r="O71" i="1"/>
  <c r="O324" i="1"/>
  <c r="O12" i="1"/>
  <c r="O417" i="1"/>
  <c r="O154" i="1"/>
  <c r="O42" i="1"/>
  <c r="O323" i="1"/>
  <c r="O52" i="1"/>
  <c r="O252" i="1"/>
  <c r="O530" i="1"/>
  <c r="O320" i="1"/>
  <c r="O565" i="1"/>
  <c r="O352" i="1"/>
  <c r="O502" i="1"/>
  <c r="O469" i="1"/>
  <c r="O207" i="1"/>
  <c r="O531" i="1"/>
  <c r="O507" i="1"/>
  <c r="O214" i="1"/>
  <c r="O499" i="1"/>
  <c r="O482" i="1"/>
  <c r="O535" i="1"/>
  <c r="O386" i="1"/>
  <c r="O493" i="1"/>
  <c r="O186" i="1"/>
  <c r="O561" i="1"/>
  <c r="O275" i="1"/>
  <c r="J443" i="2"/>
  <c r="L12" i="5"/>
  <c r="L50" i="5"/>
  <c r="N50" i="5" s="1"/>
  <c r="L20" i="5"/>
  <c r="L49" i="5"/>
  <c r="N49" i="5" s="1"/>
  <c r="L46" i="5"/>
  <c r="N46" i="5" s="1"/>
  <c r="L33" i="5"/>
  <c r="L9" i="5"/>
  <c r="L8" i="5"/>
  <c r="O278" i="2"/>
  <c r="O559" i="2"/>
  <c r="J283" i="2"/>
  <c r="K283" i="2" s="1"/>
  <c r="J546" i="2"/>
  <c r="K546" i="2" s="1"/>
  <c r="J448" i="2"/>
  <c r="K448" i="2" s="1"/>
  <c r="J459" i="2"/>
  <c r="J267" i="2"/>
  <c r="K267" i="2" s="1"/>
  <c r="J48" i="2"/>
  <c r="K48" i="2" s="1"/>
  <c r="J453" i="2"/>
  <c r="J452" i="2"/>
  <c r="J24" i="2"/>
  <c r="K24" i="2" s="1"/>
  <c r="J19" i="2"/>
  <c r="K19" i="2" s="1"/>
  <c r="J38" i="2"/>
  <c r="K38" i="2" s="1"/>
  <c r="J37" i="2"/>
  <c r="K37" i="2" s="1"/>
  <c r="J23" i="2"/>
  <c r="K23" i="2" s="1"/>
  <c r="J103" i="2"/>
  <c r="K103" i="2" s="1"/>
  <c r="J373" i="2"/>
  <c r="J372" i="2"/>
  <c r="J368" i="2"/>
  <c r="J371" i="2"/>
  <c r="J370" i="2"/>
  <c r="J369" i="2"/>
  <c r="J381" i="2"/>
  <c r="J266" i="2"/>
  <c r="K266" i="2" s="1"/>
  <c r="J358" i="2"/>
  <c r="J564" i="2"/>
  <c r="K564" i="2" s="1"/>
  <c r="J563" i="2"/>
  <c r="K563" i="2" s="1"/>
  <c r="J562" i="2"/>
  <c r="K562" i="2" s="1"/>
  <c r="J395" i="2"/>
  <c r="J406" i="2"/>
  <c r="J418" i="2"/>
  <c r="J429" i="2"/>
  <c r="J437" i="2"/>
  <c r="J438" i="2"/>
  <c r="J397" i="2"/>
  <c r="J417" i="2"/>
  <c r="J114" i="2"/>
  <c r="J148" i="2"/>
  <c r="J531" i="2"/>
  <c r="K531" i="2" s="1"/>
  <c r="J490" i="2"/>
  <c r="J138" i="2"/>
  <c r="J139" i="2"/>
  <c r="J149" i="2"/>
  <c r="J159" i="2"/>
  <c r="J474" i="2"/>
  <c r="K474" i="2" s="1"/>
  <c r="J470" i="2"/>
  <c r="K470" i="2" s="1"/>
  <c r="J465" i="2"/>
  <c r="K465" i="2" s="1"/>
  <c r="J497" i="2"/>
  <c r="K497" i="2" s="1"/>
  <c r="J485" i="2"/>
  <c r="K485" i="2" s="1"/>
  <c r="J158" i="2"/>
  <c r="J523" i="2"/>
  <c r="K523" i="2" s="1"/>
  <c r="J63" i="2"/>
  <c r="J50" i="2"/>
  <c r="J388" i="2"/>
  <c r="L388" i="2" s="1"/>
  <c r="J182" i="2"/>
  <c r="K182" i="2" s="1"/>
  <c r="J121" i="2"/>
  <c r="K121" i="2" s="1"/>
  <c r="J389" i="2"/>
  <c r="J177" i="2"/>
  <c r="K177" i="2" s="1"/>
  <c r="J515" i="2"/>
  <c r="K515" i="2" s="1"/>
  <c r="J510" i="2"/>
  <c r="K510" i="2" s="1"/>
  <c r="J122" i="2"/>
  <c r="K122" i="2" s="1"/>
  <c r="J220" i="2"/>
  <c r="K220" i="2" s="1"/>
  <c r="J140" i="2"/>
  <c r="K140" i="2" s="1"/>
  <c r="J221" i="2"/>
  <c r="K221" i="2" s="1"/>
  <c r="J207" i="2"/>
  <c r="K207" i="2" s="1"/>
  <c r="J257" i="2"/>
  <c r="K257" i="2" s="1"/>
  <c r="J534" i="2"/>
  <c r="K534" i="2" s="1"/>
  <c r="J493" i="2"/>
  <c r="K493" i="2" s="1"/>
  <c r="J208" i="2"/>
  <c r="K208" i="2" s="1"/>
  <c r="J141" i="2"/>
  <c r="K141" i="2" s="1"/>
  <c r="J142" i="2"/>
  <c r="K142" i="2" s="1"/>
  <c r="J505" i="2"/>
  <c r="K505" i="2" s="1"/>
  <c r="J308" i="2"/>
  <c r="K308" i="2" s="1"/>
  <c r="J258" i="2"/>
  <c r="K258" i="2" s="1"/>
  <c r="J123" i="2"/>
  <c r="K123" i="2" s="1"/>
  <c r="J124" i="2"/>
  <c r="K124" i="2" s="1"/>
  <c r="J487" i="2"/>
  <c r="K487" i="2" s="1"/>
  <c r="J106" i="2"/>
  <c r="K106" i="2" s="1"/>
  <c r="J528" i="2"/>
  <c r="K528" i="2" s="1"/>
  <c r="J494" i="2"/>
  <c r="K494" i="2" s="1"/>
  <c r="J107" i="2"/>
  <c r="K107" i="2" s="1"/>
  <c r="J198" i="2"/>
  <c r="K198" i="2" s="1"/>
  <c r="J165" i="2"/>
  <c r="K165" i="2" s="1"/>
  <c r="J108" i="2"/>
  <c r="K108" i="2" s="1"/>
  <c r="J495" i="2"/>
  <c r="K495" i="2" s="1"/>
  <c r="J535" i="2"/>
  <c r="K535" i="2" s="1"/>
  <c r="J256" i="2"/>
  <c r="K256" i="2" s="1"/>
  <c r="J263" i="2"/>
  <c r="K263" i="2" s="1"/>
  <c r="J516" i="2"/>
  <c r="K516" i="2" s="1"/>
  <c r="J390" i="2"/>
  <c r="J192" i="2"/>
  <c r="K192" i="2" s="1"/>
  <c r="J391" i="2"/>
  <c r="J392" i="2"/>
  <c r="J299" i="2"/>
  <c r="J193" i="2"/>
  <c r="J571" i="2"/>
  <c r="K571" i="2" s="1"/>
  <c r="J360" i="2"/>
  <c r="J393" i="2"/>
  <c r="J296" i="2"/>
  <c r="J309" i="2"/>
  <c r="J561" i="2"/>
  <c r="J585" i="2"/>
  <c r="J236" i="2"/>
  <c r="K236" i="2" s="1"/>
  <c r="J394" i="2"/>
  <c r="J554" i="2"/>
  <c r="K554" i="2" s="1"/>
  <c r="J547" i="2"/>
  <c r="K547" i="2" s="1"/>
  <c r="J569" i="2"/>
  <c r="K569" i="2" s="1"/>
  <c r="J396" i="2"/>
  <c r="J541" i="2"/>
  <c r="K541" i="2" s="1"/>
  <c r="J567" i="2"/>
  <c r="K567" i="2" s="1"/>
  <c r="J532" i="2"/>
  <c r="J398" i="2"/>
  <c r="J542" i="2"/>
  <c r="K542" i="2" s="1"/>
  <c r="J268" i="2"/>
  <c r="J573" i="2"/>
  <c r="K573" i="2" s="1"/>
  <c r="J399" i="2"/>
  <c r="J321" i="2"/>
  <c r="J400" i="2"/>
  <c r="J401" i="2"/>
  <c r="J322" i="2"/>
  <c r="J558" i="2"/>
  <c r="K558" i="2" s="1"/>
  <c r="J589" i="2"/>
  <c r="K589" i="2" s="1"/>
  <c r="J326" i="2"/>
  <c r="J205" i="2"/>
  <c r="J402" i="2"/>
  <c r="J403" i="2"/>
  <c r="J271" i="2"/>
  <c r="J270" i="2"/>
  <c r="J548" i="2"/>
  <c r="K548" i="2" s="1"/>
  <c r="J526" i="2"/>
  <c r="K526" i="2" s="1"/>
  <c r="J404" i="2"/>
  <c r="J590" i="2"/>
  <c r="K590" i="2" s="1"/>
  <c r="J319" i="2"/>
  <c r="J204" i="2"/>
  <c r="J536" i="2"/>
  <c r="K536" i="2" s="1"/>
  <c r="J537" i="2"/>
  <c r="K537" i="2" s="1"/>
  <c r="J568" i="2"/>
  <c r="K568" i="2" s="1"/>
  <c r="J405" i="2"/>
  <c r="J538" i="2"/>
  <c r="K538" i="2" s="1"/>
  <c r="J572" i="2"/>
  <c r="K572" i="2" s="1"/>
  <c r="J565" i="2"/>
  <c r="K565" i="2" s="1"/>
  <c r="J551" i="2"/>
  <c r="K551" i="2" s="1"/>
  <c r="J469" i="2"/>
  <c r="K469" i="2" s="1"/>
  <c r="J298" i="2"/>
  <c r="J150" i="2"/>
  <c r="J509" i="2"/>
  <c r="K509" i="2" s="1"/>
  <c r="J407" i="2"/>
  <c r="J86" i="2"/>
  <c r="J90" i="2"/>
  <c r="J98" i="2"/>
  <c r="J471" i="2"/>
  <c r="K471" i="2" s="1"/>
  <c r="J151" i="2"/>
  <c r="J152" i="2"/>
  <c r="J462" i="2"/>
  <c r="K462" i="2" s="1"/>
  <c r="J463" i="2"/>
  <c r="K463" i="2" s="1"/>
  <c r="J408" i="2"/>
  <c r="J464" i="2"/>
  <c r="K464" i="2" s="1"/>
  <c r="J222" i="2"/>
  <c r="J517" i="2"/>
  <c r="K517" i="2" s="1"/>
  <c r="J502" i="2"/>
  <c r="J533" i="2"/>
  <c r="J248" i="2"/>
  <c r="K248" i="2" s="1"/>
  <c r="J530" i="2"/>
  <c r="J529" i="2"/>
  <c r="K529" i="2" s="1"/>
  <c r="J218" i="2"/>
  <c r="J524" i="2"/>
  <c r="J223" i="2"/>
  <c r="J499" i="2"/>
  <c r="K499" i="2" s="1"/>
  <c r="J143" i="2"/>
  <c r="J409" i="2"/>
  <c r="J209" i="2"/>
  <c r="J233" i="2"/>
  <c r="J200" i="2"/>
  <c r="J206" i="2"/>
  <c r="J196" i="2"/>
  <c r="J210" i="2"/>
  <c r="J201" i="2"/>
  <c r="J144" i="2"/>
  <c r="J410" i="2"/>
  <c r="J116" i="2"/>
  <c r="J411" i="2"/>
  <c r="J475" i="2"/>
  <c r="K475" i="2" s="1"/>
  <c r="J412" i="2"/>
  <c r="J413" i="2"/>
  <c r="J237" i="2"/>
  <c r="K237" i="2" s="1"/>
  <c r="J543" i="2"/>
  <c r="K543" i="2" s="1"/>
  <c r="J414" i="2"/>
  <c r="J415" i="2"/>
  <c r="J416" i="2"/>
  <c r="J238" i="2"/>
  <c r="J224" i="2"/>
  <c r="J274" i="2"/>
  <c r="J352" i="2"/>
  <c r="K352" i="2" s="1"/>
  <c r="J363" i="2"/>
  <c r="J380" i="2"/>
  <c r="K380" i="2" s="1"/>
  <c r="J384" i="2"/>
  <c r="K384" i="2" s="1"/>
  <c r="J353" i="2"/>
  <c r="J364" i="2"/>
  <c r="J11" i="2"/>
  <c r="J12" i="2"/>
  <c r="J64" i="2"/>
  <c r="J26" i="2"/>
  <c r="J478" i="2"/>
  <c r="J458" i="2"/>
  <c r="J13" i="2"/>
  <c r="J14" i="2"/>
  <c r="J51" i="2"/>
  <c r="J357" i="2"/>
  <c r="J225" i="2"/>
  <c r="J264" i="2"/>
  <c r="J269" i="2"/>
  <c r="K269" i="2" s="1"/>
  <c r="J304" i="2"/>
  <c r="J331" i="2"/>
  <c r="J305" i="2"/>
  <c r="J15" i="2"/>
  <c r="K15" i="2" s="1"/>
  <c r="J450" i="2"/>
  <c r="K450" i="2" s="1"/>
  <c r="J7" i="2"/>
  <c r="K7" i="2" s="1"/>
  <c r="J8" i="2"/>
  <c r="K8" i="2" s="1"/>
  <c r="J65" i="2"/>
  <c r="K65" i="2" s="1"/>
  <c r="J27" i="2"/>
  <c r="K27" i="2" s="1"/>
  <c r="J66" i="2"/>
  <c r="K66" i="2" s="1"/>
  <c r="J67" i="2"/>
  <c r="K67" i="2" s="1"/>
  <c r="J496" i="2"/>
  <c r="K496" i="2" s="1"/>
  <c r="J468" i="2"/>
  <c r="K468" i="2" s="1"/>
  <c r="J87" i="2"/>
  <c r="K87" i="2" s="1"/>
  <c r="J68" i="2"/>
  <c r="K68" i="2" s="1"/>
  <c r="J117" i="2"/>
  <c r="K117" i="2" s="1"/>
  <c r="J93" i="2"/>
  <c r="K93" i="2" s="1"/>
  <c r="J419" i="2"/>
  <c r="J125" i="2"/>
  <c r="K125" i="2" s="1"/>
  <c r="J99" i="2"/>
  <c r="K99" i="2" s="1"/>
  <c r="J153" i="2"/>
  <c r="K153" i="2" s="1"/>
  <c r="J420" i="2"/>
  <c r="J145" i="2"/>
  <c r="K145" i="2" s="1"/>
  <c r="J154" i="2"/>
  <c r="K154" i="2" s="1"/>
  <c r="J170" i="2"/>
  <c r="K170" i="2" s="1"/>
  <c r="J421" i="2"/>
  <c r="J52" i="2"/>
  <c r="K52" i="2" s="1"/>
  <c r="J251" i="2"/>
  <c r="K251" i="2" s="1"/>
  <c r="J545" i="2"/>
  <c r="K545" i="2" s="1"/>
  <c r="J239" i="2"/>
  <c r="K239" i="2" s="1"/>
  <c r="J219" i="2"/>
  <c r="K219" i="2" s="1"/>
  <c r="J97" i="2"/>
  <c r="K97" i="2" s="1"/>
  <c r="J422" i="2"/>
  <c r="J126" i="2"/>
  <c r="K126" i="2" s="1"/>
  <c r="J118" i="2"/>
  <c r="K118" i="2" s="1"/>
  <c r="J100" i="2"/>
  <c r="K100" i="2" s="1"/>
  <c r="J423" i="2"/>
  <c r="J424" i="2"/>
  <c r="J132" i="2"/>
  <c r="K132" i="2" s="1"/>
  <c r="J146" i="2"/>
  <c r="K146" i="2" s="1"/>
  <c r="J147" i="2"/>
  <c r="K147" i="2" s="1"/>
  <c r="J466" i="2"/>
  <c r="K466" i="2" s="1"/>
  <c r="J425" i="2"/>
  <c r="J155" i="2"/>
  <c r="K155" i="2" s="1"/>
  <c r="J183" i="2"/>
  <c r="K183" i="2" s="1"/>
  <c r="J133" i="2"/>
  <c r="K133" i="2" s="1"/>
  <c r="J226" i="2"/>
  <c r="K226" i="2" s="1"/>
  <c r="J120" i="2"/>
  <c r="K120" i="2" s="1"/>
  <c r="J171" i="2"/>
  <c r="K171" i="2" s="1"/>
  <c r="J277" i="2"/>
  <c r="K277" i="2" s="1"/>
  <c r="J172" i="2"/>
  <c r="K172" i="2" s="1"/>
  <c r="J252" i="2"/>
  <c r="K252" i="2" s="1"/>
  <c r="J101" i="2"/>
  <c r="K101" i="2" s="1"/>
  <c r="J94" i="2"/>
  <c r="K94" i="2" s="1"/>
  <c r="J104" i="2"/>
  <c r="K104" i="2" s="1"/>
  <c r="J95" i="2"/>
  <c r="K95" i="2" s="1"/>
  <c r="J272" i="2"/>
  <c r="K272" i="2" s="1"/>
  <c r="J456" i="2"/>
  <c r="K456" i="2" s="1"/>
  <c r="J454" i="2"/>
  <c r="K454" i="2" s="1"/>
  <c r="J455" i="2"/>
  <c r="K455" i="2" s="1"/>
  <c r="J449" i="2"/>
  <c r="K449" i="2" s="1"/>
  <c r="J457" i="2"/>
  <c r="K457" i="2" s="1"/>
  <c r="J426" i="2"/>
  <c r="J511" i="2"/>
  <c r="K511" i="2" s="1"/>
  <c r="J512" i="2"/>
  <c r="K512" i="2" s="1"/>
  <c r="J444" i="2"/>
  <c r="J445" i="2"/>
  <c r="J451" i="2"/>
  <c r="J446" i="2"/>
  <c r="K446" i="2" s="1"/>
  <c r="J447" i="2"/>
  <c r="J9" i="2"/>
  <c r="J250" i="2"/>
  <c r="K250" i="2" s="1"/>
  <c r="J555" i="2"/>
  <c r="K555" i="2" s="1"/>
  <c r="J184" i="2"/>
  <c r="J588" i="2"/>
  <c r="K588" i="2" s="1"/>
  <c r="J591" i="2"/>
  <c r="J586" i="2"/>
  <c r="K586" i="2" s="1"/>
  <c r="J584" i="2"/>
  <c r="J581" i="2"/>
  <c r="J574" i="2"/>
  <c r="K574" i="2" s="1"/>
  <c r="J587" i="2"/>
  <c r="J427" i="2"/>
  <c r="J577" i="2"/>
  <c r="K577" i="2" s="1"/>
  <c r="J582" i="2"/>
  <c r="J575" i="2"/>
  <c r="K575" i="2" s="1"/>
  <c r="J579" i="2"/>
  <c r="J156" i="2"/>
  <c r="K156" i="2" s="1"/>
  <c r="J428" i="2"/>
  <c r="J282" i="2"/>
  <c r="K282" i="2" s="1"/>
  <c r="J513" i="2"/>
  <c r="K513" i="2" s="1"/>
  <c r="J460" i="2"/>
  <c r="K460" i="2" s="1"/>
  <c r="J430" i="2"/>
  <c r="J211" i="2"/>
  <c r="J227" i="2"/>
  <c r="J212" i="2"/>
  <c r="J431" i="2"/>
  <c r="J488" i="2"/>
  <c r="K488" i="2" s="1"/>
  <c r="J461" i="2"/>
  <c r="K461" i="2" s="1"/>
  <c r="J467" i="2"/>
  <c r="K467" i="2" s="1"/>
  <c r="J482" i="2"/>
  <c r="K482" i="2" s="1"/>
  <c r="J168" i="2"/>
  <c r="J489" i="2"/>
  <c r="K489" i="2" s="1"/>
  <c r="J576" i="2"/>
  <c r="K576" i="2" s="1"/>
  <c r="J578" i="2"/>
  <c r="K578" i="2" s="1"/>
  <c r="J318" i="2"/>
  <c r="J432" i="2"/>
  <c r="J78" i="2"/>
  <c r="K78" i="2" s="1"/>
  <c r="J166" i="2"/>
  <c r="J479" i="2"/>
  <c r="K479" i="2" s="1"/>
  <c r="J480" i="2"/>
  <c r="K480" i="2" s="1"/>
  <c r="J486" i="2"/>
  <c r="K486" i="2" s="1"/>
  <c r="J199" i="2"/>
  <c r="K199" i="2" s="1"/>
  <c r="J109" i="2"/>
  <c r="K109" i="2" s="1"/>
  <c r="J134" i="2"/>
  <c r="K134" i="2" s="1"/>
  <c r="J127" i="2"/>
  <c r="K127" i="2" s="1"/>
  <c r="J128" i="2"/>
  <c r="K128" i="2" s="1"/>
  <c r="J162" i="2"/>
  <c r="K162" i="2" s="1"/>
  <c r="J135" i="2"/>
  <c r="K135" i="2" s="1"/>
  <c r="J80" i="2"/>
  <c r="J81" i="2"/>
  <c r="J433" i="2"/>
  <c r="J434" i="2"/>
  <c r="J539" i="2"/>
  <c r="K539" i="2" s="1"/>
  <c r="J185" i="2"/>
  <c r="K185" i="2" s="1"/>
  <c r="J521" i="2"/>
  <c r="K521" i="2" s="1"/>
  <c r="J180" i="2"/>
  <c r="K180" i="2" s="1"/>
  <c r="J178" i="2"/>
  <c r="K178" i="2" s="1"/>
  <c r="J518" i="2"/>
  <c r="K518" i="2" s="1"/>
  <c r="J181" i="2"/>
  <c r="K181" i="2" s="1"/>
  <c r="J435" i="2"/>
  <c r="J552" i="2"/>
  <c r="K552" i="2" s="1"/>
  <c r="J320" i="2"/>
  <c r="J160" i="2"/>
  <c r="J332" i="2"/>
  <c r="J376" i="2"/>
  <c r="J374" i="2"/>
  <c r="J472" i="2"/>
  <c r="K472" i="2" s="1"/>
  <c r="J88" i="2"/>
  <c r="K88" i="2" s="1"/>
  <c r="J473" i="2"/>
  <c r="K473" i="2" s="1"/>
  <c r="J6" i="2"/>
  <c r="J375" i="2"/>
  <c r="J436" i="2"/>
  <c r="J583" i="2"/>
  <c r="K583" i="2" s="1"/>
  <c r="J333" i="2"/>
  <c r="J240" i="2"/>
  <c r="J294" i="2"/>
  <c r="J194" i="2"/>
  <c r="J115" i="2"/>
  <c r="J259" i="2"/>
  <c r="J260" i="2"/>
  <c r="J92" i="2"/>
  <c r="K92" i="2" s="1"/>
  <c r="J186" i="2"/>
  <c r="K186" i="2" s="1"/>
  <c r="J500" i="2"/>
  <c r="K500" i="2" s="1"/>
  <c r="J284" i="2"/>
  <c r="J285" i="2"/>
  <c r="J241" i="2"/>
  <c r="J3" i="2"/>
  <c r="L3" i="2" s="1"/>
  <c r="J580" i="2"/>
  <c r="K580" i="2" s="1"/>
  <c r="J82" i="2"/>
  <c r="K82" i="2" s="1"/>
  <c r="J253" i="2"/>
  <c r="J355" i="2"/>
  <c r="J234" i="2"/>
  <c r="K234" i="2" s="1"/>
  <c r="J119" i="2"/>
  <c r="J481" i="2"/>
  <c r="K481" i="2" s="1"/>
  <c r="J28" i="2"/>
  <c r="J242" i="2"/>
  <c r="J29" i="2"/>
  <c r="J91" i="2"/>
  <c r="J62" i="2"/>
  <c r="J21" i="2"/>
  <c r="J557" i="2"/>
  <c r="J312" i="2"/>
  <c r="J339" i="2"/>
  <c r="J301" i="2"/>
  <c r="J302" i="2"/>
  <c r="J341" i="2"/>
  <c r="J343" i="2"/>
  <c r="J303" i="2"/>
  <c r="J342" i="2"/>
  <c r="J570" i="2"/>
  <c r="K570" i="2" s="1"/>
  <c r="J340" i="2"/>
  <c r="K340" i="2" s="1"/>
  <c r="J503" i="2"/>
  <c r="K503" i="2" s="1"/>
  <c r="J544" i="2"/>
  <c r="K544" i="2" s="1"/>
  <c r="J439" i="2"/>
  <c r="J328" i="2"/>
  <c r="K328" i="2" s="1"/>
  <c r="J261" i="2"/>
  <c r="K261" i="2" s="1"/>
  <c r="J329" i="2"/>
  <c r="J483" i="2"/>
  <c r="K483" i="2" s="1"/>
  <c r="J522" i="2"/>
  <c r="K522" i="2" s="1"/>
  <c r="J506" i="2"/>
  <c r="K506" i="2" s="1"/>
  <c r="J187" i="2"/>
  <c r="K187" i="2" s="1"/>
  <c r="J161" i="2"/>
  <c r="K161" i="2" s="1"/>
  <c r="J525" i="2"/>
  <c r="K525" i="2" s="1"/>
  <c r="J30" i="2"/>
  <c r="J31" i="2"/>
  <c r="J69" i="2"/>
  <c r="J527" i="2"/>
  <c r="J163" i="2"/>
  <c r="K163" i="2" s="1"/>
  <c r="J213" i="2"/>
  <c r="J203" i="2"/>
  <c r="J164" i="2"/>
  <c r="K164" i="2" s="1"/>
  <c r="J344" i="2"/>
  <c r="J334" i="2"/>
  <c r="J345" i="2"/>
  <c r="J346" i="2"/>
  <c r="J356" i="2"/>
  <c r="J476" i="2"/>
  <c r="K476" i="2" s="1"/>
  <c r="J202" i="2"/>
  <c r="K202" i="2" s="1"/>
  <c r="J214" i="2"/>
  <c r="K214" i="2" s="1"/>
  <c r="J440" i="2"/>
  <c r="J519" i="2"/>
  <c r="K519" i="2" s="1"/>
  <c r="J79" i="2"/>
  <c r="J441" i="2"/>
  <c r="J484" i="2"/>
  <c r="K484" i="2" s="1"/>
  <c r="J491" i="2"/>
  <c r="K491" i="2" s="1"/>
  <c r="J215" i="2"/>
  <c r="J167" i="2"/>
  <c r="K167" i="2" s="1"/>
  <c r="J520" i="2"/>
  <c r="K520" i="2" s="1"/>
  <c r="J157" i="2"/>
  <c r="K157" i="2" s="1"/>
  <c r="J243" i="2"/>
  <c r="K243" i="2" s="1"/>
  <c r="J83" i="2"/>
  <c r="K83" i="2" s="1"/>
  <c r="J556" i="2"/>
  <c r="K556" i="2" s="1"/>
  <c r="J217" i="2"/>
  <c r="K217" i="2" s="1"/>
  <c r="J197" i="2"/>
  <c r="J254" i="2"/>
  <c r="J501" i="2"/>
  <c r="K501" i="2" s="1"/>
  <c r="J442" i="2"/>
  <c r="J295" i="2"/>
  <c r="J553" i="2"/>
  <c r="J179" i="2"/>
  <c r="K179" i="2" s="1"/>
  <c r="J306" i="2"/>
  <c r="J273" i="2"/>
  <c r="J323" i="2"/>
  <c r="K323" i="2" s="1"/>
  <c r="J324" i="2"/>
  <c r="J325" i="2"/>
  <c r="J286" i="2"/>
  <c r="J507" i="2"/>
  <c r="K507" i="2" s="1"/>
  <c r="J290" i="2"/>
  <c r="K290" i="2" s="1"/>
  <c r="J281" i="2"/>
  <c r="K281" i="2" s="1"/>
  <c r="J297" i="2"/>
  <c r="K297" i="2" s="1"/>
  <c r="J291" i="2"/>
  <c r="K291" i="2" s="1"/>
  <c r="J292" i="2"/>
  <c r="J293" i="2"/>
  <c r="K293" i="2" s="1"/>
  <c r="J188" i="2"/>
  <c r="J70" i="2"/>
  <c r="K70" i="2" s="1"/>
  <c r="J53" i="2"/>
  <c r="K53" i="2" s="1"/>
  <c r="J32" i="2"/>
  <c r="K32" i="2" s="1"/>
  <c r="J110" i="2"/>
  <c r="K110" i="2" s="1"/>
  <c r="J111" i="2"/>
  <c r="K111" i="2" s="1"/>
  <c r="J504" i="2"/>
  <c r="K504" i="2" s="1"/>
  <c r="J54" i="2"/>
  <c r="K54" i="2" s="1"/>
  <c r="J477" i="2"/>
  <c r="K477" i="2" s="1"/>
  <c r="J102" i="2"/>
  <c r="K102" i="2" s="1"/>
  <c r="J71" i="2"/>
  <c r="J129" i="2"/>
  <c r="K129" i="2" s="1"/>
  <c r="J33" i="2"/>
  <c r="K33" i="2" s="1"/>
  <c r="J189" i="2"/>
  <c r="K189" i="2" s="1"/>
  <c r="J39" i="2"/>
  <c r="K39" i="2" s="1"/>
  <c r="J173" i="2"/>
  <c r="K173" i="2" s="1"/>
  <c r="J40" i="2"/>
  <c r="K40" i="2" s="1"/>
  <c r="J105" i="2"/>
  <c r="K105" i="2" s="1"/>
  <c r="J72" i="2"/>
  <c r="J73" i="2"/>
  <c r="J16" i="2"/>
  <c r="J492" i="2"/>
  <c r="K492" i="2" s="1"/>
  <c r="J74" i="2"/>
  <c r="J169" i="2"/>
  <c r="K169" i="2" s="1"/>
  <c r="J41" i="2"/>
  <c r="J17" i="2"/>
  <c r="J42" i="2"/>
  <c r="K42" i="2" s="1"/>
  <c r="J43" i="2"/>
  <c r="K43" i="2" s="1"/>
  <c r="J84" i="2"/>
  <c r="J44" i="2"/>
  <c r="J18" i="2"/>
  <c r="J45" i="2"/>
  <c r="K45" i="2" s="1"/>
  <c r="J174" i="2"/>
  <c r="K174" i="2" s="1"/>
  <c r="J75" i="2"/>
  <c r="K75" i="2" s="1"/>
  <c r="J46" i="2"/>
  <c r="K46" i="2" s="1"/>
  <c r="J76" i="2"/>
  <c r="K76" i="2" s="1"/>
  <c r="J130" i="2"/>
  <c r="K130" i="2" s="1"/>
  <c r="J131" i="2"/>
  <c r="K131" i="2" s="1"/>
  <c r="J55" i="2"/>
  <c r="K55" i="2" s="1"/>
  <c r="J195" i="2"/>
  <c r="K195" i="2" s="1"/>
  <c r="J89" i="2"/>
  <c r="K89" i="2" s="1"/>
  <c r="J47" i="2"/>
  <c r="K47" i="2" s="1"/>
  <c r="J56" i="2"/>
  <c r="K56" i="2" s="1"/>
  <c r="J57" i="2"/>
  <c r="K57" i="2" s="1"/>
  <c r="J112" i="2"/>
  <c r="K112" i="2" s="1"/>
  <c r="J190" i="2"/>
  <c r="K190" i="2" s="1"/>
  <c r="J58" i="2"/>
  <c r="K58" i="2" s="1"/>
  <c r="J59" i="2"/>
  <c r="K59" i="2" s="1"/>
  <c r="J113" i="2"/>
  <c r="K113" i="2" s="1"/>
  <c r="J60" i="2"/>
  <c r="K60" i="2" s="1"/>
  <c r="J136" i="2"/>
  <c r="K136" i="2" s="1"/>
  <c r="J175" i="2"/>
  <c r="K175" i="2" s="1"/>
  <c r="J275" i="2"/>
  <c r="K275" i="2" s="1"/>
  <c r="J249" i="2"/>
  <c r="K249" i="2" s="1"/>
  <c r="J316" i="2"/>
  <c r="K316" i="2" s="1"/>
  <c r="J350" i="2"/>
  <c r="K350" i="2" s="1"/>
  <c r="J362" i="2"/>
  <c r="K362" i="2" s="1"/>
  <c r="J367" i="2"/>
  <c r="K367" i="2" s="1"/>
  <c r="J77" i="2"/>
  <c r="K77" i="2" s="1"/>
  <c r="J137" i="2"/>
  <c r="K137" i="2" s="1"/>
  <c r="J307" i="2"/>
  <c r="K307" i="2" s="1"/>
  <c r="J96" i="2"/>
  <c r="J61" i="2"/>
  <c r="J85" i="2"/>
  <c r="J514" i="2"/>
  <c r="J549" i="2"/>
  <c r="K549" i="2" s="1"/>
  <c r="J34" i="2"/>
  <c r="J347" i="2"/>
  <c r="J336" i="2"/>
  <c r="J348" i="2"/>
  <c r="J338" i="2"/>
  <c r="J349" i="2"/>
  <c r="J330" i="2"/>
  <c r="J335" i="2"/>
  <c r="J550" i="2"/>
  <c r="J247" i="2"/>
  <c r="J232" i="2"/>
  <c r="J228" i="2"/>
  <c r="J235" i="2"/>
  <c r="J231" i="2"/>
  <c r="J262" i="2"/>
  <c r="K262" i="2" s="1"/>
  <c r="J229" i="2"/>
  <c r="J216" i="2"/>
  <c r="J191" i="2"/>
  <c r="K191" i="2" s="1"/>
  <c r="J354" i="2"/>
  <c r="K354" i="2" s="1"/>
  <c r="J566" i="2"/>
  <c r="J310" i="2"/>
  <c r="J279" i="2"/>
  <c r="J280" i="2"/>
  <c r="K280" i="2" s="1"/>
  <c r="J35" i="2"/>
  <c r="J22" i="2"/>
  <c r="K22" i="2" s="1"/>
  <c r="J36" i="2"/>
  <c r="K36" i="2" s="1"/>
  <c r="J287" i="2"/>
  <c r="J317" i="2"/>
  <c r="J10" i="2"/>
  <c r="K10" i="2" s="1"/>
  <c r="J311" i="2"/>
  <c r="J300" i="2"/>
  <c r="K300" i="2" s="1"/>
  <c r="J265" i="2"/>
  <c r="K265" i="2" s="1"/>
  <c r="J498" i="2"/>
  <c r="L215" i="2" l="1"/>
  <c r="L310" i="2"/>
  <c r="L324" i="2"/>
  <c r="L301" i="2"/>
  <c r="L260" i="2"/>
  <c r="L584" i="2"/>
  <c r="L445" i="2"/>
  <c r="L209" i="2"/>
  <c r="L326" i="2"/>
  <c r="L532" i="2"/>
  <c r="L296" i="2"/>
  <c r="L345" i="2"/>
  <c r="L527" i="2"/>
  <c r="L339" i="2"/>
  <c r="L259" i="2"/>
  <c r="L168" i="2"/>
  <c r="L444" i="2"/>
  <c r="L363" i="2"/>
  <c r="L222" i="2"/>
  <c r="L204" i="2"/>
  <c r="L158" i="2"/>
  <c r="L148" i="2"/>
  <c r="L295" i="2"/>
  <c r="L498" i="2"/>
  <c r="K566" i="2"/>
  <c r="L566" i="2" s="1"/>
  <c r="L330" i="2"/>
  <c r="L41" i="2"/>
  <c r="L188" i="2"/>
  <c r="L273" i="2"/>
  <c r="L312" i="2"/>
  <c r="L253" i="2"/>
  <c r="L374" i="2"/>
  <c r="L591" i="2"/>
  <c r="L13" i="2"/>
  <c r="L150" i="2"/>
  <c r="L319" i="2"/>
  <c r="L360" i="2"/>
  <c r="L358" i="2"/>
  <c r="L550" i="2"/>
  <c r="L335" i="2"/>
  <c r="L311" i="2"/>
  <c r="L349" i="2"/>
  <c r="L306" i="2"/>
  <c r="L31" i="2"/>
  <c r="L557" i="2"/>
  <c r="L376" i="2"/>
  <c r="L274" i="2"/>
  <c r="L298" i="2"/>
  <c r="L322" i="2"/>
  <c r="L287" i="2"/>
  <c r="L216" i="2"/>
  <c r="L292" i="2"/>
  <c r="L356" i="2"/>
  <c r="L30" i="2"/>
  <c r="L21" i="2"/>
  <c r="L294" i="2"/>
  <c r="L332" i="2"/>
  <c r="L579" i="2"/>
  <c r="L184" i="2"/>
  <c r="L224" i="2"/>
  <c r="L223" i="2"/>
  <c r="L193" i="2"/>
  <c r="L381" i="2"/>
  <c r="L351" i="2"/>
  <c r="L247" i="2"/>
  <c r="L338" i="2"/>
  <c r="L317" i="2"/>
  <c r="L229" i="2"/>
  <c r="L348" i="2"/>
  <c r="L553" i="2"/>
  <c r="L346" i="2"/>
  <c r="L240" i="2"/>
  <c r="L160" i="2"/>
  <c r="L305" i="2"/>
  <c r="L524" i="2"/>
  <c r="L299" i="2"/>
  <c r="L369" i="2"/>
  <c r="L320" i="2"/>
  <c r="L582" i="2"/>
  <c r="L331" i="2"/>
  <c r="L201" i="2"/>
  <c r="K321" i="2"/>
  <c r="L321" i="2" s="1"/>
  <c r="L370" i="2"/>
  <c r="L385" i="2"/>
  <c r="L336" i="2"/>
  <c r="L347" i="2"/>
  <c r="L334" i="2"/>
  <c r="L342" i="2"/>
  <c r="L29" i="2"/>
  <c r="L285" i="2"/>
  <c r="L212" i="2"/>
  <c r="L9" i="2"/>
  <c r="L304" i="2"/>
  <c r="L210" i="2"/>
  <c r="L270" i="2"/>
  <c r="L159" i="2"/>
  <c r="L371" i="2"/>
  <c r="L241" i="2"/>
  <c r="L34" i="2"/>
  <c r="L18" i="2"/>
  <c r="L344" i="2"/>
  <c r="L303" i="2"/>
  <c r="L242" i="2"/>
  <c r="L284" i="2"/>
  <c r="L227" i="2"/>
  <c r="L447" i="2"/>
  <c r="L196" i="2"/>
  <c r="K530" i="2"/>
  <c r="L530" i="2" s="1"/>
  <c r="L271" i="2"/>
  <c r="L149" i="2"/>
  <c r="L368" i="2"/>
  <c r="L231" i="2"/>
  <c r="L35" i="2"/>
  <c r="L228" i="2"/>
  <c r="L254" i="2"/>
  <c r="L343" i="2"/>
  <c r="L28" i="2"/>
  <c r="L375" i="2"/>
  <c r="L318" i="2"/>
  <c r="L211" i="2"/>
  <c r="L587" i="2"/>
  <c r="L264" i="2"/>
  <c r="L364" i="2"/>
  <c r="L206" i="2"/>
  <c r="L268" i="2"/>
  <c r="L585" i="2"/>
  <c r="L139" i="2"/>
  <c r="L372" i="2"/>
  <c r="L459" i="2"/>
  <c r="L333" i="2"/>
  <c r="L286" i="2"/>
  <c r="L197" i="2"/>
  <c r="L203" i="2"/>
  <c r="L341" i="2"/>
  <c r="L225" i="2"/>
  <c r="L353" i="2"/>
  <c r="L200" i="2"/>
  <c r="L533" i="2"/>
  <c r="L561" i="2"/>
  <c r="L50" i="2"/>
  <c r="L138" i="2"/>
  <c r="L373" i="2"/>
  <c r="L279" i="2"/>
  <c r="L325" i="2"/>
  <c r="L213" i="2"/>
  <c r="L329" i="2"/>
  <c r="L302" i="2"/>
  <c r="L581" i="2"/>
  <c r="L233" i="2"/>
  <c r="L205" i="2"/>
  <c r="L309" i="2"/>
  <c r="L63" i="2"/>
  <c r="L490" i="2"/>
  <c r="N13" i="5"/>
  <c r="S13" i="5" s="1"/>
  <c r="N12" i="5"/>
  <c r="R12" i="5" s="1"/>
  <c r="R5" i="5"/>
  <c r="R17" i="5"/>
  <c r="S17" i="5"/>
  <c r="R7" i="5"/>
  <c r="N8" i="5"/>
  <c r="R8" i="5" s="1"/>
  <c r="N9" i="5"/>
  <c r="S9" i="5" s="1"/>
  <c r="R10" i="5"/>
  <c r="S10" i="5"/>
  <c r="W10" i="5" s="1"/>
  <c r="S11" i="5"/>
  <c r="W11" i="5" s="1"/>
  <c r="R11" i="5"/>
  <c r="S6" i="5"/>
  <c r="W6" i="5" s="1"/>
  <c r="R6" i="5"/>
  <c r="S16" i="5"/>
  <c r="X16" i="5" s="1"/>
  <c r="R16" i="5"/>
  <c r="R14" i="5"/>
  <c r="N20" i="5"/>
  <c r="S20" i="5" s="1"/>
  <c r="M35" i="5"/>
  <c r="N35" i="5" s="1"/>
  <c r="M23" i="5"/>
  <c r="N23" i="5" s="1"/>
  <c r="M34" i="5"/>
  <c r="N34" i="5" s="1"/>
  <c r="M22" i="5"/>
  <c r="N22" i="5" s="1"/>
  <c r="M33" i="5"/>
  <c r="N33" i="5" s="1"/>
  <c r="R33" i="5" s="1"/>
  <c r="M21" i="5"/>
  <c r="N21" i="5" s="1"/>
  <c r="M32" i="5"/>
  <c r="N32" i="5" s="1"/>
  <c r="M31" i="5"/>
  <c r="N31" i="5" s="1"/>
  <c r="M30" i="5"/>
  <c r="N30" i="5" s="1"/>
  <c r="M29" i="5"/>
  <c r="N29" i="5" s="1"/>
  <c r="M28" i="5"/>
  <c r="N28" i="5" s="1"/>
  <c r="M27" i="5"/>
  <c r="N27" i="5" s="1"/>
  <c r="M26" i="5"/>
  <c r="N26" i="5" s="1"/>
  <c r="M25" i="5"/>
  <c r="N25" i="5" s="1"/>
  <c r="M24" i="5"/>
  <c r="N24" i="5" s="1"/>
  <c r="R15" i="5"/>
  <c r="S18" i="5"/>
  <c r="W18" i="5" s="1"/>
  <c r="R19" i="5"/>
  <c r="L248" i="2"/>
  <c r="L328" i="2"/>
  <c r="L384" i="2"/>
  <c r="L323" i="2"/>
  <c r="L380" i="2"/>
  <c r="L352" i="2"/>
  <c r="U377" i="2"/>
  <c r="L480" i="2"/>
  <c r="P480" i="2" s="1"/>
  <c r="L461" i="2"/>
  <c r="P461" i="2" s="1"/>
  <c r="L511" i="2"/>
  <c r="P511" i="2" s="1"/>
  <c r="L252" i="2"/>
  <c r="P252" i="2" s="1"/>
  <c r="L251" i="2"/>
  <c r="L15" i="2"/>
  <c r="P15" i="2" s="1"/>
  <c r="L478" i="2"/>
  <c r="P478" i="2" s="1"/>
  <c r="L469" i="2"/>
  <c r="L165" i="2"/>
  <c r="P165" i="2" s="1"/>
  <c r="L505" i="2"/>
  <c r="P505" i="2" s="1"/>
  <c r="L510" i="2"/>
  <c r="L497" i="2"/>
  <c r="P497" i="2" s="1"/>
  <c r="L38" i="2"/>
  <c r="P38" i="2" s="1"/>
  <c r="L179" i="2"/>
  <c r="Q179" i="2" s="1"/>
  <c r="L172" i="2"/>
  <c r="L462" i="2"/>
  <c r="P462" i="2" s="1"/>
  <c r="L526" i="2"/>
  <c r="P526" i="2" s="1"/>
  <c r="L198" i="2"/>
  <c r="P198" i="2" s="1"/>
  <c r="L142" i="2"/>
  <c r="Q142" i="2" s="1"/>
  <c r="L515" i="2"/>
  <c r="L465" i="2"/>
  <c r="P465" i="2" s="1"/>
  <c r="L397" i="2"/>
  <c r="L266" i="2"/>
  <c r="Q266" i="2" s="1"/>
  <c r="L19" i="2"/>
  <c r="P19" i="2" s="1"/>
  <c r="L235" i="2"/>
  <c r="L504" i="2"/>
  <c r="P504" i="2" s="1"/>
  <c r="L47" i="2"/>
  <c r="P47" i="2" s="1"/>
  <c r="L187" i="2"/>
  <c r="P187" i="2" s="1"/>
  <c r="L488" i="2"/>
  <c r="P488" i="2" s="1"/>
  <c r="L426" i="2"/>
  <c r="L144" i="2"/>
  <c r="P144" i="2" s="1"/>
  <c r="L400" i="2"/>
  <c r="L280" i="2"/>
  <c r="P280" i="2" s="1"/>
  <c r="L84" i="2"/>
  <c r="Q84" i="2" s="1"/>
  <c r="L506" i="2"/>
  <c r="L583" i="2"/>
  <c r="P583" i="2" s="1"/>
  <c r="L552" i="2"/>
  <c r="L80" i="2"/>
  <c r="Q80" i="2" s="1"/>
  <c r="L166" i="2"/>
  <c r="P166" i="2" s="1"/>
  <c r="L250" i="2"/>
  <c r="P250" i="2" s="1"/>
  <c r="L277" i="2"/>
  <c r="L421" i="2"/>
  <c r="P421" i="2" s="1"/>
  <c r="L87" i="2"/>
  <c r="Q87" i="2" s="1"/>
  <c r="L64" i="2"/>
  <c r="L218" i="2"/>
  <c r="L152" i="2"/>
  <c r="P152" i="2" s="1"/>
  <c r="L565" i="2"/>
  <c r="P565" i="2" s="1"/>
  <c r="L554" i="2"/>
  <c r="L392" i="2"/>
  <c r="P392" i="2" s="1"/>
  <c r="L107" i="2"/>
  <c r="L141" i="2"/>
  <c r="Q141" i="2" s="1"/>
  <c r="L177" i="2"/>
  <c r="Q177" i="2" s="1"/>
  <c r="L438" i="2"/>
  <c r="P438" i="2" s="1"/>
  <c r="L24" i="2"/>
  <c r="Q24" i="2" s="1"/>
  <c r="L10" i="2"/>
  <c r="P10" i="2" s="1"/>
  <c r="L484" i="2"/>
  <c r="P484" i="2" s="1"/>
  <c r="L479" i="2"/>
  <c r="P479" i="2" s="1"/>
  <c r="L68" i="2"/>
  <c r="P68" i="2" s="1"/>
  <c r="L551" i="2"/>
  <c r="Q551" i="2" s="1"/>
  <c r="L275" i="2"/>
  <c r="L435" i="2"/>
  <c r="Q435" i="2" s="1"/>
  <c r="L78" i="2"/>
  <c r="P78" i="2" s="1"/>
  <c r="L577" i="2"/>
  <c r="P577" i="2" s="1"/>
  <c r="L449" i="2"/>
  <c r="L171" i="2"/>
  <c r="Q171" i="2" s="1"/>
  <c r="L423" i="2"/>
  <c r="L170" i="2"/>
  <c r="Q170" i="2" s="1"/>
  <c r="L468" i="2"/>
  <c r="P468" i="2" s="1"/>
  <c r="L415" i="2"/>
  <c r="P415" i="2" s="1"/>
  <c r="L529" i="2"/>
  <c r="P529" i="2" s="1"/>
  <c r="L151" i="2"/>
  <c r="Q151" i="2" s="1"/>
  <c r="L394" i="2"/>
  <c r="P394" i="2" s="1"/>
  <c r="L391" i="2"/>
  <c r="P391" i="2" s="1"/>
  <c r="L494" i="2"/>
  <c r="Q494" i="2" s="1"/>
  <c r="L389" i="2"/>
  <c r="P389" i="2" s="1"/>
  <c r="L474" i="2"/>
  <c r="P474" i="2" s="1"/>
  <c r="L452" i="2"/>
  <c r="L520" i="2"/>
  <c r="P520" i="2" s="1"/>
  <c r="L290" i="2"/>
  <c r="L249" i="2"/>
  <c r="P249" i="2" s="1"/>
  <c r="L81" i="2"/>
  <c r="P81" i="2" s="1"/>
  <c r="L555" i="2"/>
  <c r="P555" i="2" s="1"/>
  <c r="L26" i="2"/>
  <c r="Q26" i="2" s="1"/>
  <c r="L547" i="2"/>
  <c r="P547" i="2" s="1"/>
  <c r="L232" i="2"/>
  <c r="L89" i="2"/>
  <c r="Q89" i="2" s="1"/>
  <c r="L110" i="2"/>
  <c r="P110" i="2" s="1"/>
  <c r="L85" i="2"/>
  <c r="P85" i="2" s="1"/>
  <c r="L175" i="2"/>
  <c r="L195" i="2"/>
  <c r="P195" i="2" s="1"/>
  <c r="L43" i="2"/>
  <c r="L173" i="2"/>
  <c r="P173" i="2" s="1"/>
  <c r="L32" i="2"/>
  <c r="P32" i="2" s="1"/>
  <c r="L441" i="2"/>
  <c r="P441" i="2" s="1"/>
  <c r="L522" i="2"/>
  <c r="L135" i="2"/>
  <c r="Q135" i="2" s="1"/>
  <c r="L61" i="2"/>
  <c r="P61" i="2" s="1"/>
  <c r="L136" i="2"/>
  <c r="L55" i="2"/>
  <c r="Q55" i="2" s="1"/>
  <c r="L39" i="2"/>
  <c r="P39" i="2" s="1"/>
  <c r="L53" i="2"/>
  <c r="Q53" i="2" s="1"/>
  <c r="L79" i="2"/>
  <c r="L483" i="2"/>
  <c r="P483" i="2" s="1"/>
  <c r="L500" i="2"/>
  <c r="P500" i="2" s="1"/>
  <c r="L181" i="2"/>
  <c r="Q181" i="2" s="1"/>
  <c r="L432" i="2"/>
  <c r="P432" i="2" s="1"/>
  <c r="L427" i="2"/>
  <c r="Q427" i="2" s="1"/>
  <c r="L455" i="2"/>
  <c r="P455" i="2" s="1"/>
  <c r="L100" i="2"/>
  <c r="P100" i="2" s="1"/>
  <c r="L154" i="2"/>
  <c r="Q154" i="2" s="1"/>
  <c r="L496" i="2"/>
  <c r="P496" i="2" s="1"/>
  <c r="L269" i="2"/>
  <c r="P269" i="2" s="1"/>
  <c r="L414" i="2"/>
  <c r="P414" i="2" s="1"/>
  <c r="L471" i="2"/>
  <c r="Q471" i="2" s="1"/>
  <c r="L538" i="2"/>
  <c r="P538" i="2" s="1"/>
  <c r="L573" i="2"/>
  <c r="L236" i="2"/>
  <c r="Q236" i="2" s="1"/>
  <c r="L192" i="2"/>
  <c r="L528" i="2"/>
  <c r="P528" i="2" s="1"/>
  <c r="L493" i="2"/>
  <c r="Q493" i="2" s="1"/>
  <c r="L429" i="2"/>
  <c r="P429" i="2" s="1"/>
  <c r="L453" i="2"/>
  <c r="P453" i="2" s="1"/>
  <c r="L91" i="2"/>
  <c r="P91" i="2" s="1"/>
  <c r="L189" i="2"/>
  <c r="P189" i="2" s="1"/>
  <c r="L519" i="2"/>
  <c r="P519" i="2" s="1"/>
  <c r="L481" i="2"/>
  <c r="L186" i="2"/>
  <c r="Q186" i="2" s="1"/>
  <c r="L518" i="2"/>
  <c r="P518" i="2" s="1"/>
  <c r="L128" i="2"/>
  <c r="Q128" i="2" s="1"/>
  <c r="L454" i="2"/>
  <c r="P454" i="2" s="1"/>
  <c r="L226" i="2"/>
  <c r="L118" i="2"/>
  <c r="P118" i="2" s="1"/>
  <c r="L145" i="2"/>
  <c r="P145" i="2" s="1"/>
  <c r="L67" i="2"/>
  <c r="P67" i="2" s="1"/>
  <c r="L405" i="2"/>
  <c r="L403" i="2"/>
  <c r="P403" i="2" s="1"/>
  <c r="L390" i="2"/>
  <c r="L106" i="2"/>
  <c r="P106" i="2" s="1"/>
  <c r="L534" i="2"/>
  <c r="Q534" i="2" s="1"/>
  <c r="L418" i="2"/>
  <c r="L48" i="2"/>
  <c r="P48" i="2" s="1"/>
  <c r="L56" i="2"/>
  <c r="P56" i="2" s="1"/>
  <c r="L575" i="2"/>
  <c r="P575" i="2" s="1"/>
  <c r="L131" i="2"/>
  <c r="Q131" i="2" s="1"/>
  <c r="L243" i="2"/>
  <c r="L440" i="2"/>
  <c r="P440" i="2" s="1"/>
  <c r="L163" i="2"/>
  <c r="L119" i="2"/>
  <c r="Q119" i="2" s="1"/>
  <c r="L473" i="2"/>
  <c r="L178" i="2"/>
  <c r="Q178" i="2" s="1"/>
  <c r="L127" i="2"/>
  <c r="L578" i="2"/>
  <c r="P578" i="2" s="1"/>
  <c r="L430" i="2"/>
  <c r="P430" i="2" s="1"/>
  <c r="L574" i="2"/>
  <c r="Q574" i="2" s="1"/>
  <c r="L446" i="2"/>
  <c r="L133" i="2"/>
  <c r="L126" i="2"/>
  <c r="P126" i="2" s="1"/>
  <c r="L420" i="2"/>
  <c r="P420" i="2" s="1"/>
  <c r="L237" i="2"/>
  <c r="L90" i="2"/>
  <c r="P90" i="2" s="1"/>
  <c r="L568" i="2"/>
  <c r="L402" i="2"/>
  <c r="P402" i="2" s="1"/>
  <c r="L542" i="2"/>
  <c r="Q542" i="2" s="1"/>
  <c r="L487" i="2"/>
  <c r="L257" i="2"/>
  <c r="P257" i="2" s="1"/>
  <c r="L406" i="2"/>
  <c r="P406" i="2" s="1"/>
  <c r="L267" i="2"/>
  <c r="Q267" i="2" s="1"/>
  <c r="L22" i="2"/>
  <c r="Q22" i="2" s="1"/>
  <c r="L72" i="2"/>
  <c r="L501" i="2"/>
  <c r="Q501" i="2" s="1"/>
  <c r="L570" i="2"/>
  <c r="P570" i="2" s="1"/>
  <c r="L265" i="2"/>
  <c r="Q265" i="2" s="1"/>
  <c r="L96" i="2"/>
  <c r="L60" i="2"/>
  <c r="P60" i="2" s="1"/>
  <c r="L17" i="2"/>
  <c r="L70" i="2"/>
  <c r="P70" i="2" s="1"/>
  <c r="L83" i="2"/>
  <c r="P83" i="2" s="1"/>
  <c r="L354" i="2"/>
  <c r="L307" i="2"/>
  <c r="P307" i="2" s="1"/>
  <c r="L113" i="2"/>
  <c r="L130" i="2"/>
  <c r="P130" i="2" s="1"/>
  <c r="L33" i="2"/>
  <c r="P33" i="2" s="1"/>
  <c r="L191" i="2"/>
  <c r="L137" i="2"/>
  <c r="L76" i="2"/>
  <c r="L169" i="2"/>
  <c r="P169" i="2" s="1"/>
  <c r="L129" i="2"/>
  <c r="Q129" i="2" s="1"/>
  <c r="L293" i="2"/>
  <c r="L157" i="2"/>
  <c r="L214" i="2"/>
  <c r="Q214" i="2" s="1"/>
  <c r="L234" i="2"/>
  <c r="L180" i="2"/>
  <c r="P180" i="2" s="1"/>
  <c r="L134" i="2"/>
  <c r="L576" i="2"/>
  <c r="L460" i="2"/>
  <c r="P460" i="2" s="1"/>
  <c r="L272" i="2"/>
  <c r="L183" i="2"/>
  <c r="Q183" i="2" s="1"/>
  <c r="L153" i="2"/>
  <c r="L27" i="2"/>
  <c r="Q27" i="2" s="1"/>
  <c r="L357" i="2"/>
  <c r="L413" i="2"/>
  <c r="L502" i="2"/>
  <c r="Q502" i="2" s="1"/>
  <c r="L86" i="2"/>
  <c r="L263" i="2"/>
  <c r="L124" i="2"/>
  <c r="L395" i="2"/>
  <c r="P395" i="2" s="1"/>
  <c r="L58" i="2"/>
  <c r="L472" i="2"/>
  <c r="L109" i="2"/>
  <c r="L489" i="2"/>
  <c r="Q489" i="2" s="1"/>
  <c r="L513" i="2"/>
  <c r="L95" i="2"/>
  <c r="Q95" i="2" s="1"/>
  <c r="L155" i="2"/>
  <c r="Q155" i="2" s="1"/>
  <c r="L97" i="2"/>
  <c r="L99" i="2"/>
  <c r="L65" i="2"/>
  <c r="Q65" i="2" s="1"/>
  <c r="L51" i="2"/>
  <c r="L412" i="2"/>
  <c r="L407" i="2"/>
  <c r="L536" i="2"/>
  <c r="L256" i="2"/>
  <c r="Q256" i="2" s="1"/>
  <c r="L221" i="2"/>
  <c r="P221" i="2" s="1"/>
  <c r="L562" i="2"/>
  <c r="P562" i="2" s="1"/>
  <c r="L202" i="2"/>
  <c r="L291" i="2"/>
  <c r="Q291" i="2" s="1"/>
  <c r="L509" i="2"/>
  <c r="P509" i="2" s="1"/>
  <c r="L589" i="2"/>
  <c r="L567" i="2"/>
  <c r="P567" i="2" s="1"/>
  <c r="L393" i="2"/>
  <c r="L535" i="2"/>
  <c r="P535" i="2" s="1"/>
  <c r="L123" i="2"/>
  <c r="Q123" i="2" s="1"/>
  <c r="L140" i="2"/>
  <c r="L531" i="2"/>
  <c r="P531" i="2" s="1"/>
  <c r="L563" i="2"/>
  <c r="L103" i="2"/>
  <c r="L546" i="2"/>
  <c r="P546" i="2" s="1"/>
  <c r="L190" i="2"/>
  <c r="P190" i="2" s="1"/>
  <c r="L102" i="2"/>
  <c r="L115" i="2"/>
  <c r="L104" i="2"/>
  <c r="L475" i="2"/>
  <c r="P475" i="2" s="1"/>
  <c r="L262" i="2"/>
  <c r="L477" i="2"/>
  <c r="L94" i="2"/>
  <c r="L541" i="2"/>
  <c r="L220" i="2"/>
  <c r="L23" i="2"/>
  <c r="Q23" i="2" s="1"/>
  <c r="L46" i="2"/>
  <c r="L69" i="2"/>
  <c r="Q69" i="2" s="1"/>
  <c r="L355" i="2"/>
  <c r="L521" i="2"/>
  <c r="L367" i="2"/>
  <c r="Q367" i="2" s="1"/>
  <c r="L75" i="2"/>
  <c r="P75" i="2" s="1"/>
  <c r="L492" i="2"/>
  <c r="L167" i="2"/>
  <c r="Q167" i="2" s="1"/>
  <c r="L185" i="2"/>
  <c r="L199" i="2"/>
  <c r="Q199" i="2" s="1"/>
  <c r="L282" i="2"/>
  <c r="L586" i="2"/>
  <c r="L219" i="2"/>
  <c r="L125" i="2"/>
  <c r="P125" i="2" s="1"/>
  <c r="L8" i="2"/>
  <c r="P8" i="2" s="1"/>
  <c r="L14" i="2"/>
  <c r="L409" i="2"/>
  <c r="L112" i="2"/>
  <c r="L174" i="2"/>
  <c r="L297" i="2"/>
  <c r="L503" i="2"/>
  <c r="L194" i="2"/>
  <c r="L539" i="2"/>
  <c r="L482" i="2"/>
  <c r="L466" i="2"/>
  <c r="L239" i="2"/>
  <c r="Q239" i="2" s="1"/>
  <c r="L419" i="2"/>
  <c r="Q419" i="2" s="1"/>
  <c r="L7" i="2"/>
  <c r="L143" i="2"/>
  <c r="L464" i="2"/>
  <c r="L558" i="2"/>
  <c r="Q558" i="2" s="1"/>
  <c r="L495" i="2"/>
  <c r="L36" i="2"/>
  <c r="Q36" i="2" s="1"/>
  <c r="L350" i="2"/>
  <c r="Q350" i="2" s="1"/>
  <c r="L57" i="2"/>
  <c r="P57" i="2" s="1"/>
  <c r="L45" i="2"/>
  <c r="L73" i="2"/>
  <c r="P73" i="2" s="1"/>
  <c r="L281" i="2"/>
  <c r="L491" i="2"/>
  <c r="L62" i="2"/>
  <c r="L580" i="2"/>
  <c r="P580" i="2" s="1"/>
  <c r="L467" i="2"/>
  <c r="L156" i="2"/>
  <c r="L512" i="2"/>
  <c r="L101" i="2"/>
  <c r="L545" i="2"/>
  <c r="L93" i="2"/>
  <c r="L450" i="2"/>
  <c r="Q450" i="2" s="1"/>
  <c r="L458" i="2"/>
  <c r="L116" i="2"/>
  <c r="L408" i="2"/>
  <c r="L590" i="2"/>
  <c r="L571" i="2"/>
  <c r="L108" i="2"/>
  <c r="L308" i="2"/>
  <c r="P308" i="2" s="1"/>
  <c r="L122" i="2"/>
  <c r="L485" i="2"/>
  <c r="L564" i="2"/>
  <c r="L37" i="2"/>
  <c r="P37" i="2" s="1"/>
  <c r="S3" i="5"/>
  <c r="R3" i="5"/>
  <c r="W36" i="5"/>
  <c r="X36" i="5"/>
  <c r="S51" i="5"/>
  <c r="R51" i="5"/>
  <c r="W19" i="5"/>
  <c r="X19" i="5"/>
  <c r="W52" i="5"/>
  <c r="X52" i="5"/>
  <c r="W14" i="5"/>
  <c r="X14" i="5"/>
  <c r="W40" i="5"/>
  <c r="X40" i="5"/>
  <c r="W39" i="5"/>
  <c r="X39" i="5"/>
  <c r="S50" i="5"/>
  <c r="R50" i="5"/>
  <c r="S46" i="5"/>
  <c r="R46" i="5"/>
  <c r="W7" i="5"/>
  <c r="X7" i="5"/>
  <c r="W47" i="5"/>
  <c r="X47" i="5"/>
  <c r="W43" i="5"/>
  <c r="X43" i="5"/>
  <c r="W17" i="5"/>
  <c r="X17" i="5"/>
  <c r="S49" i="5"/>
  <c r="R49" i="5"/>
  <c r="W53" i="5"/>
  <c r="X53" i="5"/>
  <c r="W54" i="5"/>
  <c r="X54" i="5"/>
  <c r="W48" i="5"/>
  <c r="X48" i="5"/>
  <c r="W45" i="5"/>
  <c r="X45" i="5"/>
  <c r="W37" i="5"/>
  <c r="X37" i="5"/>
  <c r="S8" i="5"/>
  <c r="W55" i="5"/>
  <c r="X55" i="5"/>
  <c r="W5" i="5"/>
  <c r="X5" i="5"/>
  <c r="W15" i="5"/>
  <c r="X15" i="5"/>
  <c r="W41" i="5"/>
  <c r="X41" i="5"/>
  <c r="W42" i="5"/>
  <c r="X42" i="5"/>
  <c r="W44" i="5"/>
  <c r="X44" i="5"/>
  <c r="W4" i="5"/>
  <c r="X4" i="5"/>
  <c r="U288" i="2"/>
  <c r="T288" i="2"/>
  <c r="P434" i="2"/>
  <c r="Q434" i="2"/>
  <c r="P388" i="2"/>
  <c r="Q388" i="2"/>
  <c r="O276" i="2"/>
  <c r="V276" i="2"/>
  <c r="O4" i="2"/>
  <c r="V4" i="2"/>
  <c r="P443" i="2"/>
  <c r="Q443" i="2"/>
  <c r="O540" i="2"/>
  <c r="V540" i="2"/>
  <c r="P3" i="2"/>
  <c r="Q3" i="2"/>
  <c r="P433" i="2"/>
  <c r="Q433" i="2"/>
  <c r="O359" i="2"/>
  <c r="O313" i="2"/>
  <c r="J559" i="2"/>
  <c r="K559" i="2" s="1"/>
  <c r="J4" i="2"/>
  <c r="J278" i="2"/>
  <c r="J276" i="2"/>
  <c r="J540" i="2"/>
  <c r="J313" i="2"/>
  <c r="J359" i="2"/>
  <c r="R13" i="5" l="1"/>
  <c r="S12" i="5"/>
  <c r="P566" i="2"/>
  <c r="Q566" i="2"/>
  <c r="L313" i="2"/>
  <c r="L540" i="2"/>
  <c r="L276" i="2"/>
  <c r="L4" i="2"/>
  <c r="R9" i="5"/>
  <c r="X10" i="5"/>
  <c r="X11" i="5"/>
  <c r="X18" i="5"/>
  <c r="P151" i="2"/>
  <c r="X6" i="5"/>
  <c r="Q19" i="2"/>
  <c r="Q100" i="2"/>
  <c r="P179" i="2"/>
  <c r="P171" i="2"/>
  <c r="Q173" i="2"/>
  <c r="T173" i="2" s="1"/>
  <c r="P24" i="2"/>
  <c r="W16" i="5"/>
  <c r="P22" i="2"/>
  <c r="Q32" i="2"/>
  <c r="T32" i="2" s="1"/>
  <c r="P53" i="2"/>
  <c r="P493" i="2"/>
  <c r="P435" i="2"/>
  <c r="Q10" i="2"/>
  <c r="T10" i="2" s="1"/>
  <c r="Q389" i="2"/>
  <c r="T389" i="2" s="1"/>
  <c r="P26" i="2"/>
  <c r="Q454" i="2"/>
  <c r="T454" i="2" s="1"/>
  <c r="S33" i="5"/>
  <c r="W33" i="5" s="1"/>
  <c r="P128" i="2"/>
  <c r="P154" i="2"/>
  <c r="R20" i="5"/>
  <c r="S26" i="5"/>
  <c r="R26" i="5"/>
  <c r="R35" i="5"/>
  <c r="S35" i="5"/>
  <c r="R27" i="5"/>
  <c r="S27" i="5"/>
  <c r="S28" i="5"/>
  <c r="R28" i="5"/>
  <c r="S29" i="5"/>
  <c r="R29" i="5"/>
  <c r="S30" i="5"/>
  <c r="R30" i="5"/>
  <c r="R25" i="5"/>
  <c r="S25" i="5"/>
  <c r="S31" i="5"/>
  <c r="R31" i="5"/>
  <c r="S32" i="5"/>
  <c r="R32" i="5"/>
  <c r="S21" i="5"/>
  <c r="R21" i="5"/>
  <c r="R23" i="5"/>
  <c r="S23" i="5"/>
  <c r="S22" i="5"/>
  <c r="R22" i="5"/>
  <c r="R24" i="5"/>
  <c r="S24" i="5"/>
  <c r="S34" i="5"/>
  <c r="R34" i="5"/>
  <c r="P55" i="2"/>
  <c r="Q488" i="2"/>
  <c r="Q250" i="2"/>
  <c r="Q144" i="2"/>
  <c r="U144" i="2" s="1"/>
  <c r="P142" i="2"/>
  <c r="Q511" i="2"/>
  <c r="U511" i="2" s="1"/>
  <c r="Q465" i="2"/>
  <c r="T465" i="2" s="1"/>
  <c r="P427" i="2"/>
  <c r="Q78" i="2"/>
  <c r="T78" i="2" s="1"/>
  <c r="P177" i="2"/>
  <c r="P236" i="2"/>
  <c r="P141" i="2"/>
  <c r="Q505" i="2"/>
  <c r="T505" i="2" s="1"/>
  <c r="Q106" i="2"/>
  <c r="T106" i="2" s="1"/>
  <c r="P266" i="2"/>
  <c r="Q432" i="2"/>
  <c r="T432" i="2" s="1"/>
  <c r="Q497" i="2"/>
  <c r="T497" i="2" s="1"/>
  <c r="Q252" i="2"/>
  <c r="U252" i="2" s="1"/>
  <c r="Q85" i="2"/>
  <c r="T85" i="2" s="1"/>
  <c r="Q461" i="2"/>
  <c r="T461" i="2" s="1"/>
  <c r="P574" i="2"/>
  <c r="Q169" i="2"/>
  <c r="U169" i="2" s="1"/>
  <c r="Q480" i="2"/>
  <c r="T480" i="2" s="1"/>
  <c r="Q61" i="2"/>
  <c r="T61" i="2" s="1"/>
  <c r="P131" i="2"/>
  <c r="Q519" i="2"/>
  <c r="T519" i="2" s="1"/>
  <c r="Q460" i="2"/>
  <c r="T460" i="2" s="1"/>
  <c r="P186" i="2"/>
  <c r="Q440" i="2"/>
  <c r="U440" i="2" s="1"/>
  <c r="Q403" i="2"/>
  <c r="U403" i="2" s="1"/>
  <c r="Q60" i="2"/>
  <c r="T60" i="2" s="1"/>
  <c r="P119" i="2"/>
  <c r="P534" i="2"/>
  <c r="P291" i="2"/>
  <c r="Q257" i="2"/>
  <c r="T257" i="2" s="1"/>
  <c r="P129" i="2"/>
  <c r="P183" i="2"/>
  <c r="Q81" i="2"/>
  <c r="T81" i="2" s="1"/>
  <c r="P65" i="2"/>
  <c r="Q165" i="2"/>
  <c r="T165" i="2" s="1"/>
  <c r="P239" i="2"/>
  <c r="P265" i="2"/>
  <c r="Q538" i="2"/>
  <c r="T538" i="2" s="1"/>
  <c r="Q83" i="2"/>
  <c r="T83" i="2" s="1"/>
  <c r="Q462" i="2"/>
  <c r="U462" i="2" s="1"/>
  <c r="Q420" i="2"/>
  <c r="T420" i="2" s="1"/>
  <c r="P558" i="2"/>
  <c r="Q577" i="2"/>
  <c r="U577" i="2" s="1"/>
  <c r="Q421" i="2"/>
  <c r="T421" i="2" s="1"/>
  <c r="Q455" i="2"/>
  <c r="U455" i="2" s="1"/>
  <c r="Q195" i="2"/>
  <c r="T195" i="2" s="1"/>
  <c r="P89" i="2"/>
  <c r="Q479" i="2"/>
  <c r="T479" i="2" s="1"/>
  <c r="Q47" i="2"/>
  <c r="T47" i="2" s="1"/>
  <c r="Q520" i="2"/>
  <c r="T520" i="2" s="1"/>
  <c r="Q308" i="2"/>
  <c r="U308" i="2" s="1"/>
  <c r="Q39" i="2"/>
  <c r="T39" i="2" s="1"/>
  <c r="P170" i="2"/>
  <c r="P267" i="2"/>
  <c r="Q280" i="2"/>
  <c r="T280" i="2" s="1"/>
  <c r="Q438" i="2"/>
  <c r="U438" i="2" s="1"/>
  <c r="Q38" i="2"/>
  <c r="U38" i="2" s="1"/>
  <c r="Q555" i="2"/>
  <c r="T555" i="2" s="1"/>
  <c r="P23" i="2"/>
  <c r="Q546" i="2"/>
  <c r="T546" i="2" s="1"/>
  <c r="Q518" i="2"/>
  <c r="T518" i="2" s="1"/>
  <c r="P494" i="2"/>
  <c r="Q395" i="2"/>
  <c r="T395" i="2" s="1"/>
  <c r="P199" i="2"/>
  <c r="P87" i="2"/>
  <c r="Q529" i="2"/>
  <c r="T529" i="2" s="1"/>
  <c r="P450" i="2"/>
  <c r="Q528" i="2"/>
  <c r="T528" i="2" s="1"/>
  <c r="Q126" i="2"/>
  <c r="T126" i="2" s="1"/>
  <c r="Q70" i="2"/>
  <c r="T70" i="2" s="1"/>
  <c r="Q198" i="2"/>
  <c r="U198" i="2" s="1"/>
  <c r="Q392" i="2"/>
  <c r="U392" i="2" s="1"/>
  <c r="Q8" i="2"/>
  <c r="U8" i="2" s="1"/>
  <c r="Q166" i="2"/>
  <c r="U166" i="2" s="1"/>
  <c r="Q187" i="2"/>
  <c r="T187" i="2" s="1"/>
  <c r="P542" i="2"/>
  <c r="Q91" i="2"/>
  <c r="T91" i="2" s="1"/>
  <c r="P551" i="2"/>
  <c r="P135" i="2"/>
  <c r="Q118" i="2"/>
  <c r="U118" i="2" s="1"/>
  <c r="Q496" i="2"/>
  <c r="U496" i="2" s="1"/>
  <c r="Q468" i="2"/>
  <c r="U468" i="2" s="1"/>
  <c r="P501" i="2"/>
  <c r="Q429" i="2"/>
  <c r="U429" i="2" s="1"/>
  <c r="P178" i="2"/>
  <c r="P350" i="2"/>
  <c r="P214" i="2"/>
  <c r="P489" i="2"/>
  <c r="P27" i="2"/>
  <c r="Q15" i="2"/>
  <c r="T15" i="2" s="1"/>
  <c r="Q475" i="2"/>
  <c r="T475" i="2" s="1"/>
  <c r="Q478" i="2"/>
  <c r="T478" i="2" s="1"/>
  <c r="Q48" i="2"/>
  <c r="T48" i="2" s="1"/>
  <c r="P256" i="2"/>
  <c r="P69" i="2"/>
  <c r="Q583" i="2"/>
  <c r="T583" i="2" s="1"/>
  <c r="Q504" i="2"/>
  <c r="U504" i="2" s="1"/>
  <c r="Q547" i="2"/>
  <c r="T547" i="2" s="1"/>
  <c r="Q307" i="2"/>
  <c r="U307" i="2" s="1"/>
  <c r="Q474" i="2"/>
  <c r="T474" i="2" s="1"/>
  <c r="Q565" i="2"/>
  <c r="U565" i="2" s="1"/>
  <c r="Q453" i="2"/>
  <c r="T453" i="2" s="1"/>
  <c r="Q90" i="2"/>
  <c r="T90" i="2" s="1"/>
  <c r="Q483" i="2"/>
  <c r="T483" i="2" s="1"/>
  <c r="Q484" i="2"/>
  <c r="T484" i="2" s="1"/>
  <c r="P123" i="2"/>
  <c r="Q269" i="2"/>
  <c r="T269" i="2" s="1"/>
  <c r="Q152" i="2"/>
  <c r="T152" i="2" s="1"/>
  <c r="Q441" i="2"/>
  <c r="T441" i="2" s="1"/>
  <c r="Q500" i="2"/>
  <c r="U500" i="2" s="1"/>
  <c r="Q406" i="2"/>
  <c r="T406" i="2" s="1"/>
  <c r="P80" i="2"/>
  <c r="Q57" i="2"/>
  <c r="T57" i="2" s="1"/>
  <c r="Q130" i="2"/>
  <c r="T130" i="2" s="1"/>
  <c r="Q526" i="2"/>
  <c r="T526" i="2" s="1"/>
  <c r="Q414" i="2"/>
  <c r="T414" i="2" s="1"/>
  <c r="P502" i="2"/>
  <c r="Q68" i="2"/>
  <c r="T68" i="2" s="1"/>
  <c r="P95" i="2"/>
  <c r="P367" i="2"/>
  <c r="Q221" i="2"/>
  <c r="T221" i="2" s="1"/>
  <c r="Q415" i="2"/>
  <c r="U415" i="2" s="1"/>
  <c r="Q110" i="2"/>
  <c r="U110" i="2" s="1"/>
  <c r="Q562" i="2"/>
  <c r="T562" i="2" s="1"/>
  <c r="Q575" i="2"/>
  <c r="U575" i="2" s="1"/>
  <c r="Q37" i="2"/>
  <c r="T37" i="2" s="1"/>
  <c r="Q430" i="2"/>
  <c r="T430" i="2" s="1"/>
  <c r="Q73" i="2"/>
  <c r="T73" i="2" s="1"/>
  <c r="Q180" i="2"/>
  <c r="T180" i="2" s="1"/>
  <c r="P155" i="2"/>
  <c r="Q33" i="2"/>
  <c r="T33" i="2" s="1"/>
  <c r="Q531" i="2"/>
  <c r="U531" i="2" s="1"/>
  <c r="Q580" i="2"/>
  <c r="T580" i="2" s="1"/>
  <c r="P167" i="2"/>
  <c r="Q56" i="2"/>
  <c r="U56" i="2" s="1"/>
  <c r="Q249" i="2"/>
  <c r="T249" i="2" s="1"/>
  <c r="L499" i="2"/>
  <c r="Q499" i="2" s="1"/>
  <c r="T499" i="2" s="1"/>
  <c r="L362" i="2"/>
  <c r="P362" i="2" s="1"/>
  <c r="L544" i="2"/>
  <c r="P544" i="2" s="1"/>
  <c r="L88" i="2"/>
  <c r="P88" i="2" s="1"/>
  <c r="L44" i="2"/>
  <c r="P44" i="2" s="1"/>
  <c r="L543" i="2"/>
  <c r="P543" i="2" s="1"/>
  <c r="L162" i="2"/>
  <c r="Q162" i="2" s="1"/>
  <c r="U162" i="2" s="1"/>
  <c r="L111" i="2"/>
  <c r="P111" i="2" s="1"/>
  <c r="L470" i="2"/>
  <c r="P470" i="2" s="1"/>
  <c r="L71" i="2"/>
  <c r="P71" i="2" s="1"/>
  <c r="L549" i="2"/>
  <c r="P549" i="2" s="1"/>
  <c r="L463" i="2"/>
  <c r="Q463" i="2" s="1"/>
  <c r="T463" i="2" s="1"/>
  <c r="Q578" i="2"/>
  <c r="T578" i="2" s="1"/>
  <c r="Q402" i="2"/>
  <c r="U402" i="2" s="1"/>
  <c r="Q394" i="2"/>
  <c r="T394" i="2" s="1"/>
  <c r="L258" i="2"/>
  <c r="P258" i="2" s="1"/>
  <c r="L517" i="2"/>
  <c r="Q517" i="2" s="1"/>
  <c r="T517" i="2" s="1"/>
  <c r="L439" i="2"/>
  <c r="Q439" i="2" s="1"/>
  <c r="T439" i="2" s="1"/>
  <c r="L77" i="2"/>
  <c r="P77" i="2" s="1"/>
  <c r="L105" i="2"/>
  <c r="P105" i="2" s="1"/>
  <c r="P436" i="2"/>
  <c r="L161" i="2"/>
  <c r="Q161" i="2" s="1"/>
  <c r="T161" i="2" s="1"/>
  <c r="L399" i="2"/>
  <c r="Q399" i="2" s="1"/>
  <c r="T399" i="2" s="1"/>
  <c r="L514" i="2"/>
  <c r="Q514" i="2" s="1"/>
  <c r="U514" i="2" s="1"/>
  <c r="L410" i="2"/>
  <c r="P410" i="2" s="1"/>
  <c r="L114" i="2"/>
  <c r="P114" i="2" s="1"/>
  <c r="L486" i="2"/>
  <c r="Q486" i="2" s="1"/>
  <c r="T486" i="2" s="1"/>
  <c r="L11" i="2"/>
  <c r="Q11" i="2" s="1"/>
  <c r="L40" i="2"/>
  <c r="P40" i="2" s="1"/>
  <c r="L572" i="2"/>
  <c r="P572" i="2" s="1"/>
  <c r="L424" i="2"/>
  <c r="P424" i="2" s="1"/>
  <c r="L340" i="2"/>
  <c r="Q340" i="2" s="1"/>
  <c r="U340" i="2" s="1"/>
  <c r="L422" i="2"/>
  <c r="P422" i="2" s="1"/>
  <c r="L300" i="2"/>
  <c r="P300" i="2" s="1"/>
  <c r="L164" i="2"/>
  <c r="Q164" i="2" s="1"/>
  <c r="U164" i="2" s="1"/>
  <c r="L417" i="2"/>
  <c r="P417" i="2" s="1"/>
  <c r="L278" i="2"/>
  <c r="Q278" i="2" s="1"/>
  <c r="L525" i="2"/>
  <c r="P525" i="2" s="1"/>
  <c r="L428" i="2"/>
  <c r="Q428" i="2" s="1"/>
  <c r="U428" i="2" s="1"/>
  <c r="L207" i="2"/>
  <c r="Q207" i="2" s="1"/>
  <c r="T207" i="2" s="1"/>
  <c r="L66" i="2"/>
  <c r="P66" i="2" s="1"/>
  <c r="L92" i="2"/>
  <c r="P92" i="2" s="1"/>
  <c r="L182" i="2"/>
  <c r="Q182" i="2" s="1"/>
  <c r="L457" i="2"/>
  <c r="P457" i="2" s="1"/>
  <c r="L117" i="2"/>
  <c r="Q117" i="2" s="1"/>
  <c r="T117" i="2" s="1"/>
  <c r="L147" i="2"/>
  <c r="Q147" i="2" s="1"/>
  <c r="T147" i="2" s="1"/>
  <c r="L82" i="2"/>
  <c r="P82" i="2" s="1"/>
  <c r="L74" i="2"/>
  <c r="P74" i="2" s="1"/>
  <c r="L121" i="2"/>
  <c r="Q121" i="2" s="1"/>
  <c r="U121" i="2" s="1"/>
  <c r="L556" i="2"/>
  <c r="P556" i="2" s="1"/>
  <c r="L217" i="2"/>
  <c r="P217" i="2" s="1"/>
  <c r="Q437" i="2"/>
  <c r="T437" i="2" s="1"/>
  <c r="P471" i="2"/>
  <c r="P84" i="2"/>
  <c r="Q567" i="2"/>
  <c r="U567" i="2" s="1"/>
  <c r="P181" i="2"/>
  <c r="Q67" i="2"/>
  <c r="T67" i="2" s="1"/>
  <c r="Q189" i="2"/>
  <c r="U189" i="2" s="1"/>
  <c r="L442" i="2"/>
  <c r="Q442" i="2" s="1"/>
  <c r="T442" i="2" s="1"/>
  <c r="L425" i="2"/>
  <c r="Q425" i="2" s="1"/>
  <c r="L523" i="2"/>
  <c r="Q523" i="2" s="1"/>
  <c r="L448" i="2"/>
  <c r="P448" i="2" s="1"/>
  <c r="L451" i="2"/>
  <c r="P451" i="2" s="1"/>
  <c r="L261" i="2"/>
  <c r="P261" i="2" s="1"/>
  <c r="L12" i="2"/>
  <c r="P12" i="2" s="1"/>
  <c r="L548" i="2"/>
  <c r="Q548" i="2" s="1"/>
  <c r="L431" i="2"/>
  <c r="P431" i="2" s="1"/>
  <c r="L146" i="2"/>
  <c r="P146" i="2" s="1"/>
  <c r="L411" i="2"/>
  <c r="P411" i="2" s="1"/>
  <c r="L398" i="2"/>
  <c r="Q398" i="2" s="1"/>
  <c r="U398" i="2" s="1"/>
  <c r="L59" i="2"/>
  <c r="Q59" i="2" s="1"/>
  <c r="L120" i="2"/>
  <c r="P120" i="2" s="1"/>
  <c r="L52" i="2"/>
  <c r="P52" i="2" s="1"/>
  <c r="L396" i="2"/>
  <c r="P396" i="2" s="1"/>
  <c r="L588" i="2"/>
  <c r="P588" i="2" s="1"/>
  <c r="L54" i="2"/>
  <c r="P54" i="2" s="1"/>
  <c r="L16" i="2"/>
  <c r="P16" i="2" s="1"/>
  <c r="L537" i="2"/>
  <c r="P537" i="2" s="1"/>
  <c r="L456" i="2"/>
  <c r="P456" i="2" s="1"/>
  <c r="L6" i="2"/>
  <c r="P6" i="2" s="1"/>
  <c r="L42" i="2"/>
  <c r="P42" i="2" s="1"/>
  <c r="L208" i="2"/>
  <c r="P208" i="2" s="1"/>
  <c r="L316" i="2"/>
  <c r="Q316" i="2" s="1"/>
  <c r="L507" i="2"/>
  <c r="P507" i="2" s="1"/>
  <c r="L569" i="2"/>
  <c r="P569" i="2" s="1"/>
  <c r="L401" i="2"/>
  <c r="Q401" i="2" s="1"/>
  <c r="T401" i="2" s="1"/>
  <c r="L283" i="2"/>
  <c r="P283" i="2" s="1"/>
  <c r="L476" i="2"/>
  <c r="Q476" i="2" s="1"/>
  <c r="T476" i="2" s="1"/>
  <c r="L132" i="2"/>
  <c r="Q132" i="2" s="1"/>
  <c r="T132" i="2" s="1"/>
  <c r="L516" i="2"/>
  <c r="P516" i="2" s="1"/>
  <c r="L98" i="2"/>
  <c r="Q98" i="2" s="1"/>
  <c r="U98" i="2" s="1"/>
  <c r="L416" i="2"/>
  <c r="Q416" i="2" s="1"/>
  <c r="T416" i="2" s="1"/>
  <c r="L238" i="2"/>
  <c r="P238" i="2" s="1"/>
  <c r="L404" i="2"/>
  <c r="Q404" i="2" s="1"/>
  <c r="U404" i="2" s="1"/>
  <c r="P571" i="2"/>
  <c r="Q571" i="2"/>
  <c r="T571" i="2" s="1"/>
  <c r="P157" i="2"/>
  <c r="Q157" i="2"/>
  <c r="U157" i="2" s="1"/>
  <c r="P235" i="2"/>
  <c r="Q235" i="2"/>
  <c r="U235" i="2" s="1"/>
  <c r="P355" i="2"/>
  <c r="Q355" i="2"/>
  <c r="T355" i="2" s="1"/>
  <c r="P136" i="2"/>
  <c r="Q136" i="2"/>
  <c r="T136" i="2" s="1"/>
  <c r="Q277" i="2"/>
  <c r="U277" i="2" s="1"/>
  <c r="P277" i="2"/>
  <c r="P17" i="2"/>
  <c r="Q17" i="2"/>
  <c r="T17" i="2" s="1"/>
  <c r="P473" i="2"/>
  <c r="Q473" i="2"/>
  <c r="U473" i="2" s="1"/>
  <c r="P112" i="2"/>
  <c r="Q112" i="2"/>
  <c r="U112" i="2" s="1"/>
  <c r="Q426" i="2"/>
  <c r="U426" i="2" s="1"/>
  <c r="P426" i="2"/>
  <c r="P116" i="2"/>
  <c r="Q116" i="2"/>
  <c r="T116" i="2" s="1"/>
  <c r="P133" i="2"/>
  <c r="Q133" i="2"/>
  <c r="T133" i="2" s="1"/>
  <c r="P163" i="2"/>
  <c r="Q163" i="2"/>
  <c r="T163" i="2" s="1"/>
  <c r="Q522" i="2"/>
  <c r="T522" i="2" s="1"/>
  <c r="P522" i="2"/>
  <c r="P220" i="2"/>
  <c r="Q220" i="2"/>
  <c r="T220" i="2" s="1"/>
  <c r="P405" i="2"/>
  <c r="Q405" i="2"/>
  <c r="T405" i="2" s="1"/>
  <c r="P586" i="2"/>
  <c r="Q586" i="2"/>
  <c r="T586" i="2" s="1"/>
  <c r="P232" i="2"/>
  <c r="Q232" i="2"/>
  <c r="T232" i="2" s="1"/>
  <c r="Q64" i="2"/>
  <c r="U64" i="2" s="1"/>
  <c r="P64" i="2"/>
  <c r="P495" i="2"/>
  <c r="Q495" i="2"/>
  <c r="U495" i="2" s="1"/>
  <c r="P113" i="2"/>
  <c r="Q113" i="2"/>
  <c r="T113" i="2" s="1"/>
  <c r="P419" i="2"/>
  <c r="Q75" i="2"/>
  <c r="T75" i="2" s="1"/>
  <c r="Q190" i="2"/>
  <c r="T190" i="2" s="1"/>
  <c r="Q391" i="2"/>
  <c r="T391" i="2" s="1"/>
  <c r="P512" i="2"/>
  <c r="Q512" i="2"/>
  <c r="U512" i="2" s="1"/>
  <c r="P79" i="2"/>
  <c r="Q79" i="2"/>
  <c r="T79" i="2" s="1"/>
  <c r="P172" i="2"/>
  <c r="Q172" i="2"/>
  <c r="T172" i="2" s="1"/>
  <c r="P576" i="2"/>
  <c r="Q576" i="2"/>
  <c r="U576" i="2" s="1"/>
  <c r="Q192" i="2"/>
  <c r="T192" i="2" s="1"/>
  <c r="P192" i="2"/>
  <c r="Q423" i="2"/>
  <c r="T423" i="2" s="1"/>
  <c r="P423" i="2"/>
  <c r="Q400" i="2"/>
  <c r="U400" i="2" s="1"/>
  <c r="P400" i="2"/>
  <c r="Q76" i="2"/>
  <c r="U76" i="2" s="1"/>
  <c r="P76" i="2"/>
  <c r="P554" i="2"/>
  <c r="Q554" i="2"/>
  <c r="T554" i="2" s="1"/>
  <c r="P469" i="2"/>
  <c r="Q469" i="2"/>
  <c r="T469" i="2" s="1"/>
  <c r="P521" i="2"/>
  <c r="Q521" i="2"/>
  <c r="U521" i="2" s="1"/>
  <c r="P413" i="2"/>
  <c r="Q413" i="2"/>
  <c r="T413" i="2" s="1"/>
  <c r="P191" i="2"/>
  <c r="Q191" i="2"/>
  <c r="U191" i="2" s="1"/>
  <c r="P573" i="2"/>
  <c r="Q573" i="2"/>
  <c r="U573" i="2" s="1"/>
  <c r="P449" i="2"/>
  <c r="Q449" i="2"/>
  <c r="T449" i="2" s="1"/>
  <c r="P51" i="2"/>
  <c r="Q51" i="2"/>
  <c r="T51" i="2" s="1"/>
  <c r="P290" i="2"/>
  <c r="Q290" i="2"/>
  <c r="T290" i="2" s="1"/>
  <c r="P218" i="2"/>
  <c r="Q218" i="2"/>
  <c r="T218" i="2" s="1"/>
  <c r="Q397" i="2"/>
  <c r="T397" i="2" s="1"/>
  <c r="P397" i="2"/>
  <c r="P281" i="2"/>
  <c r="Q281" i="2"/>
  <c r="T281" i="2" s="1"/>
  <c r="P564" i="2"/>
  <c r="Q564" i="2"/>
  <c r="U564" i="2" s="1"/>
  <c r="P477" i="2"/>
  <c r="Q477" i="2"/>
  <c r="U477" i="2" s="1"/>
  <c r="Q234" i="2"/>
  <c r="U234" i="2" s="1"/>
  <c r="P234" i="2"/>
  <c r="P452" i="2"/>
  <c r="Q452" i="2"/>
  <c r="T452" i="2" s="1"/>
  <c r="P515" i="2"/>
  <c r="Q515" i="2"/>
  <c r="T515" i="2" s="1"/>
  <c r="P510" i="2"/>
  <c r="Q510" i="2"/>
  <c r="T510" i="2" s="1"/>
  <c r="Q251" i="2"/>
  <c r="U251" i="2" s="1"/>
  <c r="P251" i="2"/>
  <c r="Q43" i="2"/>
  <c r="U43" i="2" s="1"/>
  <c r="P43" i="2"/>
  <c r="Q275" i="2"/>
  <c r="T275" i="2" s="1"/>
  <c r="P275" i="2"/>
  <c r="Q552" i="2"/>
  <c r="U552" i="2" s="1"/>
  <c r="P552" i="2"/>
  <c r="P185" i="2"/>
  <c r="Q185" i="2"/>
  <c r="U185" i="2" s="1"/>
  <c r="P390" i="2"/>
  <c r="Q390" i="2"/>
  <c r="T390" i="2" s="1"/>
  <c r="P175" i="2"/>
  <c r="Q175" i="2"/>
  <c r="U175" i="2" s="1"/>
  <c r="P506" i="2"/>
  <c r="Q506" i="2"/>
  <c r="T506" i="2" s="1"/>
  <c r="P568" i="2"/>
  <c r="Q568" i="2"/>
  <c r="T568" i="2" s="1"/>
  <c r="P107" i="2"/>
  <c r="Q107" i="2"/>
  <c r="T107" i="2" s="1"/>
  <c r="P539" i="2"/>
  <c r="Q539" i="2"/>
  <c r="T539" i="2" s="1"/>
  <c r="Q127" i="2"/>
  <c r="U127" i="2" s="1"/>
  <c r="P127" i="2"/>
  <c r="P36" i="2"/>
  <c r="Q145" i="2"/>
  <c r="T145" i="2" s="1"/>
  <c r="Q509" i="2"/>
  <c r="T509" i="2" s="1"/>
  <c r="P101" i="2"/>
  <c r="Q101" i="2"/>
  <c r="T101" i="2" s="1"/>
  <c r="P466" i="2"/>
  <c r="Q466" i="2"/>
  <c r="U466" i="2" s="1"/>
  <c r="P103" i="2"/>
  <c r="Q103" i="2"/>
  <c r="T103" i="2" s="1"/>
  <c r="P407" i="2"/>
  <c r="Q407" i="2"/>
  <c r="T407" i="2" s="1"/>
  <c r="P487" i="2"/>
  <c r="Q487" i="2"/>
  <c r="T487" i="2" s="1"/>
  <c r="P418" i="2"/>
  <c r="Q418" i="2"/>
  <c r="T418" i="2" s="1"/>
  <c r="P482" i="2"/>
  <c r="Q482" i="2"/>
  <c r="U482" i="2" s="1"/>
  <c r="P563" i="2"/>
  <c r="Q563" i="2"/>
  <c r="T563" i="2" s="1"/>
  <c r="P109" i="2"/>
  <c r="Q109" i="2"/>
  <c r="T109" i="2" s="1"/>
  <c r="P293" i="2"/>
  <c r="Q293" i="2"/>
  <c r="U293" i="2" s="1"/>
  <c r="P590" i="2"/>
  <c r="Q590" i="2"/>
  <c r="T590" i="2" s="1"/>
  <c r="P409" i="2"/>
  <c r="Q409" i="2"/>
  <c r="T409" i="2" s="1"/>
  <c r="P412" i="2"/>
  <c r="Q412" i="2"/>
  <c r="T412" i="2" s="1"/>
  <c r="P472" i="2"/>
  <c r="Q472" i="2"/>
  <c r="U472" i="2" s="1"/>
  <c r="Q446" i="2"/>
  <c r="T446" i="2" s="1"/>
  <c r="P446" i="2"/>
  <c r="P14" i="2"/>
  <c r="Q14" i="2"/>
  <c r="T14" i="2" s="1"/>
  <c r="Q46" i="2"/>
  <c r="U46" i="2" s="1"/>
  <c r="P46" i="2"/>
  <c r="P262" i="2"/>
  <c r="Q262" i="2"/>
  <c r="U262" i="2" s="1"/>
  <c r="P202" i="2"/>
  <c r="Q202" i="2"/>
  <c r="T202" i="2" s="1"/>
  <c r="Q354" i="2"/>
  <c r="U354" i="2" s="1"/>
  <c r="P354" i="2"/>
  <c r="P226" i="2"/>
  <c r="Q226" i="2"/>
  <c r="U226" i="2" s="1"/>
  <c r="P58" i="2"/>
  <c r="Q58" i="2"/>
  <c r="U58" i="2" s="1"/>
  <c r="P491" i="2"/>
  <c r="Q491" i="2"/>
  <c r="T491" i="2" s="1"/>
  <c r="P86" i="2"/>
  <c r="Q86" i="2"/>
  <c r="T86" i="2" s="1"/>
  <c r="P408" i="2"/>
  <c r="Q408" i="2"/>
  <c r="U408" i="2" s="1"/>
  <c r="Q156" i="2"/>
  <c r="U156" i="2" s="1"/>
  <c r="P156" i="2"/>
  <c r="P467" i="2"/>
  <c r="Q467" i="2"/>
  <c r="U467" i="2" s="1"/>
  <c r="P464" i="2"/>
  <c r="Q464" i="2"/>
  <c r="T464" i="2" s="1"/>
  <c r="P194" i="2"/>
  <c r="Q194" i="2"/>
  <c r="T194" i="2" s="1"/>
  <c r="P104" i="2"/>
  <c r="Q104" i="2"/>
  <c r="U104" i="2" s="1"/>
  <c r="P140" i="2"/>
  <c r="Q140" i="2"/>
  <c r="T140" i="2" s="1"/>
  <c r="Q357" i="2"/>
  <c r="U357" i="2" s="1"/>
  <c r="P357" i="2"/>
  <c r="P134" i="2"/>
  <c r="Q134" i="2"/>
  <c r="U134" i="2" s="1"/>
  <c r="Q72" i="2"/>
  <c r="T72" i="2" s="1"/>
  <c r="P72" i="2"/>
  <c r="P243" i="2"/>
  <c r="Q243" i="2"/>
  <c r="U243" i="2" s="1"/>
  <c r="P143" i="2"/>
  <c r="Q143" i="2"/>
  <c r="T143" i="2" s="1"/>
  <c r="P492" i="2"/>
  <c r="Q492" i="2"/>
  <c r="T492" i="2" s="1"/>
  <c r="P115" i="2"/>
  <c r="Q115" i="2"/>
  <c r="U115" i="2" s="1"/>
  <c r="P99" i="2"/>
  <c r="Q99" i="2"/>
  <c r="T99" i="2" s="1"/>
  <c r="P485" i="2"/>
  <c r="Q485" i="2"/>
  <c r="U485" i="2" s="1"/>
  <c r="Q458" i="2"/>
  <c r="T458" i="2" s="1"/>
  <c r="P458" i="2"/>
  <c r="P503" i="2"/>
  <c r="Q503" i="2"/>
  <c r="T503" i="2" s="1"/>
  <c r="P219" i="2"/>
  <c r="Q219" i="2"/>
  <c r="U219" i="2" s="1"/>
  <c r="P97" i="2"/>
  <c r="Q97" i="2"/>
  <c r="T97" i="2" s="1"/>
  <c r="P153" i="2"/>
  <c r="Q153" i="2"/>
  <c r="T153" i="2" s="1"/>
  <c r="P137" i="2"/>
  <c r="Q137" i="2"/>
  <c r="T137" i="2" s="1"/>
  <c r="P237" i="2"/>
  <c r="Q237" i="2"/>
  <c r="T237" i="2" s="1"/>
  <c r="Q7" i="2"/>
  <c r="U7" i="2" s="1"/>
  <c r="P7" i="2"/>
  <c r="P93" i="2"/>
  <c r="Q93" i="2"/>
  <c r="T93" i="2" s="1"/>
  <c r="P62" i="2"/>
  <c r="Q62" i="2"/>
  <c r="T62" i="2" s="1"/>
  <c r="P393" i="2"/>
  <c r="Q393" i="2"/>
  <c r="T393" i="2" s="1"/>
  <c r="P263" i="2"/>
  <c r="Q263" i="2"/>
  <c r="T263" i="2" s="1"/>
  <c r="P108" i="2"/>
  <c r="Q108" i="2"/>
  <c r="T108" i="2" s="1"/>
  <c r="P174" i="2"/>
  <c r="Q174" i="2"/>
  <c r="T174" i="2" s="1"/>
  <c r="P541" i="2"/>
  <c r="Q541" i="2"/>
  <c r="T541" i="2" s="1"/>
  <c r="P96" i="2"/>
  <c r="Q96" i="2"/>
  <c r="U96" i="2" s="1"/>
  <c r="Q481" i="2"/>
  <c r="T481" i="2" s="1"/>
  <c r="P481" i="2"/>
  <c r="P122" i="2"/>
  <c r="Q122" i="2"/>
  <c r="U122" i="2" s="1"/>
  <c r="P45" i="2"/>
  <c r="Q45" i="2"/>
  <c r="T45" i="2" s="1"/>
  <c r="Q297" i="2"/>
  <c r="U297" i="2" s="1"/>
  <c r="P297" i="2"/>
  <c r="P102" i="2"/>
  <c r="Q102" i="2"/>
  <c r="U102" i="2" s="1"/>
  <c r="P124" i="2"/>
  <c r="Q124" i="2"/>
  <c r="T124" i="2" s="1"/>
  <c r="P545" i="2"/>
  <c r="Q545" i="2"/>
  <c r="U545" i="2" s="1"/>
  <c r="P282" i="2"/>
  <c r="Q282" i="2"/>
  <c r="T282" i="2" s="1"/>
  <c r="P94" i="2"/>
  <c r="Q94" i="2"/>
  <c r="T94" i="2" s="1"/>
  <c r="P589" i="2"/>
  <c r="Q589" i="2"/>
  <c r="T589" i="2" s="1"/>
  <c r="Q536" i="2"/>
  <c r="T536" i="2" s="1"/>
  <c r="P536" i="2"/>
  <c r="Q513" i="2"/>
  <c r="T513" i="2" s="1"/>
  <c r="P513" i="2"/>
  <c r="P272" i="2"/>
  <c r="Q272" i="2"/>
  <c r="T272" i="2" s="1"/>
  <c r="Q125" i="2"/>
  <c r="U125" i="2" s="1"/>
  <c r="L559" i="2"/>
  <c r="L359" i="2"/>
  <c r="Q570" i="2"/>
  <c r="T570" i="2" s="1"/>
  <c r="Q535" i="2"/>
  <c r="U535" i="2" s="1"/>
  <c r="U388" i="2"/>
  <c r="T388" i="2"/>
  <c r="X3" i="5"/>
  <c r="W3" i="5"/>
  <c r="W20" i="5"/>
  <c r="X20" i="5"/>
  <c r="W50" i="5"/>
  <c r="X50" i="5"/>
  <c r="W9" i="5"/>
  <c r="X9" i="5"/>
  <c r="W49" i="5"/>
  <c r="X49" i="5"/>
  <c r="W12" i="5"/>
  <c r="X12" i="5"/>
  <c r="W51" i="5"/>
  <c r="X51" i="5"/>
  <c r="W13" i="5"/>
  <c r="X13" i="5"/>
  <c r="W8" i="5"/>
  <c r="X8" i="5"/>
  <c r="W46" i="5"/>
  <c r="X46" i="5"/>
  <c r="V1" i="2"/>
  <c r="Q294" i="2"/>
  <c r="P294" i="2"/>
  <c r="Q168" i="2"/>
  <c r="P168" i="2"/>
  <c r="Q247" i="2"/>
  <c r="P247" i="2"/>
  <c r="Q296" i="2"/>
  <c r="P296" i="2"/>
  <c r="Q532" i="2"/>
  <c r="P532" i="2"/>
  <c r="Q229" i="2"/>
  <c r="P229" i="2"/>
  <c r="Q364" i="2"/>
  <c r="P364" i="2"/>
  <c r="Q303" i="2"/>
  <c r="P303" i="2"/>
  <c r="Q331" i="2"/>
  <c r="P331" i="2"/>
  <c r="Q374" i="2"/>
  <c r="P374" i="2"/>
  <c r="Q587" i="2"/>
  <c r="P587" i="2"/>
  <c r="Q150" i="2"/>
  <c r="P150" i="2"/>
  <c r="Q287" i="2"/>
  <c r="P287" i="2"/>
  <c r="Q253" i="2"/>
  <c r="P253" i="2"/>
  <c r="Q209" i="2"/>
  <c r="P209" i="2"/>
  <c r="Q158" i="2"/>
  <c r="P158" i="2"/>
  <c r="Q306" i="2"/>
  <c r="P306" i="2"/>
  <c r="Q268" i="2"/>
  <c r="P268" i="2"/>
  <c r="Q188" i="2"/>
  <c r="P188" i="2"/>
  <c r="Q591" i="2"/>
  <c r="P591" i="2"/>
  <c r="Q160" i="2"/>
  <c r="P160" i="2"/>
  <c r="Q310" i="2"/>
  <c r="P310" i="2"/>
  <c r="P9" i="2"/>
  <c r="Q9" i="2"/>
  <c r="Q200" i="2"/>
  <c r="P200" i="2"/>
  <c r="Q581" i="2"/>
  <c r="P581" i="2"/>
  <c r="Q368" i="2"/>
  <c r="P368" i="2"/>
  <c r="Q211" i="2"/>
  <c r="P211" i="2"/>
  <c r="Q274" i="2"/>
  <c r="P274" i="2"/>
  <c r="Q216" i="2"/>
  <c r="P216" i="2"/>
  <c r="Q557" i="2"/>
  <c r="P557" i="2"/>
  <c r="Q363" i="2"/>
  <c r="P363" i="2"/>
  <c r="Q197" i="2"/>
  <c r="P197" i="2"/>
  <c r="Q41" i="2"/>
  <c r="P41" i="2"/>
  <c r="Q284" i="2"/>
  <c r="P284" i="2"/>
  <c r="Q333" i="2"/>
  <c r="P333" i="2"/>
  <c r="Q321" i="2"/>
  <c r="P321" i="2"/>
  <c r="Q260" i="2"/>
  <c r="P260" i="2"/>
  <c r="Q30" i="2"/>
  <c r="P30" i="2"/>
  <c r="Q376" i="2"/>
  <c r="P376" i="2"/>
  <c r="Q381" i="2"/>
  <c r="P381" i="2"/>
  <c r="Q346" i="2"/>
  <c r="P346" i="2"/>
  <c r="Q330" i="2"/>
  <c r="P330" i="2"/>
  <c r="Q31" i="2"/>
  <c r="P31" i="2"/>
  <c r="Q582" i="2"/>
  <c r="P582" i="2"/>
  <c r="Q205" i="2"/>
  <c r="P205" i="2"/>
  <c r="Q373" i="2"/>
  <c r="P373" i="2"/>
  <c r="Q206" i="2"/>
  <c r="P206" i="2"/>
  <c r="Q349" i="2"/>
  <c r="P349" i="2"/>
  <c r="Q459" i="2"/>
  <c r="P459" i="2"/>
  <c r="Q285" i="2"/>
  <c r="P285" i="2"/>
  <c r="Q201" i="2"/>
  <c r="P201" i="2"/>
  <c r="Q18" i="2"/>
  <c r="P18" i="2"/>
  <c r="Q28" i="2"/>
  <c r="P28" i="2"/>
  <c r="Q223" i="2"/>
  <c r="P223" i="2"/>
  <c r="Q228" i="2"/>
  <c r="P228" i="2"/>
  <c r="Q227" i="2"/>
  <c r="P227" i="2"/>
  <c r="Q138" i="2"/>
  <c r="P138" i="2"/>
  <c r="Q347" i="2"/>
  <c r="P347" i="2"/>
  <c r="Q312" i="2"/>
  <c r="P312" i="2"/>
  <c r="Q358" i="2"/>
  <c r="P358" i="2"/>
  <c r="Q225" i="2"/>
  <c r="P225" i="2"/>
  <c r="Q444" i="2"/>
  <c r="P444" i="2"/>
  <c r="Q369" i="2"/>
  <c r="P369" i="2"/>
  <c r="Q343" i="2"/>
  <c r="P343" i="2"/>
  <c r="Q353" i="2"/>
  <c r="P353" i="2"/>
  <c r="Q35" i="2"/>
  <c r="P35" i="2"/>
  <c r="Q309" i="2"/>
  <c r="P309" i="2"/>
  <c r="Q317" i="2"/>
  <c r="P317" i="2"/>
  <c r="Q299" i="2"/>
  <c r="P299" i="2"/>
  <c r="Q550" i="2"/>
  <c r="P550" i="2"/>
  <c r="Q159" i="2"/>
  <c r="P159" i="2"/>
  <c r="Q324" i="2"/>
  <c r="P324" i="2"/>
  <c r="Q584" i="2"/>
  <c r="P584" i="2"/>
  <c r="Q148" i="2"/>
  <c r="P148" i="2"/>
  <c r="Q295" i="2"/>
  <c r="P295" i="2"/>
  <c r="Q304" i="2"/>
  <c r="P304" i="2"/>
  <c r="Q29" i="2"/>
  <c r="P29" i="2"/>
  <c r="Q305" i="2"/>
  <c r="P305" i="2"/>
  <c r="Q318" i="2"/>
  <c r="P318" i="2"/>
  <c r="Q553" i="2"/>
  <c r="P553" i="2"/>
  <c r="Q342" i="2"/>
  <c r="P342" i="2"/>
  <c r="Q348" i="2"/>
  <c r="P348" i="2"/>
  <c r="Q21" i="2"/>
  <c r="P21" i="2"/>
  <c r="Q204" i="2"/>
  <c r="P204" i="2"/>
  <c r="Q579" i="2"/>
  <c r="P579" i="2"/>
  <c r="Q336" i="2"/>
  <c r="P336" i="2"/>
  <c r="Q339" i="2"/>
  <c r="P339" i="2"/>
  <c r="Q533" i="2"/>
  <c r="P533" i="2"/>
  <c r="Q63" i="2"/>
  <c r="P63" i="2"/>
  <c r="Q50" i="2"/>
  <c r="P50" i="2"/>
  <c r="Q335" i="2"/>
  <c r="P335" i="2"/>
  <c r="Q240" i="2"/>
  <c r="P240" i="2"/>
  <c r="Q370" i="2"/>
  <c r="P370" i="2"/>
  <c r="Q385" i="2"/>
  <c r="P385" i="2"/>
  <c r="Q341" i="2"/>
  <c r="P341" i="2"/>
  <c r="Q338" i="2"/>
  <c r="P338" i="2"/>
  <c r="Q320" i="2"/>
  <c r="P320" i="2"/>
  <c r="Q242" i="2"/>
  <c r="P242" i="2"/>
  <c r="Q254" i="2"/>
  <c r="P254" i="2"/>
  <c r="Q322" i="2"/>
  <c r="P322" i="2"/>
  <c r="Q323" i="2"/>
  <c r="P323" i="2"/>
  <c r="Q356" i="2"/>
  <c r="P356" i="2"/>
  <c r="Q139" i="2"/>
  <c r="P139" i="2"/>
  <c r="P203" i="2"/>
  <c r="Q203" i="2"/>
  <c r="Q527" i="2"/>
  <c r="P527" i="2"/>
  <c r="Q302" i="2"/>
  <c r="P302" i="2"/>
  <c r="Q530" i="2"/>
  <c r="P530" i="2"/>
  <c r="Q270" i="2"/>
  <c r="P270" i="2"/>
  <c r="Q332" i="2"/>
  <c r="P332" i="2"/>
  <c r="Q311" i="2"/>
  <c r="P311" i="2"/>
  <c r="Q345" i="2"/>
  <c r="P345" i="2"/>
  <c r="Q222" i="2"/>
  <c r="P222" i="2"/>
  <c r="Q328" i="2"/>
  <c r="P328" i="2"/>
  <c r="Q360" i="2"/>
  <c r="P360" i="2"/>
  <c r="Q351" i="2"/>
  <c r="P351" i="2"/>
  <c r="Q286" i="2"/>
  <c r="P286" i="2"/>
  <c r="Q298" i="2"/>
  <c r="P298" i="2"/>
  <c r="Q490" i="2"/>
  <c r="P490" i="2"/>
  <c r="Q215" i="2"/>
  <c r="P215" i="2"/>
  <c r="Q13" i="2"/>
  <c r="P13" i="2"/>
  <c r="Q561" i="2"/>
  <c r="P561" i="2"/>
  <c r="Q325" i="2"/>
  <c r="P325" i="2"/>
  <c r="Q292" i="2"/>
  <c r="P292" i="2"/>
  <c r="Q184" i="2"/>
  <c r="P184" i="2"/>
  <c r="Q329" i="2"/>
  <c r="P329" i="2"/>
  <c r="Q196" i="2"/>
  <c r="P196" i="2"/>
  <c r="Q210" i="2"/>
  <c r="P210" i="2"/>
  <c r="Q241" i="2"/>
  <c r="P241" i="2"/>
  <c r="Q371" i="2"/>
  <c r="P371" i="2"/>
  <c r="Q334" i="2"/>
  <c r="P334" i="2"/>
  <c r="Q301" i="2"/>
  <c r="P301" i="2"/>
  <c r="Q193" i="2"/>
  <c r="P193" i="2"/>
  <c r="Q372" i="2"/>
  <c r="P372" i="2"/>
  <c r="Q271" i="2"/>
  <c r="P271" i="2"/>
  <c r="Q224" i="2"/>
  <c r="P224" i="2"/>
  <c r="Q34" i="2"/>
  <c r="P34" i="2"/>
  <c r="Q212" i="2"/>
  <c r="P212" i="2"/>
  <c r="Q498" i="2"/>
  <c r="P498" i="2"/>
  <c r="Q213" i="2"/>
  <c r="P213" i="2"/>
  <c r="Q524" i="2"/>
  <c r="P524" i="2"/>
  <c r="Q279" i="2"/>
  <c r="P279" i="2"/>
  <c r="Q447" i="2"/>
  <c r="P447" i="2"/>
  <c r="Q319" i="2"/>
  <c r="P319" i="2"/>
  <c r="Q231" i="2"/>
  <c r="P231" i="2"/>
  <c r="Q259" i="2"/>
  <c r="P259" i="2"/>
  <c r="Q326" i="2"/>
  <c r="P326" i="2"/>
  <c r="Q149" i="2"/>
  <c r="P149" i="2"/>
  <c r="Q375" i="2"/>
  <c r="P375" i="2"/>
  <c r="Q585" i="2"/>
  <c r="P585" i="2"/>
  <c r="Q273" i="2"/>
  <c r="P273" i="2"/>
  <c r="Q264" i="2"/>
  <c r="P264" i="2"/>
  <c r="Q445" i="2"/>
  <c r="P445" i="2"/>
  <c r="Q344" i="2"/>
  <c r="P344" i="2"/>
  <c r="T434" i="2"/>
  <c r="U434" i="2"/>
  <c r="T419" i="2"/>
  <c r="U419" i="2"/>
  <c r="T427" i="2"/>
  <c r="U427" i="2"/>
  <c r="T435" i="2"/>
  <c r="U435" i="2"/>
  <c r="T3" i="2"/>
  <c r="U3" i="2"/>
  <c r="T443" i="2"/>
  <c r="U443" i="2"/>
  <c r="T566" i="2"/>
  <c r="U566" i="2"/>
  <c r="T433" i="2"/>
  <c r="U433" i="2"/>
  <c r="U389" i="2"/>
  <c r="T24" i="2"/>
  <c r="U24" i="2"/>
  <c r="U542" i="2"/>
  <c r="T542" i="2"/>
  <c r="T80" i="2"/>
  <c r="U80" i="2"/>
  <c r="T267" i="2"/>
  <c r="U267" i="2"/>
  <c r="T501" i="2"/>
  <c r="U501" i="2"/>
  <c r="U558" i="2"/>
  <c r="T558" i="2"/>
  <c r="T65" i="2"/>
  <c r="U65" i="2"/>
  <c r="T183" i="2"/>
  <c r="U183" i="2"/>
  <c r="T236" i="2"/>
  <c r="U236" i="2"/>
  <c r="T170" i="2"/>
  <c r="U170" i="2"/>
  <c r="T534" i="2"/>
  <c r="U534" i="2"/>
  <c r="T177" i="2"/>
  <c r="U177" i="2"/>
  <c r="T69" i="2"/>
  <c r="U69" i="2"/>
  <c r="T87" i="2"/>
  <c r="U87" i="2"/>
  <c r="T214" i="2"/>
  <c r="U214" i="2"/>
  <c r="T53" i="2"/>
  <c r="U53" i="2"/>
  <c r="T186" i="2"/>
  <c r="U186" i="2"/>
  <c r="T129" i="2"/>
  <c r="U129" i="2"/>
  <c r="T154" i="2"/>
  <c r="U154" i="2"/>
  <c r="T551" i="2"/>
  <c r="U551" i="2"/>
  <c r="T171" i="2"/>
  <c r="U171" i="2"/>
  <c r="T141" i="2"/>
  <c r="U141" i="2"/>
  <c r="T489" i="2"/>
  <c r="U489" i="2"/>
  <c r="T250" i="2"/>
  <c r="U250" i="2"/>
  <c r="T488" i="2"/>
  <c r="U488" i="2"/>
  <c r="T367" i="2"/>
  <c r="U367" i="2"/>
  <c r="T19" i="2"/>
  <c r="U19" i="2"/>
  <c r="T119" i="2"/>
  <c r="U119" i="2"/>
  <c r="T151" i="2"/>
  <c r="U151" i="2"/>
  <c r="T100" i="2"/>
  <c r="U100" i="2"/>
  <c r="T23" i="2"/>
  <c r="U23" i="2"/>
  <c r="T26" i="2"/>
  <c r="U26" i="2"/>
  <c r="T574" i="2"/>
  <c r="U574" i="2"/>
  <c r="T291" i="2"/>
  <c r="U291" i="2"/>
  <c r="T256" i="2"/>
  <c r="U256" i="2"/>
  <c r="T167" i="2"/>
  <c r="U167" i="2"/>
  <c r="T350" i="2"/>
  <c r="U350" i="2"/>
  <c r="T142" i="2"/>
  <c r="U142" i="2"/>
  <c r="T155" i="2"/>
  <c r="U155" i="2"/>
  <c r="T135" i="2"/>
  <c r="U135" i="2"/>
  <c r="T179" i="2"/>
  <c r="U179" i="2"/>
  <c r="T265" i="2"/>
  <c r="U265" i="2"/>
  <c r="T266" i="2"/>
  <c r="U266" i="2"/>
  <c r="T123" i="2"/>
  <c r="U123" i="2"/>
  <c r="U471" i="2"/>
  <c r="T471" i="2"/>
  <c r="T84" i="2"/>
  <c r="U84" i="2"/>
  <c r="T55" i="2"/>
  <c r="U55" i="2"/>
  <c r="T493" i="2"/>
  <c r="U493" i="2"/>
  <c r="T450" i="2"/>
  <c r="U450" i="2"/>
  <c r="T178" i="2"/>
  <c r="U178" i="2"/>
  <c r="T22" i="2"/>
  <c r="U22" i="2"/>
  <c r="T199" i="2"/>
  <c r="U199" i="2"/>
  <c r="T239" i="2"/>
  <c r="U239" i="2"/>
  <c r="T128" i="2"/>
  <c r="U128" i="2"/>
  <c r="T36" i="2"/>
  <c r="U36" i="2"/>
  <c r="T181" i="2"/>
  <c r="U181" i="2"/>
  <c r="T494" i="2"/>
  <c r="U494" i="2"/>
  <c r="T502" i="2"/>
  <c r="U502" i="2"/>
  <c r="T95" i="2"/>
  <c r="U95" i="2"/>
  <c r="T27" i="2"/>
  <c r="U27" i="2"/>
  <c r="T131" i="2"/>
  <c r="U131" i="2"/>
  <c r="T89" i="2"/>
  <c r="U89" i="2"/>
  <c r="P248" i="2"/>
  <c r="Q248" i="2"/>
  <c r="P233" i="2"/>
  <c r="Q233" i="2"/>
  <c r="P380" i="2"/>
  <c r="Q380" i="2"/>
  <c r="P352" i="2"/>
  <c r="Q352" i="2"/>
  <c r="P384" i="2"/>
  <c r="Q384" i="2"/>
  <c r="P313" i="2" l="1"/>
  <c r="Q313" i="2"/>
  <c r="T313" i="2" s="1"/>
  <c r="U10" i="2"/>
  <c r="U173" i="2"/>
  <c r="U32" i="2"/>
  <c r="U78" i="2"/>
  <c r="U454" i="2"/>
  <c r="X33" i="5"/>
  <c r="T144" i="2"/>
  <c r="U85" i="2"/>
  <c r="U465" i="2"/>
  <c r="T511" i="2"/>
  <c r="X22" i="5"/>
  <c r="W22" i="5"/>
  <c r="W30" i="5"/>
  <c r="X30" i="5"/>
  <c r="W23" i="5"/>
  <c r="X23" i="5"/>
  <c r="W29" i="5"/>
  <c r="X29" i="5"/>
  <c r="W21" i="5"/>
  <c r="X21" i="5"/>
  <c r="W28" i="5"/>
  <c r="X28" i="5"/>
  <c r="W27" i="5"/>
  <c r="X27" i="5"/>
  <c r="W32" i="5"/>
  <c r="X32" i="5"/>
  <c r="W35" i="5"/>
  <c r="X35" i="5"/>
  <c r="W34" i="5"/>
  <c r="X34" i="5"/>
  <c r="W31" i="5"/>
  <c r="X31" i="5"/>
  <c r="W24" i="5"/>
  <c r="X24" i="5"/>
  <c r="W25" i="5"/>
  <c r="X25" i="5"/>
  <c r="W26" i="5"/>
  <c r="X26" i="5"/>
  <c r="T169" i="2"/>
  <c r="U257" i="2"/>
  <c r="U505" i="2"/>
  <c r="U106" i="2"/>
  <c r="U497" i="2"/>
  <c r="U430" i="2"/>
  <c r="U414" i="2"/>
  <c r="U432" i="2"/>
  <c r="T403" i="2"/>
  <c r="T252" i="2"/>
  <c r="U461" i="2"/>
  <c r="U480" i="2"/>
  <c r="T121" i="2"/>
  <c r="P278" i="2"/>
  <c r="U528" i="2"/>
  <c r="U61" i="2"/>
  <c r="U180" i="2"/>
  <c r="U460" i="2"/>
  <c r="U519" i="2"/>
  <c r="T468" i="2"/>
  <c r="T440" i="2"/>
  <c r="U546" i="2"/>
  <c r="U60" i="2"/>
  <c r="T308" i="2"/>
  <c r="U83" i="2"/>
  <c r="T110" i="2"/>
  <c r="U420" i="2"/>
  <c r="U57" i="2"/>
  <c r="T189" i="2"/>
  <c r="U586" i="2"/>
  <c r="U161" i="2"/>
  <c r="T575" i="2"/>
  <c r="T398" i="2"/>
  <c r="T7" i="2"/>
  <c r="U81" i="2"/>
  <c r="T198" i="2"/>
  <c r="T235" i="2"/>
  <c r="U165" i="2"/>
  <c r="T175" i="2"/>
  <c r="T564" i="2"/>
  <c r="U554" i="2"/>
  <c r="T495" i="2"/>
  <c r="T473" i="2"/>
  <c r="U207" i="2"/>
  <c r="U476" i="2"/>
  <c r="U437" i="2"/>
  <c r="U269" i="2"/>
  <c r="U449" i="2"/>
  <c r="U172" i="2"/>
  <c r="U538" i="2"/>
  <c r="U479" i="2"/>
  <c r="U520" i="2"/>
  <c r="T462" i="2"/>
  <c r="U529" i="2"/>
  <c r="T191" i="2"/>
  <c r="T512" i="2"/>
  <c r="U503" i="2"/>
  <c r="U280" i="2"/>
  <c r="T577" i="2"/>
  <c r="U15" i="2"/>
  <c r="Q569" i="2"/>
  <c r="T569" i="2" s="1"/>
  <c r="T64" i="2"/>
  <c r="P523" i="2"/>
  <c r="T438" i="2"/>
  <c r="U421" i="2"/>
  <c r="Q362" i="2"/>
  <c r="T362" i="2" s="1"/>
  <c r="U483" i="2"/>
  <c r="U578" i="2"/>
  <c r="T76" i="2"/>
  <c r="T118" i="2"/>
  <c r="U478" i="2"/>
  <c r="U486" i="2"/>
  <c r="U195" i="2"/>
  <c r="U70" i="2"/>
  <c r="U555" i="2"/>
  <c r="T402" i="2"/>
  <c r="T38" i="2"/>
  <c r="T455" i="2"/>
  <c r="U510" i="2"/>
  <c r="U79" i="2"/>
  <c r="T354" i="2"/>
  <c r="Q410" i="2"/>
  <c r="T410" i="2" s="1"/>
  <c r="U281" i="2"/>
  <c r="T185" i="2"/>
  <c r="U47" i="2"/>
  <c r="T340" i="2"/>
  <c r="U91" i="2"/>
  <c r="U116" i="2"/>
  <c r="T565" i="2"/>
  <c r="U39" i="2"/>
  <c r="U147" i="2"/>
  <c r="U249" i="2"/>
  <c r="U68" i="2"/>
  <c r="T127" i="2"/>
  <c r="U522" i="2"/>
  <c r="Q88" i="2"/>
  <c r="T88" i="2" s="1"/>
  <c r="T496" i="2"/>
  <c r="U126" i="2"/>
  <c r="U394" i="2"/>
  <c r="Q588" i="2"/>
  <c r="T588" i="2" s="1"/>
  <c r="Q525" i="2"/>
  <c r="T525" i="2" s="1"/>
  <c r="T251" i="2"/>
  <c r="U463" i="2"/>
  <c r="U515" i="2"/>
  <c r="U237" i="2"/>
  <c r="T482" i="2"/>
  <c r="T573" i="2"/>
  <c r="U539" i="2"/>
  <c r="T122" i="2"/>
  <c r="U108" i="2"/>
  <c r="U458" i="2"/>
  <c r="U442" i="2"/>
  <c r="U94" i="2"/>
  <c r="T166" i="2"/>
  <c r="T234" i="2"/>
  <c r="U275" i="2"/>
  <c r="T307" i="2"/>
  <c r="U187" i="2"/>
  <c r="U406" i="2"/>
  <c r="Q146" i="2"/>
  <c r="U146" i="2" s="1"/>
  <c r="U395" i="2"/>
  <c r="U192" i="2"/>
  <c r="Q470" i="2"/>
  <c r="Q6" i="2"/>
  <c r="U6" i="2" s="1"/>
  <c r="Q105" i="2"/>
  <c r="T105" i="2" s="1"/>
  <c r="T58" i="2"/>
  <c r="T112" i="2"/>
  <c r="T8" i="2"/>
  <c r="T392" i="2"/>
  <c r="T429" i="2"/>
  <c r="U152" i="2"/>
  <c r="U113" i="2"/>
  <c r="T576" i="2"/>
  <c r="U33" i="2"/>
  <c r="U583" i="2"/>
  <c r="T504" i="2"/>
  <c r="U517" i="2"/>
  <c r="U221" i="2"/>
  <c r="U441" i="2"/>
  <c r="U439" i="2"/>
  <c r="U518" i="2"/>
  <c r="U355" i="2"/>
  <c r="T162" i="2"/>
  <c r="U124" i="2"/>
  <c r="U99" i="2"/>
  <c r="T552" i="2"/>
  <c r="T96" i="2"/>
  <c r="U481" i="2"/>
  <c r="T404" i="2"/>
  <c r="U570" i="2"/>
  <c r="Q208" i="2"/>
  <c r="U208" i="2" s="1"/>
  <c r="U590" i="2"/>
  <c r="U487" i="2"/>
  <c r="U190" i="2"/>
  <c r="T157" i="2"/>
  <c r="T104" i="2"/>
  <c r="T125" i="2"/>
  <c r="U526" i="2"/>
  <c r="Q448" i="2"/>
  <c r="U86" i="2"/>
  <c r="U73" i="2"/>
  <c r="U282" i="2"/>
  <c r="Q544" i="2"/>
  <c r="U544" i="2" s="1"/>
  <c r="U263" i="2"/>
  <c r="U101" i="2"/>
  <c r="Q556" i="2"/>
  <c r="U556" i="2" s="1"/>
  <c r="U37" i="2"/>
  <c r="U133" i="2"/>
  <c r="U202" i="2"/>
  <c r="U401" i="2"/>
  <c r="U163" i="2"/>
  <c r="U484" i="2"/>
  <c r="U48" i="2"/>
  <c r="U143" i="2"/>
  <c r="U412" i="2"/>
  <c r="U536" i="2"/>
  <c r="T46" i="2"/>
  <c r="T567" i="2"/>
  <c r="T98" i="2"/>
  <c r="U513" i="2"/>
  <c r="T415" i="2"/>
  <c r="U72" i="2"/>
  <c r="U547" i="2"/>
  <c r="T477" i="2"/>
  <c r="T500" i="2"/>
  <c r="U474" i="2"/>
  <c r="T56" i="2"/>
  <c r="Q424" i="2"/>
  <c r="T424" i="2" s="1"/>
  <c r="U464" i="2"/>
  <c r="U290" i="2"/>
  <c r="U145" i="2"/>
  <c r="U220" i="2"/>
  <c r="U393" i="2"/>
  <c r="U509" i="2"/>
  <c r="U568" i="2"/>
  <c r="T102" i="2"/>
  <c r="T43" i="2"/>
  <c r="T226" i="2"/>
  <c r="T531" i="2"/>
  <c r="U469" i="2"/>
  <c r="U153" i="2"/>
  <c r="U103" i="2"/>
  <c r="T467" i="2"/>
  <c r="T134" i="2"/>
  <c r="T277" i="2"/>
  <c r="T426" i="2"/>
  <c r="Q422" i="2"/>
  <c r="U422" i="2" s="1"/>
  <c r="Q71" i="2"/>
  <c r="T71" i="2" s="1"/>
  <c r="U117" i="2"/>
  <c r="U93" i="2"/>
  <c r="U140" i="2"/>
  <c r="T521" i="2"/>
  <c r="T472" i="2"/>
  <c r="P182" i="2"/>
  <c r="T219" i="2"/>
  <c r="U589" i="2"/>
  <c r="U109" i="2"/>
  <c r="U563" i="2"/>
  <c r="U51" i="2"/>
  <c r="U75" i="2"/>
  <c r="U562" i="2"/>
  <c r="Q456" i="2"/>
  <c r="U492" i="2"/>
  <c r="Q431" i="2"/>
  <c r="T431" i="2" s="1"/>
  <c r="U174" i="2"/>
  <c r="U506" i="2"/>
  <c r="U67" i="2"/>
  <c r="U45" i="2"/>
  <c r="T466" i="2"/>
  <c r="Q42" i="2"/>
  <c r="T535" i="2"/>
  <c r="T115" i="2"/>
  <c r="U541" i="2"/>
  <c r="U399" i="2"/>
  <c r="T164" i="2"/>
  <c r="U453" i="2"/>
  <c r="U14" i="2"/>
  <c r="U62" i="2"/>
  <c r="U499" i="2"/>
  <c r="U407" i="2"/>
  <c r="T400" i="2"/>
  <c r="T293" i="2"/>
  <c r="U313" i="2"/>
  <c r="U130" i="2"/>
  <c r="U97" i="2"/>
  <c r="U397" i="2"/>
  <c r="T514" i="2"/>
  <c r="U475" i="2"/>
  <c r="U232" i="2"/>
  <c r="U107" i="2"/>
  <c r="U218" i="2"/>
  <c r="U571" i="2"/>
  <c r="U452" i="2"/>
  <c r="T297" i="2"/>
  <c r="U17" i="2"/>
  <c r="Q74" i="2"/>
  <c r="T357" i="2"/>
  <c r="U391" i="2"/>
  <c r="U413" i="2"/>
  <c r="Q120" i="2"/>
  <c r="U90" i="2"/>
  <c r="Q417" i="2"/>
  <c r="Q507" i="2"/>
  <c r="T262" i="2"/>
  <c r="U390" i="2"/>
  <c r="U405" i="2"/>
  <c r="U136" i="2"/>
  <c r="T243" i="2"/>
  <c r="U416" i="2"/>
  <c r="U137" i="2"/>
  <c r="U272" i="2"/>
  <c r="T485" i="2"/>
  <c r="Q40" i="2"/>
  <c r="U491" i="2"/>
  <c r="U194" i="2"/>
  <c r="T545" i="2"/>
  <c r="Q82" i="2"/>
  <c r="Q543" i="2"/>
  <c r="Q549" i="2"/>
  <c r="T408" i="2"/>
  <c r="Q238" i="2"/>
  <c r="Q258" i="2"/>
  <c r="U446" i="2"/>
  <c r="T156" i="2"/>
  <c r="U132" i="2"/>
  <c r="Q12" i="2"/>
  <c r="Q111" i="2"/>
  <c r="Q52" i="2"/>
  <c r="Q77" i="2"/>
  <c r="U580" i="2"/>
  <c r="Q16" i="2"/>
  <c r="P147" i="2"/>
  <c r="U418" i="2"/>
  <c r="Q537" i="2"/>
  <c r="Q217" i="2"/>
  <c r="Q572" i="2"/>
  <c r="U409" i="2"/>
  <c r="Q451" i="2"/>
  <c r="Q516" i="2"/>
  <c r="Q436" i="2"/>
  <c r="Q300" i="2"/>
  <c r="T11" i="2"/>
  <c r="U11" i="2"/>
  <c r="T428" i="2"/>
  <c r="Q54" i="2"/>
  <c r="P11" i="2"/>
  <c r="Q457" i="2"/>
  <c r="P486" i="2"/>
  <c r="P117" i="2"/>
  <c r="Q261" i="2"/>
  <c r="P437" i="2"/>
  <c r="U523" i="2"/>
  <c r="T523" i="2"/>
  <c r="T425" i="2"/>
  <c r="U425" i="2"/>
  <c r="P425" i="2"/>
  <c r="P207" i="2"/>
  <c r="P161" i="2"/>
  <c r="P428" i="2"/>
  <c r="P548" i="2"/>
  <c r="Q44" i="2"/>
  <c r="P98" i="2"/>
  <c r="Q66" i="2"/>
  <c r="Q283" i="2"/>
  <c r="T548" i="2"/>
  <c r="U548" i="2"/>
  <c r="T316" i="2"/>
  <c r="U316" i="2"/>
  <c r="T278" i="2"/>
  <c r="U278" i="2"/>
  <c r="T59" i="2"/>
  <c r="U59" i="2"/>
  <c r="T182" i="2"/>
  <c r="U182" i="2"/>
  <c r="P132" i="2"/>
  <c r="P316" i="2"/>
  <c r="P59" i="2"/>
  <c r="P442" i="2"/>
  <c r="P340" i="2"/>
  <c r="Q114" i="2"/>
  <c r="P162" i="2"/>
  <c r="P404" i="2"/>
  <c r="P476" i="2"/>
  <c r="P398" i="2"/>
  <c r="P121" i="2"/>
  <c r="P463" i="2"/>
  <c r="P499" i="2"/>
  <c r="Q411" i="2"/>
  <c r="Q92" i="2"/>
  <c r="P514" i="2"/>
  <c r="P439" i="2"/>
  <c r="P416" i="2"/>
  <c r="P401" i="2"/>
  <c r="Q396" i="2"/>
  <c r="P164" i="2"/>
  <c r="P399" i="2"/>
  <c r="P517" i="2"/>
  <c r="U423" i="2"/>
  <c r="P359" i="2"/>
  <c r="Q359" i="2"/>
  <c r="T359" i="2" s="1"/>
  <c r="Q559" i="2"/>
  <c r="P559" i="2"/>
  <c r="U203" i="2"/>
  <c r="T203" i="2"/>
  <c r="Q4" i="2"/>
  <c r="P4" i="2"/>
  <c r="U264" i="2"/>
  <c r="T264" i="2"/>
  <c r="U259" i="2"/>
  <c r="T259" i="2"/>
  <c r="U271" i="2"/>
  <c r="T271" i="2"/>
  <c r="U241" i="2"/>
  <c r="T241" i="2"/>
  <c r="U325" i="2"/>
  <c r="T325" i="2"/>
  <c r="U286" i="2"/>
  <c r="T286" i="2"/>
  <c r="U311" i="2"/>
  <c r="T311" i="2"/>
  <c r="U370" i="2"/>
  <c r="T370" i="2"/>
  <c r="U533" i="2"/>
  <c r="T533" i="2"/>
  <c r="U348" i="2"/>
  <c r="T348" i="2"/>
  <c r="U305" i="2"/>
  <c r="T305" i="2"/>
  <c r="U324" i="2"/>
  <c r="T324" i="2"/>
  <c r="U317" i="2"/>
  <c r="T317" i="2"/>
  <c r="U369" i="2"/>
  <c r="T369" i="2"/>
  <c r="U138" i="2"/>
  <c r="T138" i="2"/>
  <c r="U18" i="2"/>
  <c r="T18" i="2"/>
  <c r="U373" i="2"/>
  <c r="T373" i="2"/>
  <c r="U346" i="2"/>
  <c r="T346" i="2"/>
  <c r="U333" i="2"/>
  <c r="T333" i="2"/>
  <c r="U557" i="2"/>
  <c r="T557" i="2"/>
  <c r="U200" i="2"/>
  <c r="T200" i="2"/>
  <c r="U268" i="2"/>
  <c r="T268" i="2"/>
  <c r="U150" i="2"/>
  <c r="T150" i="2"/>
  <c r="U229" i="2"/>
  <c r="T229" i="2"/>
  <c r="U9" i="2"/>
  <c r="T9" i="2"/>
  <c r="U273" i="2"/>
  <c r="T273" i="2"/>
  <c r="U231" i="2"/>
  <c r="T231" i="2"/>
  <c r="U213" i="2"/>
  <c r="T213" i="2"/>
  <c r="U372" i="2"/>
  <c r="T372" i="2"/>
  <c r="U210" i="2"/>
  <c r="T210" i="2"/>
  <c r="U561" i="2"/>
  <c r="T561" i="2"/>
  <c r="U351" i="2"/>
  <c r="T351" i="2"/>
  <c r="U332" i="2"/>
  <c r="T332" i="2"/>
  <c r="U139" i="2"/>
  <c r="T139" i="2"/>
  <c r="U242" i="2"/>
  <c r="T242" i="2"/>
  <c r="U240" i="2"/>
  <c r="T240" i="2"/>
  <c r="U339" i="2"/>
  <c r="T339" i="2"/>
  <c r="U29" i="2"/>
  <c r="T29" i="2"/>
  <c r="U159" i="2"/>
  <c r="T159" i="2"/>
  <c r="U309" i="2"/>
  <c r="T309" i="2"/>
  <c r="U444" i="2"/>
  <c r="T444" i="2"/>
  <c r="U227" i="2"/>
  <c r="T227" i="2"/>
  <c r="U201" i="2"/>
  <c r="T201" i="2"/>
  <c r="U205" i="2"/>
  <c r="T205" i="2"/>
  <c r="U381" i="2"/>
  <c r="T381" i="2"/>
  <c r="U284" i="2"/>
  <c r="T284" i="2"/>
  <c r="U216" i="2"/>
  <c r="T216" i="2"/>
  <c r="U306" i="2"/>
  <c r="T306" i="2"/>
  <c r="U587" i="2"/>
  <c r="T587" i="2"/>
  <c r="U532" i="2"/>
  <c r="T532" i="2"/>
  <c r="U585" i="2"/>
  <c r="T585" i="2"/>
  <c r="U319" i="2"/>
  <c r="T319" i="2"/>
  <c r="U498" i="2"/>
  <c r="T498" i="2"/>
  <c r="U193" i="2"/>
  <c r="T193" i="2"/>
  <c r="U196" i="2"/>
  <c r="T196" i="2"/>
  <c r="U13" i="2"/>
  <c r="T13" i="2"/>
  <c r="U360" i="2"/>
  <c r="T360" i="2"/>
  <c r="U270" i="2"/>
  <c r="T270" i="2"/>
  <c r="U356" i="2"/>
  <c r="T356" i="2"/>
  <c r="U320" i="2"/>
  <c r="T320" i="2"/>
  <c r="U335" i="2"/>
  <c r="T335" i="2"/>
  <c r="U336" i="2"/>
  <c r="T336" i="2"/>
  <c r="U342" i="2"/>
  <c r="T342" i="2"/>
  <c r="U304" i="2"/>
  <c r="T304" i="2"/>
  <c r="U550" i="2"/>
  <c r="T550" i="2"/>
  <c r="U35" i="2"/>
  <c r="T35" i="2"/>
  <c r="U225" i="2"/>
  <c r="T225" i="2"/>
  <c r="U228" i="2"/>
  <c r="T228" i="2"/>
  <c r="U285" i="2"/>
  <c r="T285" i="2"/>
  <c r="U582" i="2"/>
  <c r="T582" i="2"/>
  <c r="U376" i="2"/>
  <c r="T376" i="2"/>
  <c r="U41" i="2"/>
  <c r="T41" i="2"/>
  <c r="U274" i="2"/>
  <c r="T274" i="2"/>
  <c r="U310" i="2"/>
  <c r="T310" i="2"/>
  <c r="U158" i="2"/>
  <c r="T158" i="2"/>
  <c r="U374" i="2"/>
  <c r="T374" i="2"/>
  <c r="U296" i="2"/>
  <c r="T296" i="2"/>
  <c r="Q276" i="2"/>
  <c r="P276" i="2"/>
  <c r="U375" i="2"/>
  <c r="T375" i="2"/>
  <c r="U447" i="2"/>
  <c r="T447" i="2"/>
  <c r="U212" i="2"/>
  <c r="T212" i="2"/>
  <c r="U301" i="2"/>
  <c r="T301" i="2"/>
  <c r="U329" i="2"/>
  <c r="T329" i="2"/>
  <c r="U215" i="2"/>
  <c r="T215" i="2"/>
  <c r="U328" i="2"/>
  <c r="T328" i="2"/>
  <c r="U530" i="2"/>
  <c r="T530" i="2"/>
  <c r="U323" i="2"/>
  <c r="T323" i="2"/>
  <c r="U338" i="2"/>
  <c r="T338" i="2"/>
  <c r="U50" i="2"/>
  <c r="T50" i="2"/>
  <c r="U579" i="2"/>
  <c r="T579" i="2"/>
  <c r="U295" i="2"/>
  <c r="T295" i="2"/>
  <c r="U353" i="2"/>
  <c r="T353" i="2"/>
  <c r="U358" i="2"/>
  <c r="T358" i="2"/>
  <c r="U223" i="2"/>
  <c r="T223" i="2"/>
  <c r="U459" i="2"/>
  <c r="T459" i="2"/>
  <c r="U31" i="2"/>
  <c r="T31" i="2"/>
  <c r="U30" i="2"/>
  <c r="T30" i="2"/>
  <c r="U197" i="2"/>
  <c r="T197" i="2"/>
  <c r="U211" i="2"/>
  <c r="T211" i="2"/>
  <c r="U160" i="2"/>
  <c r="T160" i="2"/>
  <c r="U209" i="2"/>
  <c r="T209" i="2"/>
  <c r="U331" i="2"/>
  <c r="T331" i="2"/>
  <c r="U247" i="2"/>
  <c r="T247" i="2"/>
  <c r="Q540" i="2"/>
  <c r="P540" i="2"/>
  <c r="U344" i="2"/>
  <c r="T344" i="2"/>
  <c r="U149" i="2"/>
  <c r="T149" i="2"/>
  <c r="U279" i="2"/>
  <c r="T279" i="2"/>
  <c r="U34" i="2"/>
  <c r="T34" i="2"/>
  <c r="U334" i="2"/>
  <c r="T334" i="2"/>
  <c r="U184" i="2"/>
  <c r="T184" i="2"/>
  <c r="U490" i="2"/>
  <c r="T490" i="2"/>
  <c r="U222" i="2"/>
  <c r="T222" i="2"/>
  <c r="U302" i="2"/>
  <c r="T302" i="2"/>
  <c r="U322" i="2"/>
  <c r="T322" i="2"/>
  <c r="U341" i="2"/>
  <c r="T341" i="2"/>
  <c r="U63" i="2"/>
  <c r="T63" i="2"/>
  <c r="U204" i="2"/>
  <c r="T204" i="2"/>
  <c r="U553" i="2"/>
  <c r="T553" i="2"/>
  <c r="U148" i="2"/>
  <c r="T148" i="2"/>
  <c r="U299" i="2"/>
  <c r="T299" i="2"/>
  <c r="U312" i="2"/>
  <c r="T312" i="2"/>
  <c r="U349" i="2"/>
  <c r="T349" i="2"/>
  <c r="U330" i="2"/>
  <c r="T330" i="2"/>
  <c r="U260" i="2"/>
  <c r="T260" i="2"/>
  <c r="U368" i="2"/>
  <c r="T368" i="2"/>
  <c r="U591" i="2"/>
  <c r="T591" i="2"/>
  <c r="U253" i="2"/>
  <c r="T253" i="2"/>
  <c r="U303" i="2"/>
  <c r="T303" i="2"/>
  <c r="U168" i="2"/>
  <c r="T168" i="2"/>
  <c r="U445" i="2"/>
  <c r="T445" i="2"/>
  <c r="U326" i="2"/>
  <c r="T326" i="2"/>
  <c r="U524" i="2"/>
  <c r="T524" i="2"/>
  <c r="U224" i="2"/>
  <c r="T224" i="2"/>
  <c r="U371" i="2"/>
  <c r="T371" i="2"/>
  <c r="U292" i="2"/>
  <c r="T292" i="2"/>
  <c r="U298" i="2"/>
  <c r="T298" i="2"/>
  <c r="U345" i="2"/>
  <c r="T345" i="2"/>
  <c r="U527" i="2"/>
  <c r="T527" i="2"/>
  <c r="U254" i="2"/>
  <c r="T254" i="2"/>
  <c r="U385" i="2"/>
  <c r="T385" i="2"/>
  <c r="U21" i="2"/>
  <c r="T21" i="2"/>
  <c r="U318" i="2"/>
  <c r="T318" i="2"/>
  <c r="U584" i="2"/>
  <c r="T584" i="2"/>
  <c r="U343" i="2"/>
  <c r="T343" i="2"/>
  <c r="U347" i="2"/>
  <c r="T347" i="2"/>
  <c r="U28" i="2"/>
  <c r="T28" i="2"/>
  <c r="U206" i="2"/>
  <c r="T206" i="2"/>
  <c r="U321" i="2"/>
  <c r="T321" i="2"/>
  <c r="U363" i="2"/>
  <c r="T363" i="2"/>
  <c r="U581" i="2"/>
  <c r="T581" i="2"/>
  <c r="U188" i="2"/>
  <c r="T188" i="2"/>
  <c r="U287" i="2"/>
  <c r="T287" i="2"/>
  <c r="U364" i="2"/>
  <c r="T364" i="2"/>
  <c r="U294" i="2"/>
  <c r="T294" i="2"/>
  <c r="T384" i="2"/>
  <c r="U384" i="2"/>
  <c r="T352" i="2"/>
  <c r="U352" i="2"/>
  <c r="T380" i="2"/>
  <c r="U380" i="2"/>
  <c r="T233" i="2"/>
  <c r="U233" i="2"/>
  <c r="T248" i="2"/>
  <c r="U248" i="2"/>
  <c r="W1" i="5" l="1"/>
  <c r="X1" i="5"/>
  <c r="U362" i="2"/>
  <c r="U569" i="2"/>
  <c r="U410" i="2"/>
  <c r="T556" i="2"/>
  <c r="T146" i="2"/>
  <c r="U88" i="2"/>
  <c r="U588" i="2"/>
  <c r="U525" i="2"/>
  <c r="T208" i="2"/>
  <c r="T470" i="2"/>
  <c r="U470" i="2"/>
  <c r="T6" i="2"/>
  <c r="U105" i="2"/>
  <c r="U424" i="2"/>
  <c r="T544" i="2"/>
  <c r="T422" i="2"/>
  <c r="T448" i="2"/>
  <c r="U448" i="2"/>
  <c r="U71" i="2"/>
  <c r="U431" i="2"/>
  <c r="U359" i="2"/>
  <c r="T456" i="2"/>
  <c r="U456" i="2"/>
  <c r="U42" i="2"/>
  <c r="T42" i="2"/>
  <c r="T74" i="2"/>
  <c r="U74" i="2"/>
  <c r="U507" i="2"/>
  <c r="T507" i="2"/>
  <c r="U417" i="2"/>
  <c r="T417" i="2"/>
  <c r="U120" i="2"/>
  <c r="T120" i="2"/>
  <c r="T40" i="2"/>
  <c r="U40" i="2"/>
  <c r="U82" i="2"/>
  <c r="T82" i="2"/>
  <c r="U258" i="2"/>
  <c r="T258" i="2"/>
  <c r="T238" i="2"/>
  <c r="U238" i="2"/>
  <c r="T549" i="2"/>
  <c r="U549" i="2"/>
  <c r="U543" i="2"/>
  <c r="T543" i="2"/>
  <c r="U16" i="2"/>
  <c r="T16" i="2"/>
  <c r="T77" i="2"/>
  <c r="U77" i="2"/>
  <c r="T52" i="2"/>
  <c r="U52" i="2"/>
  <c r="T111" i="2"/>
  <c r="U111" i="2"/>
  <c r="T12" i="2"/>
  <c r="U12" i="2"/>
  <c r="U300" i="2"/>
  <c r="T300" i="2"/>
  <c r="T436" i="2"/>
  <c r="U436" i="2"/>
  <c r="U516" i="2"/>
  <c r="T516" i="2"/>
  <c r="T451" i="2"/>
  <c r="U451" i="2"/>
  <c r="U572" i="2"/>
  <c r="T572" i="2"/>
  <c r="T217" i="2"/>
  <c r="U217" i="2"/>
  <c r="T537" i="2"/>
  <c r="U537" i="2"/>
  <c r="T261" i="2"/>
  <c r="U261" i="2"/>
  <c r="U457" i="2"/>
  <c r="T457" i="2"/>
  <c r="T54" i="2"/>
  <c r="U54" i="2"/>
  <c r="U66" i="2"/>
  <c r="T66" i="2"/>
  <c r="T44" i="2"/>
  <c r="U44" i="2"/>
  <c r="T283" i="2"/>
  <c r="U283" i="2"/>
  <c r="U396" i="2"/>
  <c r="T396" i="2"/>
  <c r="T114" i="2"/>
  <c r="U114" i="2"/>
  <c r="T92" i="2"/>
  <c r="U92" i="2"/>
  <c r="T411" i="2"/>
  <c r="U411" i="2"/>
  <c r="T559" i="2"/>
  <c r="U559" i="2"/>
  <c r="U276" i="2"/>
  <c r="T276" i="2"/>
  <c r="U540" i="2"/>
  <c r="T540" i="2"/>
  <c r="U4" i="2"/>
  <c r="T4" i="2"/>
  <c r="U1" i="2" l="1"/>
  <c r="T1" i="2"/>
  <c r="E3" i="3" s="1"/>
  <c r="E2" i="3" l="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1384ED6F-880D-4D91-B29A-A6A1C4041C0E}" keepAlive="1" name="Запрос — Китай БЕСТ ПАРТНЕР" description="Соединение с запросом &quot;Китай БЕСТ ПАРТНЕР&quot; в книге." type="5" refreshedVersion="7" background="1" saveData="1">
    <dbPr connection="Provider=Microsoft.Mashup.OleDb.1;Data Source=$Workbook$;Location=&quot;Китай БЕСТ ПАРТНЕР&quot;;Extended Properties=&quot;&quot;" command="SELECT * FROM [Китай БЕСТ ПАРТНЕР]"/>
  </connection>
</connections>
</file>

<file path=xl/sharedStrings.xml><?xml version="1.0" encoding="utf-8"?>
<sst xmlns="http://schemas.openxmlformats.org/spreadsheetml/2006/main" count="7814" uniqueCount="1535">
  <si>
    <t>ID</t>
  </si>
  <si>
    <t>Поставщик</t>
  </si>
  <si>
    <t>Под заказ</t>
  </si>
  <si>
    <t>Китай БЕСТ ПАРТНЕР</t>
  </si>
  <si>
    <t>1</t>
  </si>
  <si>
    <t>Противотуманные фары (ПТФ) LD-472 для Лада Калина, Калина 2, Гранта, Ларгус</t>
  </si>
  <si>
    <t>Противотуманные фары для Шевроле Нива</t>
  </si>
  <si>
    <t>Руль R1 EvoX для ВАЗ</t>
  </si>
  <si>
    <t>Руль Rtech Power для ВАЗ</t>
  </si>
  <si>
    <t>Руль Rtech с красной строчкой для ВАЗ</t>
  </si>
  <si>
    <t>Руль Rtech звезды для ВАЗ</t>
  </si>
  <si>
    <t>Руль Rtech с цветными спицами для ВАЗ</t>
  </si>
  <si>
    <t>Руль Rtech с цветным ободом для ВАЗ</t>
  </si>
  <si>
    <t>Руль Sparco не оригинал для ВАЗ</t>
  </si>
  <si>
    <t>Руль с анатомической формой для ВАЗ, замша</t>
  </si>
  <si>
    <t>Руль с анатомической формой для ВАЗ</t>
  </si>
  <si>
    <t>Руль "Rtech" (замша) с анатомической формой для ВАЗ</t>
  </si>
  <si>
    <t>Руль Rtech с анатомической формой для ВАЗ</t>
  </si>
  <si>
    <t>Руль Nardi для ВАЗ, замша</t>
  </si>
  <si>
    <t>Руль Rtech для ВАЗ</t>
  </si>
  <si>
    <t>Руль Rtech пламя (синий) для ВАЗ</t>
  </si>
  <si>
    <t>Руль R1 с кнопками для ВАЗ</t>
  </si>
  <si>
    <t>Руль R1 Drifting для ВАЗ (II) в цвет</t>
  </si>
  <si>
    <t>Руль R1 для ВАЗ, замша</t>
  </si>
  <si>
    <t>Руль R1 с цветными вставками для ВАЗ (разных цветов)</t>
  </si>
  <si>
    <t>Руль с цветным ободом для ВАЗ</t>
  </si>
  <si>
    <t>Руль "R1" Silver анатомической формы для ВАЗ</t>
  </si>
  <si>
    <t>Руль с цветными вставками для ВАЗ</t>
  </si>
  <si>
    <t>Руль "R1" спортивный (черный) для ВАЗ</t>
  </si>
  <si>
    <t>Руль анатомической формы для ВАЗ</t>
  </si>
  <si>
    <t>Руль R1 Drifting для ВАЗ (I)</t>
  </si>
  <si>
    <t>Руль R1 Drifting "CANADA" синий глубокий для ВАЗ</t>
  </si>
  <si>
    <t>Руль Vertex для ВАЗ</t>
  </si>
  <si>
    <t>Задние фонари с красной полосой для ВАЗ 2108-21099, 2113, 2114</t>
  </si>
  <si>
    <t>Задние фонари диодные (тонированные) для ВАЗ 2108-21099, 2113, 2114</t>
  </si>
  <si>
    <t>Задние фонари "X" диодные для ВАЗ 2108-21099, 2113, 2114</t>
  </si>
  <si>
    <t>Задние фонари "Волна" диодные для ВАЗ 2108-21099, 2113, 2114</t>
  </si>
  <si>
    <t>Задние фонари "Зигзаг" для ВАЗ 2108-21099, 2113, 2114</t>
  </si>
  <si>
    <t>Задние фонари "Кольца" диодные для ВАЗ 2108-21099, 2113, 2114</t>
  </si>
  <si>
    <t>Задние фонари "Глаза" диодные для ВАЗ 2108-21099, 2113, 2114</t>
  </si>
  <si>
    <t>Задние фонари "ХX" диодные для ВАЗ 2108-21099, 2113, 2114</t>
  </si>
  <si>
    <t>Задние фонари "Torino" (красные) для ВАЗ 2108-21099, 2113, 2114</t>
  </si>
  <si>
    <t>Задние фонари "Torino" тонированные для ВАЗ 2108-21099, 2113, 2114</t>
  </si>
  <si>
    <t>Задние фонари диодные для ВАЗ 2108-21099, 2113, 2114</t>
  </si>
  <si>
    <t>Задние фонари диодные (красные) для ВАЗ 2108-21099, 2113, 2114</t>
  </si>
  <si>
    <t>Задние фонари с серой полосой для ВАЗ 2108-21099, 2113, 2114</t>
  </si>
  <si>
    <t>Задние фонари с чёрной полосой для ВАЗ 2108-21099, 2113, 2114</t>
  </si>
  <si>
    <t>Задние фонари "Стрела" светодиодные, тонированные для ВАЗ 2108-21099, 2113, 2114</t>
  </si>
  <si>
    <t>Задние фонари с красной полосой на ВАЗ 2105, 2107</t>
  </si>
  <si>
    <t>Ксенон "MaxLight"</t>
  </si>
  <si>
    <t>Переходник для установки рулевого колеса ВАЗ 2101-2107, Лада Нива 4х4</t>
  </si>
  <si>
    <t>Переходник (адаптер) для установки рулевого колеса для Лада Калина, Гранта, Приора</t>
  </si>
  <si>
    <t>Универсальный звуковой сигнал MrHorn A047</t>
  </si>
  <si>
    <t>Универсальный звуковой сигнал MrHorn A045</t>
  </si>
  <si>
    <t>Универсальный звуковой сигнал MrHorn B012</t>
  </si>
  <si>
    <t>Диодный фонарь на балку 5527R, круглый (9х3 Вт)</t>
  </si>
  <si>
    <t>Балки с диодами PL-1210 (4*3 Вт, 2 шт.)</t>
  </si>
  <si>
    <t>Балки с диодами PL-1211 (4*3 Вт, 2 шт.)</t>
  </si>
  <si>
    <t>Балки с диодами PL-1219 (1*10 Вт, 2 шт.)</t>
  </si>
  <si>
    <t>Балка с диодами PL-3101-FS (8*3 Вт)</t>
  </si>
  <si>
    <t>Балка с диодами PL-3102-FS (12*3 Вт)</t>
  </si>
  <si>
    <t>Балка с диодами PL-3103-FS (20*3 Вт)</t>
  </si>
  <si>
    <t>Балка с диодами PL-3104-FS (40*3 Вт)</t>
  </si>
  <si>
    <t>Балка с диодами PL-3106-FS (80*3 Вт)</t>
  </si>
  <si>
    <t>Балка с диодами PL-3107 (100*3 Вт)</t>
  </si>
  <si>
    <t>Балка с диодами PL-3204-FS (30х3Вт)</t>
  </si>
  <si>
    <t>Балка с диодами PL-3205-FS (40*3 Вт)</t>
  </si>
  <si>
    <t>Балка освещения 10W*1LED, D-5,5 см (10W-A ближний)</t>
  </si>
  <si>
    <t>Балка освещения 10W*1LED, D-5,5 см (10W-A дальний)</t>
  </si>
  <si>
    <t>Балка освещения 3W*6LED 4,5*16см (18W-A дальний)</t>
  </si>
  <si>
    <t>Балка освещения 3W*6LED 7*9,5см (18W-C дальний)</t>
  </si>
  <si>
    <t>Балка освещения 3W*9LED, D-11,5см (27W-B дальний)</t>
  </si>
  <si>
    <t>Балка освещения 3W*9LED, 11*11см (27W-B дальний)</t>
  </si>
  <si>
    <t>Балка освещения 3W*16LED 11*11см (48W-A ближний)</t>
  </si>
  <si>
    <t>Балка освещения 3W*16LED 11*11см (48W-A дальний)</t>
  </si>
  <si>
    <t>Балка освещения 3W*8LED, 14*8,5 см (24W-B дальний)</t>
  </si>
  <si>
    <t>Балка освещения 10W*18LED, L-76 см (180W комбинированная)</t>
  </si>
  <si>
    <t>Балка освещения CCLB-36W, L-17 см</t>
  </si>
  <si>
    <t>Балка освещения XRB2-120W, L-56 см</t>
  </si>
  <si>
    <t>Балка освещения G2-120W, L-56 см</t>
  </si>
  <si>
    <t>Балка освещения XRB-180W, L-82 см</t>
  </si>
  <si>
    <t>Балка освещения G1-240W, L-108 см</t>
  </si>
  <si>
    <t>Балка освещения XRB-240W, L-108 см</t>
  </si>
  <si>
    <t>Ходовые огни 6 (L-15)</t>
  </si>
  <si>
    <t>Ходовые огни 017 (L 17)</t>
  </si>
  <si>
    <t>Ходовые огни 17 (L-18)</t>
  </si>
  <si>
    <t>Ходовые огни 034 (L-15)</t>
  </si>
  <si>
    <t>Ходовые огни 65 (L-16)</t>
  </si>
  <si>
    <t>Ходовые огни 316 (L-15,5)</t>
  </si>
  <si>
    <t>Ходовые огни 328 (L-15)</t>
  </si>
  <si>
    <t>Ходовые огни 329 (L-18)</t>
  </si>
  <si>
    <t>Универсальные ПТФ "DLAA" LA8040D белые</t>
  </si>
  <si>
    <t>Универсальные ПТФ "DLAA" LA8040D лазер</t>
  </si>
  <si>
    <t>Универсальные ПТФ "DLAA" LA8050RY лазер</t>
  </si>
  <si>
    <t>Универсальные ПТФ "DLAA" LA8050W белые</t>
  </si>
  <si>
    <t>Универсальные ПТФ "DLAA" LA8070RY лазер</t>
  </si>
  <si>
    <t>Универсальные ПТФ "DLAA" LA8070W белые</t>
  </si>
  <si>
    <t>Универсальные ПТФ "DLAA" LA8080EW белые</t>
  </si>
  <si>
    <t>Универсальные ПТФ "DLAA" LA8080ERY лазер</t>
  </si>
  <si>
    <t>Универсальные ПТФ "DLAA" LA8813W белые</t>
  </si>
  <si>
    <t>Универсальные ПТФ "DLAA" LA8813RY лазер</t>
  </si>
  <si>
    <t>Универсальные ПТФ "DLAA" LA8815RY лазер</t>
  </si>
  <si>
    <t>Универсальные ПТФ "DLAA" LA8829RY лазер</t>
  </si>
  <si>
    <t>Универсальные ПТФ "DLAA" LA 8829W белые</t>
  </si>
  <si>
    <t>Универсальные ПТФ "DLAA" LA 886B-W белые</t>
  </si>
  <si>
    <t>Универсальные ПТФ "DLAA" LA 886B-RY лазер</t>
  </si>
  <si>
    <t>Универсальные ПТФ "DLAA" LA 886E-W белые</t>
  </si>
  <si>
    <t>Универсальные ПТФ "DLAA" LA910W белые</t>
  </si>
  <si>
    <t>Универсальные ПТФ "DLAA" LA910Y желтые</t>
  </si>
  <si>
    <t>Универсальные ПТФ "DLAA" LA935 белые</t>
  </si>
  <si>
    <t>Универсальные ПТФ "DLAA" LA9833B белые</t>
  </si>
  <si>
    <t>Универсальные ПТФ "DLAA" LA9834BX белые</t>
  </si>
  <si>
    <t>Универсальные ПТФ "DLAA" LA988H-W белые</t>
  </si>
  <si>
    <t>Универсальные ПТФ "DLAA" LA9888E белые</t>
  </si>
  <si>
    <t>Универсальные ПТФ "DLAA" LA990B-RY лазер</t>
  </si>
  <si>
    <t>Универсальные ПТФ "DLAA" LA990B-W белые</t>
  </si>
  <si>
    <t>Универсальные ПТФ "DLAA" LA990E-RY лазер</t>
  </si>
  <si>
    <t>Универсальные ПТФ "DLAA" LA992RY лазер</t>
  </si>
  <si>
    <t>Универсальные ПТФ "DLAA" LA992W белые</t>
  </si>
  <si>
    <t>Универсальные ПТФ "DLAA" LA994W белые</t>
  </si>
  <si>
    <t>Универсальные ПТФ "DLAA" LA994RY лазер</t>
  </si>
  <si>
    <t>Универсальные ПТФ "DLAA" LA994Y желтые</t>
  </si>
  <si>
    <t>Универсальные ПТФ "DLAA" LA996W белые</t>
  </si>
  <si>
    <t>Универсальные ПТФ LA 996 RY лазер</t>
  </si>
  <si>
    <t>Универсальные ПТФ "DLAA" PL99RY лазер</t>
  </si>
  <si>
    <t>Универсальные ПТФ "DLAA" PL99W белые</t>
  </si>
  <si>
    <t>Универсальные ПТФ PT 299</t>
  </si>
  <si>
    <t>Универсальные ПТФ YH-2321W</t>
  </si>
  <si>
    <t>Универсальные ПТФ TY-2027W</t>
  </si>
  <si>
    <t>Универсальные ПТФ TY-2029W</t>
  </si>
  <si>
    <t>Универсальные ПТФ YH-2029RY</t>
  </si>
  <si>
    <t>Руль R1 спортивный для ВАЗ, кожа</t>
  </si>
  <si>
    <t>Самоклеющаяся силиконовая белая диодная лента</t>
  </si>
  <si>
    <t>Самоклеющаяся силиконовая красная диодная лента</t>
  </si>
  <si>
    <t>Самоклеющаяся силиконовая синяя диодная лента</t>
  </si>
  <si>
    <t>Спойлеры с диодом на дворники, карбон</t>
  </si>
  <si>
    <t>Спойлеры с диодом на дворники, красные</t>
  </si>
  <si>
    <t>Спойлеры с диодом на дворники, снежка</t>
  </si>
  <si>
    <t>Спойлеры с диодом на дворники, хром</t>
  </si>
  <si>
    <t>Набор автоинструмента «AEROFORCE» 137PCS</t>
  </si>
  <si>
    <t>Набор автоинструмента «AEROFORCE» 132PCS</t>
  </si>
  <si>
    <t>Набор автоинструмента «AEROFORCE» 131PCS</t>
  </si>
  <si>
    <t>Набор автоинструмента «AEROFORCE» 97PCS</t>
  </si>
  <si>
    <t>НАБОР АВТОИНСТРУМЕНТА «AEROFORCE» 86PCS-M МАЛЫЙ</t>
  </si>
  <si>
    <t>Набор автоинструмента «AEROFORCE» 92PCS</t>
  </si>
  <si>
    <t>Набор автоинструмента «AEROFORCE» 94PCS</t>
  </si>
  <si>
    <t>Набор автоинструмента «AEROFORCE» 86PCS</t>
  </si>
  <si>
    <t>Набор автоинструмента «AEROFORCE» 71PCS.</t>
  </si>
  <si>
    <t>Набор автоинструмента «AEROFORCE» 59PCS</t>
  </si>
  <si>
    <t>Светодиодные лампы "LED" Light G5 с вентилятором охлаждения (пара, H4, 6000К)</t>
  </si>
  <si>
    <t>Руль RTech "MOMO" анатомической формы для ВАЗ "13"</t>
  </si>
  <si>
    <t>Светодиодные фары для Лада Веста</t>
  </si>
  <si>
    <t>Светодиодные фонари в стиле AUDI, серые для Лада Веста</t>
  </si>
  <si>
    <t>Реле повторителей для диодных подфарников и фонарей, Лада Нива 4х4</t>
  </si>
  <si>
    <t>Светодиодные фонари в стиле AUDI, красные для Лада Веста</t>
  </si>
  <si>
    <t>Рамки ПТФ с ДХО в бампер нового образца для Лада Гранта</t>
  </si>
  <si>
    <t>Светодиодные динамические повторители поворота "Лексус Стайл" в зеркала нового образца для Лада Гранта, Гранта FL</t>
  </si>
  <si>
    <t>Диодные подфарники PL-2121G с ДХО и бегающим поворотником, тонированные для Лада Нива 4x4</t>
  </si>
  <si>
    <t>Накладки на пороги с надписью "Urban" и подсветкой для Лада Нива 4х4, Нива 4х4 Урбан</t>
  </si>
  <si>
    <t>Стробоскопные лампы с блоком 2шт</t>
  </si>
  <si>
    <t>LED (диодные) подфарники "L- красные" c ДХО и бегающим повторителем для Лада Нива 4x4, Урбан</t>
  </si>
  <si>
    <t>Боковые зеркала (аналог, бегающий повторитель, электропривод, обогрев) для Лада Веста</t>
  </si>
  <si>
    <t>Балка освещения круглая NV-842</t>
  </si>
  <si>
    <t>Повторители боковые с надписью PRIORA (белая подсветка) для Лада Приора, Приора 2</t>
  </si>
  <si>
    <t>Противотуманные фары светодиодные (LED) с ангельскими глазками для Лада Калина, Калина 2, Гранта, Ларгус</t>
  </si>
  <si>
    <t>Повторители боковые (белые) с надписью "GRANTA" для Лада Гранта</t>
  </si>
  <si>
    <t>Светодиодная вспышка ФСО 54 Вт "YS-54"</t>
  </si>
  <si>
    <t>Вспышка ФСО 48W "48S-50мм" (16 светодиодов по 3 ВТ)</t>
  </si>
  <si>
    <t>Вспышка ФСО 27W (9 светодиодов по 3 Вт)</t>
  </si>
  <si>
    <t>Светодиодные лампы LED Headlight H7, мягкие радиаторы</t>
  </si>
  <si>
    <t>Противотуманные фары "High Quality 1005" универсальные</t>
  </si>
  <si>
    <t>Светодиодные накладки на пороги (передние) для Лада Веста</t>
  </si>
  <si>
    <t>Противотуманные фары LED (4 линзы, корпус аллюминий, 1 режим) для ВАЗ 2110-2112, 2113-2115</t>
  </si>
  <si>
    <t>Руль F-1 чёрный (без вылета)</t>
  </si>
  <si>
    <t>Противотуманные фары "BROOKLYN" для ВАЗ 2110-2112</t>
  </si>
  <si>
    <t>Автолампы светодиодные LED V3 MINI H7</t>
  </si>
  <si>
    <t>Накладка заднего номера с подсветкой тонированная для Лада Нива 4x4</t>
  </si>
  <si>
    <t>Передние черные фары с линзой на ВАЗ 2110-2112</t>
  </si>
  <si>
    <t>Задние светодиодные фонари тонированные в стиле Mercedes для Лада Нива 4x4</t>
  </si>
  <si>
    <t>Диодные подфарники (поворотник в стиле "Lexus") для Лада Нива 4x4, Нива 4x4 Урбан</t>
  </si>
  <si>
    <t>Руль Rtech пламя (жёлтый) для ВАЗ</t>
  </si>
  <si>
    <t>Задние светодиодные фонари в стиле Mercedes для Лада Нива 4x4</t>
  </si>
  <si>
    <t>Светодиодные подфарники (с плавным загоранием ДХО, поворотник в стиле "Lexus") для Лада Нива 4x4, Нива 4x4 Урбан</t>
  </si>
  <si>
    <t>Задние светодиодные фонари "Тонированные-иксы" (чёрные, с бегающим повторителем) для Лада Нива 4x4, Нива 4x4 Урбан</t>
  </si>
  <si>
    <t>Задние светодиодные фонари "Иксы" (красные, с бегающим повторителем) для Лада Нива 4x4, Нива 4x4 Урбан</t>
  </si>
  <si>
    <t>Задние светодиодные фонари белые "Белые-иксы" (чёрные, с бегающим повторителем) для Лада Нива 4x4, Нива 4x4 Урбан</t>
  </si>
  <si>
    <t>Задние светодиодные фонари "Полосы" (чёрные, с бегающим повторителем) для Лада Нива 4x4, Нива 4x4 Урбан</t>
  </si>
  <si>
    <t>Руль "PLASTWOOD MOMO" в стиле Muscle Car (с металлическим каркасом прорезь) для ВАЗ (2101-2107, 2108-21099, 2113-2115), Лада (Калина, Приора, Нива 4x4), Шевроле Нива (до 2006 г. в.)</t>
  </si>
  <si>
    <t>Руль "PLASTWOOD URBAN" в стиле Muscle Car (с металлическим каркасом прорезь) для ВАЗ (2101-2107, 2108-21099, 2113-2115), Лада (Калина, Приора, Нива 4x4), Шевроле Нива (до 2006 г. в.)</t>
  </si>
  <si>
    <t>Руль "PLASTWOOD MOMO" в стиле Muscle Car (с металлическим каркасом и отверстиями) для ВАЗ (2101-2107, 2108-21099, 2113-2115), Лада (Калина, Приора, Нива 4x4), Шевроле Нива (до 2006 г. в.)</t>
  </si>
  <si>
    <t>Руль "PLASTWOOD NARDI" в стиле Muscle Car (с металлическим каркасом и отверстиями) для ВАЗ (2101-2107, 2108-21099, 2113-2115), Лада (Калина, Приора, Нива 4x4), Шевроле Нива (до 2006 г. в.)</t>
  </si>
  <si>
    <t>Руль "PLASTWOOD URBAN" в стиле Muscle Car (с металлическим каркасом и отверстиями) для ВАЗ (2101-2107, 2108-21099, 2113-2115), Лада (Калина, Приора, Нива 4x4), Шевроле Нива (до 2006 г. в.)</t>
  </si>
  <si>
    <t>Противотуманные фары "LD-673" для Лада (Нива 4х4 Урбан, Гранта FL, Веста, XRAY), Renault (Duster, Logan, Sandero, Clio, Kaptur, Fluence, Kangoo, Koleos, Scenic, Grand Scenic, Megane, Laguna, Symbol) Suzuki (Swift, Grand Vitara), Citroen (Caprice, Lumina,</t>
  </si>
  <si>
    <t>Балка дополнительного освещения (48 Вт, квадрат, белый свет)</t>
  </si>
  <si>
    <t>Балка дополнительного освещения "c8-84" (LED, белый свет)</t>
  </si>
  <si>
    <t>Балка дополнительного освещения "27S amber" (LED, квадрат, янтарный свет)</t>
  </si>
  <si>
    <t>Балка дополнительного освещения "cm4-36" (LED, белый свет)</t>
  </si>
  <si>
    <t>Балка дополнительного освещения "cm2-36" (LED, белый свет)</t>
  </si>
  <si>
    <t>Балка дополнительного освещения (LED, узкая, чёрная)</t>
  </si>
  <si>
    <t>Балка дополнительного освещения "48S0" (LED, белый свет)</t>
  </si>
  <si>
    <t>Балка дополнительного освещения "CC-36" (LED, янтарный свет)</t>
  </si>
  <si>
    <t>Балка дополнительного освещения "HP-CTD-012"</t>
  </si>
  <si>
    <t>Балка дополнительного освещения (круглая)</t>
  </si>
  <si>
    <t>Балка дополнительного освещения "C6-144"</t>
  </si>
  <si>
    <t>Балка дополнительного освещения "27R Amber" (LED, круг, янтарный свет)</t>
  </si>
  <si>
    <t>Балка дополнительного освещения "cm3-54" (LED, белый свет)</t>
  </si>
  <si>
    <t>Балка дополнительного освещения "I-90" (противотуманная, LED, комбинированный свет)</t>
  </si>
  <si>
    <t>Балка дополнительного освещения "D-160" (противотуманная, LED, белый свет)</t>
  </si>
  <si>
    <t>Балка дополнительного освещения "42R1" (LED, комбинированный свет, круг)</t>
  </si>
  <si>
    <t>Балка дополнительного освещения "18L3" (LED, прямоугольный, белый свет)</t>
  </si>
  <si>
    <t>Балка дополнительного освещения "20S1" (LED, белый свет)</t>
  </si>
  <si>
    <t>Балка дополнительного освещения "24S" (LED, белый свет)</t>
  </si>
  <si>
    <t>Балка дополнительного освещения "25S" (LED, белый свет)</t>
  </si>
  <si>
    <t>Балка дополнительного освещения "27R" (белый свет, LED)</t>
  </si>
  <si>
    <t>Балка дополнительного освещения "27S white" (белый свет, LED)</t>
  </si>
  <si>
    <t>Балка дополнительного освещения "30L2" (противотуманная, LED, прямоугольный, белый свет)</t>
  </si>
  <si>
    <t>Балка дополнительного освещения "30R1" (противотуманная, LED, прямоугольный, белый свет)</t>
  </si>
  <si>
    <t>Балка дополнительного освещения "30s" (противотуманная, LED, прямоугольный, белый свет)</t>
  </si>
  <si>
    <t>Балка дополнительного освещения "327S" (LED, комбинированный свет, квадрат)</t>
  </si>
  <si>
    <t>Балка дополнительного освещения "42R" (LED, белый свет)</t>
  </si>
  <si>
    <t>Балка дополнительного освещения "42R Amber" (LED, круг, янтарный свет)</t>
  </si>
  <si>
    <t>Балка дополнительного освещения "45S-4D" (LED, белый свет, круг)</t>
  </si>
  <si>
    <t>Балка дополнительного освещения "48s" (LED, белый свет, 30мм)</t>
  </si>
  <si>
    <t>Балка дополнительного освещения "48s" (янтарный свет, LED)</t>
  </si>
  <si>
    <t>Балка дополнительного освещения "48S1" (LED, комбинированный свет, квадрат)</t>
  </si>
  <si>
    <t>Балка дополнительного освещения "51R 51W" (красный круг, белый свет, LED)</t>
  </si>
  <si>
    <t>Балка дополнительного освещения "B5D-72" (белый свет, LED)</t>
  </si>
  <si>
    <t>Балка дополнительного освещения "C4-144" (противотуманная, LED, белый свет)</t>
  </si>
  <si>
    <t>Балка дополнительного освещения "C5-120" (LED, белый свет, прямоугольная)</t>
  </si>
  <si>
    <t>Балка дополнительного освещения "The Best Partner" C6-72</t>
  </si>
  <si>
    <t>Балка дополнительного освещения "C9-48" (LED, белый свет)</t>
  </si>
  <si>
    <t>Балка дополнительного освещения "cm1-18" (LED, белый свет)</t>
  </si>
  <si>
    <t>Балка дополнительного освещения "cm1-36" (LED, белый свет, прямоугольная)</t>
  </si>
  <si>
    <t>Балка дополнительного освещения "cm1-54" (LED, белый свет)</t>
  </si>
  <si>
    <t>Балка дополнительного освещения "cm2-18" (LED, белый свет)</t>
  </si>
  <si>
    <t>Балка дополнительного освещения "cm3-18" (LED, белый свет)</t>
  </si>
  <si>
    <t>Балка дополнительного освещения "cm3-36" (LED, белый свет)</t>
  </si>
  <si>
    <t>Балка дополнительного освещения "HP-CTD-011" (LED, белый свет)</t>
  </si>
  <si>
    <t>Балка дополнительного освещения "HP-CTD-4D-001"</t>
  </si>
  <si>
    <t>Балка дополнительного освещения "HP-CTD-4D-002"</t>
  </si>
  <si>
    <t>Балка дополнительного освещения "HP-CTD-4D-008"</t>
  </si>
  <si>
    <t>Балка дополнительного освещения "The Best Partner" HP-CTD-BPTJ-001 (48 Вт, 200 мм)</t>
  </si>
  <si>
    <t>Балка дополнительного освещения "The Best Partner" HP-CTD-BPTJ-002 (72 Вт, 380 мм)</t>
  </si>
  <si>
    <t>Балка дополнительного освещения "The Best Partner" HP-CTD-BPTJ-003 (130 Вт, 600 мм)</t>
  </si>
  <si>
    <t>Балка дополнительного освещения "The Best Partner" HP-CTD-BPTJ-004 (240 Вт, 885 мм)</t>
  </si>
  <si>
    <t>Балка дополнительного освещения "The Best Partner" HP-CTD-BPTJ-005 (320 Вт, 1138 мм)</t>
  </si>
  <si>
    <t>Балка дополнительного освещения "HP-GZD-011/W" (LED, круг, белый свет)</t>
  </si>
  <si>
    <t>Балка дополнительного освещения "HP-U405W" (узкая, черная, LED)</t>
  </si>
  <si>
    <t>Балка дополнительного освещения "mini-108" (узкая, LED, белый свет)</t>
  </si>
  <si>
    <t>Балка дополнительного освещения "XK-18w" (LED, белый свет)</t>
  </si>
  <si>
    <t>Балка дополнительного освещения "XK-36w" (LED, белый свет)</t>
  </si>
  <si>
    <t>Балка дополнительного освещения "YS-45W" (круглая, LED, белый свет)</t>
  </si>
  <si>
    <t>Руль "OMP" (вынос 90 мм, замшевый)</t>
  </si>
  <si>
    <t>Повторители боковые (жёлтые) с надписью "GRANTA" для Лада Гранта</t>
  </si>
  <si>
    <t>Светодиодные фары (ДХО, повторитель) для ВАЗ (2101, 2102), Лада (Нива 4х4, Нива 4х4 Урбан), УАЗ (3303, 469, Хантер), Jeep Wrangler</t>
  </si>
  <si>
    <t>Светодиодные фары "Equalizer" (ДХО, линза, повторитель) для ВАЗ (2101, 2102), Лада (Нива 4х4, Нива 4х4 Урбан), УАЗ (3303, 469, Хантер), Jeep Wrangler</t>
  </si>
  <si>
    <t>Светодиодные фары (ДХО, линза, повторитель) для ВАЗ (2101,2102), Лада (Нива 4х4, Нива 4х4 Урбан), УАЗ (3303, 469, Хантер), Jeep Wrangler</t>
  </si>
  <si>
    <t>Светодиодные фары "The Skull of Death" (ДХО, линза, повторитель) для ВАЗ (2101,2102), Лада (Нива 4х4, Нива 4х4 Урбан), УАЗ (3303, 469, Хантер), Jeep Wrangler</t>
  </si>
  <si>
    <t>Светодиодные фары "BOSS" (ДХО, линза, повторитель) для ВАЗ (2101,2102), Лада (Нива 4х4, Нива 4х4 Урбан), УАЗ (3303, 469, Хантер), Jeep Wrangler</t>
  </si>
  <si>
    <t>Противотуманные фары (LED, 2-х режимные) для Лада (Нива 4х4, Нива 4х4 Урбан, Гранта FL, Веста, XRAY), Renault (Duster, Kaptur, Logan, Sandero)</t>
  </si>
  <si>
    <t>Светодиодные противотуманные фары (5 полос, 2 режима) для ВАЗ 2110-2112, 2113-2115</t>
  </si>
  <si>
    <t>Противотуманные фары светодиодные (LED) с ангельскими глазками + повторитель для Лада Калина, Калина 2, Гранта, Ларгус</t>
  </si>
  <si>
    <t>Диодные ПТФ "5 линз" 60w для Лада (Нива 4х4, Нива 4х4 Урбан, Гранта FL, Веста, XRAY), Renault (Duster, Kaptur, Logan, Sandero)</t>
  </si>
  <si>
    <t>Светодиодные противотуманные фары (5 полос, 60W) для ВАЗ (2110-2112, 2113-2115), Шевроле Нива (до рестайлинга)</t>
  </si>
  <si>
    <t>Руль "F-1" CANADA черный, экокожа 90 мм универсальный</t>
  </si>
  <si>
    <t>Диодные ПТФ двухцветные (50w, бело-синий 6000К, жёлтый 3000К) для Лада (Гранта FL, Лада Веста, XRAY, Нива Урбан), Renault (Duster, Fluence, Kaptur, Koleos, Logan, Sandero)</t>
  </si>
  <si>
    <t>Противотуманные фары 4 линзы LED (алюминиевый корпус, двухцветные белый и желтый) для ВАЗ 2110-2112, 2113-2115</t>
  </si>
  <si>
    <t>Руль "RETRO.SL" чёрная экокожа, с вставками под дерево</t>
  </si>
  <si>
    <t>Противотуманные фары с линзой для Лада (Гранта FL, Нива 4х4 Урбан, Веста, XRAY), Renault, Suzuki, Citroen, Ford, Honda, Mitsubishi, Mazda, Nissan</t>
  </si>
  <si>
    <t>Задние фонари "Орлиный Глаз" тонированные для ВАЗ 2105, 2107</t>
  </si>
  <si>
    <t>Задние фонари "Орлиный Глаз" прозрачные для ВАЗ 2105, 2107</t>
  </si>
  <si>
    <t>Повторители боковые с надписью PRIORA (жёлтая подсветка) для Лада Приора, Приора 2</t>
  </si>
  <si>
    <t>Ходовые огни 36 LED, 12V, 180 мм, белый (гибкий резиновый корпус)</t>
  </si>
  <si>
    <t>Ходовые огни 18 LED, 12V, 192 мм (металлический корпус)</t>
  </si>
  <si>
    <t>Задние светодиодные фонари тонированные в стиле Range Rover v2 для Лада Нива 4x4, Нива 4х4 Урбан</t>
  </si>
  <si>
    <t>Задние светодиодные фонари в стиле Range Rover v2 для Лада Нива 4x4, Нива 4х4 Урбан</t>
  </si>
  <si>
    <t>Ходовые огни диодные (8 диодов)</t>
  </si>
  <si>
    <t>0018л</t>
  </si>
  <si>
    <t>Задние фонари "Орлиный Глаз" для ВАЗ 2108-21099, 2113, 2114</t>
  </si>
  <si>
    <t>417G</t>
  </si>
  <si>
    <t>Руль R1 спортивный для ВАЗ, замша</t>
  </si>
  <si>
    <t>5174 Замша</t>
  </si>
  <si>
    <t>Руль "MOMO" (вынос 90 мм, экокожа)</t>
  </si>
  <si>
    <t>FR-8903 PVC YLW</t>
  </si>
  <si>
    <t>Розница</t>
  </si>
  <si>
    <t>Закуп</t>
  </si>
  <si>
    <t>Повторители с надписью "URBAN" (диодные, белые) для Лада Нива 4х4</t>
  </si>
  <si>
    <t>Комплект вспышек ФСО 48W "тонкие" (16 светодиодов по 3 ВТ)</t>
  </si>
  <si>
    <t>HP-BD7-01</t>
  </si>
  <si>
    <t>Повторители с надписью "URBAN" (диодные, жёлтые) для Лада Нива 4х4</t>
  </si>
  <si>
    <t>HP-BD6-02</t>
  </si>
  <si>
    <t>Светодиодные лампы с линзой Y6D (120W, 6500K, цоколь H4) для ВАЗ (2101-2107, 2108-21099, 2113, 2114), Лада (Нива 4x4, Гранта, Ларгус)</t>
  </si>
  <si>
    <t>Светодиодные лампы Y10 LED H4 для ВАЗ (2101-2107, 2108-21099, 2113, 2114), Лада (Нива 4x4, Гранта, Ларгус)</t>
  </si>
  <si>
    <t>Декоративные накладки "Жабры" на кузов автомобиля (серебро)</t>
  </si>
  <si>
    <t>LED (диодные) подфарники "С-желтые" c ДХО и бегающим повторителем для Лада Нива 4x4, Нива 4х4 Урбан</t>
  </si>
  <si>
    <t>Светодиодные противотуманные фары (2 полосы, линза + ДХО, 50W) для ВАЗ 2110-2112, 2113-2115, Шевроле Нива (до рестайлинга)</t>
  </si>
  <si>
    <t>Тюнинг фары в стиле Audi для Лада Гранта FL</t>
  </si>
  <si>
    <t>Комплект задние фонари и дополнительный стоп-сигнал с надписью NIVA (габариты+повторитель) для Лада Нива 4х4</t>
  </si>
  <si>
    <t>Комплект задние фонари и дополнительный стоп-сигнал в стиле K5 (габариты+повторитель) для Лада Нива 4х4</t>
  </si>
  <si>
    <t>Балка дополнительного освещения "GR-48SMD" (LED)</t>
  </si>
  <si>
    <t>Балка дополнительного освещения "HP-GZD-021-24" (LED, жёлтый свет)</t>
  </si>
  <si>
    <t>Балка дополнительного освещения "48S mini flash" (LED)</t>
  </si>
  <si>
    <t>Балка дополнительного освещения "42R mini WWF" (LED)</t>
  </si>
  <si>
    <t>Балка дополнительного освещения "42R mini" (LED, белый свет)</t>
  </si>
  <si>
    <t>Балка дополнительного освещения "48S mini" (LED)</t>
  </si>
  <si>
    <t>Балка дополнительного освещения "27R mini" (LED)</t>
  </si>
  <si>
    <t>Балка дополнительного освещения "27S mini" (LED)</t>
  </si>
  <si>
    <t>Балка дополнительного освещения "327R" (LED, комбинированный свет, круг)</t>
  </si>
  <si>
    <t>LED повторители поворотника (надпись "SE", чёрные, оранжевые, с разъемом) для ВАЗ (2108-21099, 2110-2112, 2113-2115), Лада (Калина, Калина 2, Приора, Приора 2, Гранта, Гранта FL)</t>
  </si>
  <si>
    <t>Балки дополнительного освещения "YS-54" (LED, белый свет)</t>
  </si>
  <si>
    <t>Балки дополнительного освещения "10S" (LED, белый свет)</t>
  </si>
  <si>
    <t>Балки дополнительного освещения "10R" (LED, белый свет)</t>
  </si>
  <si>
    <t>Балки дополнительного освещения (высокая яркость)</t>
  </si>
  <si>
    <t>LED (диодные, тонированные) подфарники c бегающим повторителем для Лада Нива 4х4</t>
  </si>
  <si>
    <t>Светодиодные противотуманные фары (4 полосы, 40W) для ВАЗ (2110-2112, 2113-2115), Шевроле Нива (до рестайлинга)</t>
  </si>
  <si>
    <t>Повторители поворота полосы белые PN-4 для Лада Нива 4х4</t>
  </si>
  <si>
    <t>Светодиодные фары 90W, хром (ДХО, повторитель, с Bluetooth регулировкой цвета габаритов) для ВАЗ (2101, 2102), Лада (Нива 4х4, Нива 4х4 Урбан), УАЗ (3303, 469, Хантер), Jeep Wrangler</t>
  </si>
  <si>
    <t>Светодиодные фары 60W, чёрные, с Х-образным рисунком (ДХО, повторитель) для ВАЗ (2101,2102), Лада (Нива 4х4, Нива 4х4 Урбан), УАЗ (3303, 469, Хантер), Jeep Wrangler</t>
  </si>
  <si>
    <t>Светодиодные фары 60W, чёрные, V-образным рисунком (ДХО, повторитель) для ВАЗ (2101, 2102), Лада (Нива 4х4, Нива 4х4 Урбан), УАЗ (3303, 469, Хантер), Jeep Wrangler</t>
  </si>
  <si>
    <t>Светодиодные фары 60W, 7 дюймов, чёрные, с рисунком мишени (ДХО, повторитель) для ВАЗ (2101,2102), Лада (Нива 4х4, Нива 4х4 Урбан), УАЗ (3303, 469, Хантер), Jeep Wrangler</t>
  </si>
  <si>
    <t>Светодиодные фары 60W, 7 дюймов, чёрные (ДХО, повторитель) для ВАЗ (2101,2102), Лада (Нива 4х4, Нива 4х4 Урбан), УАЗ (3303, 469, Хантер), Jeep Wrangler</t>
  </si>
  <si>
    <t>Боковые зеркала "Питер", чёрные для ВАЗ 2110-2112</t>
  </si>
  <si>
    <t>Боковые зеркала "Питер", снежка для ВАЗ 2110-2112</t>
  </si>
  <si>
    <t>Повторители поворота боковые с гербом желтая подсветка для ВАЗ (2108-21099, 2110-2112, 2113-2115), Лада (Калина, Приора, Приора 2, Гранта)</t>
  </si>
  <si>
    <t>Повторители поворота боковые с гербом белая подсветка для автомобилей ВАЗ (2108-21099, 2110-2112, 2113-2115), Лада (Калина, Приора, Приора 2, Гранта)</t>
  </si>
  <si>
    <t>Фонари LED "Британия" красные для Лада Нива 4х4</t>
  </si>
  <si>
    <t>Фонари LED "Британия" чёрные для Лада Нива 4х4</t>
  </si>
  <si>
    <t>Накладка (сабля) заднего номера "LADA NIVA 4x4" с красной подсветкой для Лада Нива 4x4</t>
  </si>
  <si>
    <t>Накладка (сабля) заднего номера "LADA NIVA 4x4" с белой подсветкой для Лада Нива 4x4</t>
  </si>
  <si>
    <t>Светодиодные фары 90W, чёрные, с LED кольцом (ДХО, повторитель) для ВАЗ (2101, 2102), Лада (Нива 4х4, Нива 4х4 Урбан), УАЗ (3303, 469, Хантер), Jeep Wrangler</t>
  </si>
  <si>
    <t>Светодиодные фары 90W, чёрные (ДХО, повторитель) для ВАЗ (2101, 2102), Лада (Нива 4х4, Нива 4х4 Урбан), УАЗ (3303, 469, Хантер), Jeep Wrangler</t>
  </si>
  <si>
    <t>Светодиодные фары 96W, чёрные, с LED кольцом (ДХО, повторитель) для ВАЗ (2101, 2102), Лада (Нива 4х4, Нива 4х4 Урбан), УАЗ (3303, 469, Хантер), Jeep Wrangler</t>
  </si>
  <si>
    <t>Светодиодные фары 130W, чёрные (13 диодов, 2 полосы, ДХО, повторитель) для ВАЗ (2101, 2102), Лада (Нива 4х4, Нива 4х4 Урбан), УАЗ (3303, 469, Хантер), Jeep Wrangler</t>
  </si>
  <si>
    <t>Светодиодные фары 96W, чёрные (ДХО, повторитель) для ВАЗ (2101, 2102), Лада (Нива 4х4, Нива 4х4 Урбан), УАЗ (3303, 469, Хантер), Jeep Wrangler</t>
  </si>
  <si>
    <t>Светодиодные фары 90W, чёрные, с кольцом (ДХО, повторитель) для ВАЗ (2101, 2102), Лада (Нива 4х4, Нива 4х4 Урбан), УАЗ (3303, 469, Хантер), Jeep Wrangler</t>
  </si>
  <si>
    <t>Светодиодные фары 80W, чёрные (ДХО, повторитель) для ВАЗ (2101, 2102), Лада (Нива 4х4, Нива 4х4 Урбан), УАЗ (3303, 469, Хантер), Jeep Wrangler</t>
  </si>
  <si>
    <t>Светодиодные фары 80W, чёрные, с кольцом (ДХО, повторитель) для ВАЗ (2101, 2102), Лада (Нива 4х4, Нива 4х4 Урбан), УАЗ (3303, 469, Хантер), Jeep Wrangler</t>
  </si>
  <si>
    <t>Светодиодные фары 90W, чёрные, с диодным кольцом (ДХО, повторитель) для ВАЗ (2101, 2102), Лада (Нива 4х4, Нива 4х4 Урбан), УАЗ (3303, 469, Хантер), Jeep Wrangler</t>
  </si>
  <si>
    <t>Светодиодные фары 90W, 7 дюймов, чёрные HP-HLD-008 (с повторителем поворота и ДХО) для ВАЗ (2101, 2102), Лада (Нива 4x4, Урбан), УАЗ, Jeep Wrangler</t>
  </si>
  <si>
    <t>Фары светодиодные "Звёзды" 75W (ДХО, повторитель) для ВАЗ (2101, 2102), Лада (Нива 4х4, Нива 4х4 Урбан), УАЗ (3303, 469, Хантер), Jeep Wrangler</t>
  </si>
  <si>
    <t>Фары чёрные с ДХО и поворотниками в стиле Лексус для Лада Приора</t>
  </si>
  <si>
    <t>Задние фонари светодиодные (хром) для Лада Приора, Приора 2</t>
  </si>
  <si>
    <t>Задние светодиодные фонари тонированные "Range Rover" для Лада Нива 4x4</t>
  </si>
  <si>
    <t>Задние светодиодные фонари "Range Rover" красные для Лада Нива 4x4</t>
  </si>
  <si>
    <t>Боковые зеркала "R1" (белые) универсальные</t>
  </si>
  <si>
    <t>LED диодные (2 полосы белые) повторители поворота "PN-6" для Лада Нива 4х4</t>
  </si>
  <si>
    <t>Светодиодные фары с Bluetooth 7, черные (ДХО, повторитель) для ВАЗ (2101, 2102), Лада (Нива 4х4, Нива 4х4 Урбан), УАЗ (3303, 469, Хантер), Jeep Wrangler</t>
  </si>
  <si>
    <t>Задние светодиодные фонари 2110-В для ВАЗ 2110</t>
  </si>
  <si>
    <t>Задние светодиодные фонари 2110-А для ВАЗ 2110</t>
  </si>
  <si>
    <t>LED (NIVA белые) повторители поворота для Лада Нива 4х4</t>
  </si>
  <si>
    <t>LED (диодные квадраты с полосой) повторители поворота "PN-1" для Лада Нива 4х4</t>
  </si>
  <si>
    <t>LED (диодные квадраты) повторители поворота для Лада Нива 4х4</t>
  </si>
  <si>
    <t>LED "DLAA" оригинальные (диодные "LEXUS") подфарники с дневными ходовыми огнями тёмный хром, для Лада Нива 4х4</t>
  </si>
  <si>
    <t>LED "DLAA" оригинальные (диодные) подфарники с дневными ходовыми огнями тёмный хром для Лада Нива 4х4</t>
  </si>
  <si>
    <t>Задние фонари с диодными секциями для Лада Нива 4х4</t>
  </si>
  <si>
    <t>Рамки противотуманных фар с диодными ДХО (матовые) для Лада Калина 2</t>
  </si>
  <si>
    <t>Светодиодные лампы "LED" Light G5 с вентилятором охлаждения (пара, H1, 6000К)</t>
  </si>
  <si>
    <t>LED (диодные белые 3 полосы) повторители поворота для Лада Нива 4х4</t>
  </si>
  <si>
    <t>LED "PN-7" (диодные) повторители поворота для Лада Нива 4х4</t>
  </si>
  <si>
    <t>Дальний свет "Люкс" для Лада Нива 4х4</t>
  </si>
  <si>
    <t>Штатные тюнингованные фары с линзой и ДХО, хром для Лада Калина 2</t>
  </si>
  <si>
    <t>Штатные фары тюнингованные с линзой и ДХО для Лада Калина 2</t>
  </si>
  <si>
    <t>Противотуманные фары ZTF-139 "под Киржач" для Лада Приора, Шевроле Нива</t>
  </si>
  <si>
    <t>Противотуманные фары LD-162 для ВАЗ 2110-2112</t>
  </si>
  <si>
    <t>Противотуманные фары (ПТФ) LD-345 (хром) для ВАЗ 2110-2112, 2113-2115</t>
  </si>
  <si>
    <t>Противотуманные фары (ПТФ) LD-088 (хром) для ВАЗ 2110-2112, 2113-2115</t>
  </si>
  <si>
    <t>Передние фары хромированные с ангельскими глазками для ВАЗ 2113-2115</t>
  </si>
  <si>
    <t>Боковые зеркала "Питер" белые, с антибликом для ВАЗ 2108-21099, 2113-2115</t>
  </si>
  <si>
    <t>Боковые зеркала "Питер" снежка, с антибликом для ВАЗ 2108-21099, 2113-215</t>
  </si>
  <si>
    <t>Боковые зеркала "Питер" YH-3388 чёрные, с голубым антибликом для ВАЗ 2108-21099, 2113-2115</t>
  </si>
  <si>
    <t>Ангельские глазки белые (d 120 мм) на автомобили ВАЗ и Лада</t>
  </si>
  <si>
    <t>Ангельские глазки белые (d 100 мм) на автомобили ВАЗ и Лада</t>
  </si>
  <si>
    <t>Ангельские глазки белые (d 110 мм) на автомобили ВАЗ и Лада</t>
  </si>
  <si>
    <t>Задние фонари с кольцами тонированные для ВАЗ 2105, 2107</t>
  </si>
  <si>
    <t>Установочный комплект "Vizant" биксеноновых линз с ангельскими глазками в передние фары, универсальные</t>
  </si>
  <si>
    <t>Задние фонари "XX" светодиодные для ВАЗ 2105, 2107</t>
  </si>
  <si>
    <t>Боковые зеркала 3250 механические (белые) для ВАЗ 2104, 2105, 2107</t>
  </si>
  <si>
    <t>Набор автоинструмента 76PCS «AEROFORCE»</t>
  </si>
  <si>
    <t>Набор автоинструмента 84PCS «AEROFORCE»</t>
  </si>
  <si>
    <t>Боковые зеркала "3381+набор подключения" с электроприводом, обогревом и антибликом для ВАЗ 2108-21099</t>
  </si>
  <si>
    <t>Универсальная ПТФ PT326HID (ксенон, D-20)</t>
  </si>
  <si>
    <t>Универсальная ПТФ PT326H3 (D-20)</t>
  </si>
  <si>
    <t>Универсальная ПТФ PT 324 HID (ксенон) d-14см</t>
  </si>
  <si>
    <t>Универсальная ПТФ PT324H3 (D-14)</t>
  </si>
  <si>
    <t>Универсальная ПТФ PT298HID (ксенон, D-14)</t>
  </si>
  <si>
    <t>Универсальная ПТФ PT298H3 (D-14)</t>
  </si>
  <si>
    <t>Боковые зеркала «3301» чёрные для ВАЗ 2108-21099, 2113-2115</t>
  </si>
  <si>
    <t>Боковые зеркала "Питер" карбон для ВАЗ 2108-21099, 2113-2115</t>
  </si>
  <si>
    <t>Боковые зеркала "Питер" хром для ВАЗ 2108-21099, 2113-2115</t>
  </si>
  <si>
    <t>Боковые зеркала "Питер" чёрные для ВАЗ 2108-21099, 2113-2115</t>
  </si>
  <si>
    <t>Боковые зеркала "Волна" хром для ВАЗ 2108-21099, 2113-2115</t>
  </si>
  <si>
    <t>Боковые зеркала "Волна" чёрные c повторителями для ВАЗ 2108-21099, 2113-2115</t>
  </si>
  <si>
    <t>Боковые зеркала "Волна" чёрные для ВАЗ 2108-21099, 2113-2115</t>
  </si>
  <si>
    <t>Боковые зеркала (3286) карбон с повторителем для ВАЗ 2108-21099, 2113-2115</t>
  </si>
  <si>
    <t>Боковые зеркала (3286) хром с повторителем для ВАЗ 2108-21099, 2113-2115</t>
  </si>
  <si>
    <t>Боковые зеркала 3250 чёрные для ВАЗ 2104, 2105, 2107</t>
  </si>
  <si>
    <t>Боковые зеркала "Питер" механические (белые) для ВАЗ 2104, 2105, 2107</t>
  </si>
  <si>
    <t>Боковые зеркала "Питер" механические (чёрные) для ВАЗ 2104, 2105, 2107</t>
  </si>
  <si>
    <t>Боковые зеркала "Питер" механические (хром) для ВАЗ 2104, 2105, 2107</t>
  </si>
  <si>
    <t>Боковые зеркала "Питер" механические (карбон) для ВАЗ 2104, 2105, 2107</t>
  </si>
  <si>
    <t>Боковые зеркала "Волна" механические (белые) для ВАЗ 2104, 2105, 2107</t>
  </si>
  <si>
    <t>Боковые зеркала "Волна" механические (белые, с повторителем) для ВАЗ 2104, 2105, 2107</t>
  </si>
  <si>
    <t>Боковые зеркала "Волна" механические (чёрные) для ВАЗ 2104, 2105, 2107</t>
  </si>
  <si>
    <t>Боковые зеркала "Волна" механические, с повторителем (черные) для ВАЗ 2104, 2105, 2107</t>
  </si>
  <si>
    <t>Боковые зеркала "Волна" механические, с повторителем (хром) для ВАЗ 2104, 2105, 2107</t>
  </si>
  <si>
    <t>Боковые зеркала "Волна" механические (хром) для ВАЗ 2104, 2105, 2107</t>
  </si>
  <si>
    <t>Универсальный звуковой сигнал MrHorn MR-80-003</t>
  </si>
  <si>
    <t>Боковые зеркала "F2" (карбон) универсальные</t>
  </si>
  <si>
    <t>Боковые зеркала "F2" (белые) универсальные</t>
  </si>
  <si>
    <t>Боковые зеркала "F1" (хром) универсальные</t>
  </si>
  <si>
    <t>Задние фонари (красные, хрусталь) для Лада Нива 4х4</t>
  </si>
  <si>
    <t>Задние фонари (черные) для Лада Нива 4х4</t>
  </si>
  <si>
    <t>Фары с ДХО (хром) для ВАЗ (2101,2102), Лада Нива 4х4</t>
  </si>
  <si>
    <t>Задние фонари светодиодные, тонированные для ВАЗ 2106</t>
  </si>
  <si>
    <t>Задние фонари с серой полосой для ВАЗ 2106</t>
  </si>
  <si>
    <t>Светодиодные фары передние с ангельскими глазками (хром) для ВАЗ 2104, 2105, 2107</t>
  </si>
  <si>
    <t>Передние фары с ангельскими глазками (черные) для ВАЗ 2104, 2105, 2107</t>
  </si>
  <si>
    <t>Передние фары с ДХО черные для ВАЗ 2104, 2105, 2107</t>
  </si>
  <si>
    <t>Передние фары с ДХО хром для ВАЗ 2104, 2105, 2107</t>
  </si>
  <si>
    <t>Передние фары с ангельскими глазками (хром) для ВАЗ 2104, 2105, 2107</t>
  </si>
  <si>
    <t>Светодиодные фары передние с ангельскими глазками (черные) для ВАЗ 2104, 2105, 2107</t>
  </si>
  <si>
    <t>Задние фонари светодиодные (хром) для ВАЗ 2105, 2107</t>
  </si>
  <si>
    <t>Задние фонари светодиодные (тонированные) для ВАЗ 2105, 2107</t>
  </si>
  <si>
    <t>Передние фары (хром) с ангельскими глазками для ВАЗ 2113-2115</t>
  </si>
  <si>
    <t>Передние фары (чёрные) с ангельскими глазками для ВАЗ 2113-2115</t>
  </si>
  <si>
    <t>Передние фары с ДХО, хром для ВАЗ 2108-21099</t>
  </si>
  <si>
    <t>Передние фары с ДХО черные для ВАЗ 2108-21099</t>
  </si>
  <si>
    <t>Передние фары с ангельскими глазками, хром для ВАЗ 2108-21099</t>
  </si>
  <si>
    <t>Передние фары с ангельскими глазками, чёрные для ВАЗ 2108-21099</t>
  </si>
  <si>
    <t>Задние фонари "Techno" светодиодные (хром) для Лада Приора, Приора 2</t>
  </si>
  <si>
    <t>Задние фонари "Infiniti" светодиодные (чёрные) для Лада Приора, Приора 2</t>
  </si>
  <si>
    <t>Задние фонари светодиодные (тонированный хром) для Лада Приора, Приора 2</t>
  </si>
  <si>
    <t>Фары с ДХО (хром) для Лада Приора</t>
  </si>
  <si>
    <t>Фары со встроенными ДХО (хром) для Лада Приора</t>
  </si>
  <si>
    <t>Светодиодные задние фонари (тонированные) для Лада Приора, Приора 2</t>
  </si>
  <si>
    <t>Светодиодные фонари (красные) для Лада Приора</t>
  </si>
  <si>
    <t>Штатные тюнингованные фонари (красные) для Лада Приора</t>
  </si>
  <si>
    <t>Штатные тюнингованные фонари (тонированные) для Лада Приора</t>
  </si>
  <si>
    <t>Фары передние чёрные с очками хром (линза, ДХО, поворотник в стиле LEXUS) для Лада Приора</t>
  </si>
  <si>
    <t>Рамки противотуманных фар с диодными ДХО для Лада Калина 2</t>
  </si>
  <si>
    <t>Противотуманные фары (ПТФ) LD-345 для ВАЗ 2110-2112, 2113-2115</t>
  </si>
  <si>
    <t>Противотуманные фары (ПТФ) LD-094 для ВАЗ 2110-2112, 2113-2115</t>
  </si>
  <si>
    <t>Противотуманные фары (ПТФ) DLA-091L для ВАЗ 2110-2112, 2113-2115</t>
  </si>
  <si>
    <t>Противотуманные фары (ПТФ) LA-519DB W для ВАЗ 2110-2112, 2113-2115</t>
  </si>
  <si>
    <t>Противотуманные фары KS-518 Y для Шевроле Нива</t>
  </si>
  <si>
    <t>Противотуманные фары CV-084B W для Шевроле Нива</t>
  </si>
  <si>
    <t>Противотуманные фары (ПТФ) ZFT162A для ВАЗ 2110-2112, 2113-2115</t>
  </si>
  <si>
    <t>Противотуманные фары (ПТФ) LD-088 для ВАЗ 2110-2112, 2113-2115</t>
  </si>
  <si>
    <t>Противотуманные фары диодные, с рамками для Лада Калина</t>
  </si>
  <si>
    <t>Противотуманные фары, с рамками для Лада Калина</t>
  </si>
  <si>
    <t>Противотуманные фары с линзами, с рамками для Лада Калина</t>
  </si>
  <si>
    <t>Разн</t>
  </si>
  <si>
    <t>Рек</t>
  </si>
  <si>
    <t>Факт</t>
  </si>
  <si>
    <t>Наименование</t>
  </si>
  <si>
    <t>Анонс</t>
  </si>
  <si>
    <t>6</t>
  </si>
  <si>
    <t>Противотуманные фары диодные с ДХО для Лада Приора 2</t>
  </si>
  <si>
    <t>Противотуманные фары диодные 093L "под Киржач" для Лада Приора, Шевроле Нива</t>
  </si>
  <si>
    <t>093L</t>
  </si>
  <si>
    <t>LD-271</t>
  </si>
  <si>
    <t>LD-089</t>
  </si>
  <si>
    <t>LD-089L</t>
  </si>
  <si>
    <t>Противотуманные фары для Лада Приора, Шевроле Нива</t>
  </si>
  <si>
    <t>LD-093</t>
  </si>
  <si>
    <t>092W</t>
  </si>
  <si>
    <t>LD-092</t>
  </si>
  <si>
    <t>5155</t>
  </si>
  <si>
    <t>4156К+PVC (черный)</t>
  </si>
  <si>
    <t>4156Н+PVC (хром)</t>
  </si>
  <si>
    <t>8903R</t>
  </si>
  <si>
    <t>Рамки противотуманных фар с ДХО -1 для Лада Ларгус</t>
  </si>
  <si>
    <t>Рамки противотуманных фар с ДХО -2 для Лада Ларгус</t>
  </si>
  <si>
    <t>Рамки противотуманных фар с ДХО -3 для Лада Ларгус</t>
  </si>
  <si>
    <t>Рамки противотуманных фар с ДХО -4 для Лада Ларгус</t>
  </si>
  <si>
    <t>Рамки противотуманных фар с дневными ходовыми огнями для Лада Ларгус</t>
  </si>
  <si>
    <t>LG1111</t>
  </si>
  <si>
    <t>Рамки противотуманных фар с ДХО для Лада Ларгус</t>
  </si>
  <si>
    <t>Тюнинг фары с ДХО (хром) для Лада Гранта</t>
  </si>
  <si>
    <t>Тюнинг фары с ДХО (чёрные) для Лада Гранта</t>
  </si>
  <si>
    <t>Тюнинг фары (чёрные) для Лада Гранта</t>
  </si>
  <si>
    <t>Тюнинг задние фонари диодные (красно-белые) для Лада Гранта (седан)</t>
  </si>
  <si>
    <t>Тюнинг задние фонари диодные (красно-серые) для Лада Гранта (седан)</t>
  </si>
  <si>
    <t>415 Led с/б</t>
  </si>
  <si>
    <t>0013G</t>
  </si>
  <si>
    <t>0013L</t>
  </si>
  <si>
    <t>419G</t>
  </si>
  <si>
    <t>0013H</t>
  </si>
  <si>
    <t>416G</t>
  </si>
  <si>
    <t>HY-200</t>
  </si>
  <si>
    <t>0013D</t>
  </si>
  <si>
    <t>418G</t>
  </si>
  <si>
    <t>HL-CV407</t>
  </si>
  <si>
    <t>801</t>
  </si>
  <si>
    <t>Переходник установки рулевого колеса (руля) для ВАЗ 2108-21099, 2110-2112 С/О, 2113-2115</t>
  </si>
  <si>
    <t>802</t>
  </si>
  <si>
    <t>YH-3386-H-B</t>
  </si>
  <si>
    <t>Боковые зеркала "Волна" хром c повторителем для ВАЗ 2108-21099, 2113-2115</t>
  </si>
  <si>
    <t>Боковые зеркала «3245» белые c повторителем для ВАЗ 2108-21099, 2113-2115</t>
  </si>
  <si>
    <t>Боковые зеркала «3245» (карбон, c повторителем) на ВАЗ 2108-21099, 2113-2115</t>
  </si>
  <si>
    <t>Боковые зеркала «3245» (хром, c повторителем) для ВАЗ 2108-21099, 2113-2115</t>
  </si>
  <si>
    <t>Боковые зеркала «3246» (чёрные, c повторителем) для ВАЗ 2108-21099, 2113-2115</t>
  </si>
  <si>
    <t>Боковые зеркала «3246» карбон c повторителем для ВАЗ 2108-21099, 2113-2115</t>
  </si>
  <si>
    <t>Боковые зеркала «3246» (хром, c повторителем) для ВАЗ 2108-21099, 2113-2115</t>
  </si>
  <si>
    <t>Боковые зеркала механические чёрные для ВАЗ 2108-21099, 2113-2115</t>
  </si>
  <si>
    <t>Боковые зеркала механические (чёрные, с антибликом) на ВАЗ 2108-21099, 2113-2115</t>
  </si>
  <si>
    <t>18W-A дальний</t>
  </si>
  <si>
    <t>18W-C дальний</t>
  </si>
  <si>
    <t>48W-A ближний</t>
  </si>
  <si>
    <t>48W-A дальний</t>
  </si>
  <si>
    <t>017</t>
  </si>
  <si>
    <t>LA8040DW</t>
  </si>
  <si>
    <t>LA8040DRY</t>
  </si>
  <si>
    <t>LA8050RY</t>
  </si>
  <si>
    <t>LA8050W</t>
  </si>
  <si>
    <t>LA8070RY</t>
  </si>
  <si>
    <t>LA8070W</t>
  </si>
  <si>
    <t>LA8080EW</t>
  </si>
  <si>
    <t>LA8080ERY</t>
  </si>
  <si>
    <t>LA8813W</t>
  </si>
  <si>
    <t>LA8813RY</t>
  </si>
  <si>
    <t>LA8815RY</t>
  </si>
  <si>
    <t>LA8829RY</t>
  </si>
  <si>
    <t>LA8829W</t>
  </si>
  <si>
    <t>LA886B-W</t>
  </si>
  <si>
    <t>LA886B-RY</t>
  </si>
  <si>
    <t>LA886E-W</t>
  </si>
  <si>
    <t>LA910W</t>
  </si>
  <si>
    <t>LA910Y</t>
  </si>
  <si>
    <t>LA935</t>
  </si>
  <si>
    <t>LA9833B</t>
  </si>
  <si>
    <t>LA9834BX</t>
  </si>
  <si>
    <t>LA988H-W</t>
  </si>
  <si>
    <t>Универсальная ПТФ "DLAA" LA988H-RY лазер</t>
  </si>
  <si>
    <t>LA988H-RY</t>
  </si>
  <si>
    <t>LA9888E</t>
  </si>
  <si>
    <t>LA990B-RY</t>
  </si>
  <si>
    <t>LA990B-W</t>
  </si>
  <si>
    <t>LA990E-RY</t>
  </si>
  <si>
    <t>LA992RY</t>
  </si>
  <si>
    <t>LA992W</t>
  </si>
  <si>
    <t>LA994W</t>
  </si>
  <si>
    <t>LA994RY</t>
  </si>
  <si>
    <t>LA994Y</t>
  </si>
  <si>
    <t>LA996W</t>
  </si>
  <si>
    <t>LA 996 RY</t>
  </si>
  <si>
    <t>PL99RY</t>
  </si>
  <si>
    <t>PL99W</t>
  </si>
  <si>
    <t>PT298H3</t>
  </si>
  <si>
    <t>PT298HID</t>
  </si>
  <si>
    <t>PT 299W</t>
  </si>
  <si>
    <t>PT324H3</t>
  </si>
  <si>
    <t>PT 324 HID</t>
  </si>
  <si>
    <t>PT326H3</t>
  </si>
  <si>
    <t>PT326HID</t>
  </si>
  <si>
    <t>YH-2321W</t>
  </si>
  <si>
    <t>TY-2027W</t>
  </si>
  <si>
    <t>TY-2029W</t>
  </si>
  <si>
    <t>YH-2029RY</t>
  </si>
  <si>
    <t>Накладки на педали (синие)</t>
  </si>
  <si>
    <t>1041c</t>
  </si>
  <si>
    <t>Накладки на педали "Снежка"</t>
  </si>
  <si>
    <t>1041C</t>
  </si>
  <si>
    <t>Накладки на педали (красные)</t>
  </si>
  <si>
    <t>1045</t>
  </si>
  <si>
    <t>Накладки на педали (черные)</t>
  </si>
  <si>
    <t>PT-1041</t>
  </si>
  <si>
    <t>Подсветка салона (с кнопкой)</t>
  </si>
  <si>
    <t>A-10</t>
  </si>
  <si>
    <t>3381</t>
  </si>
  <si>
    <t>Боковые зеркала (чёрные, с обогревом, электропривод, антиблик) для ВАЗ 2108-21099, 2113-2115</t>
  </si>
  <si>
    <t>Противотуманные фары "Линза" под бампер нового образца для Лада Гранта</t>
  </si>
  <si>
    <t>TF1404H</t>
  </si>
  <si>
    <t>Противотуманные фары HY-174EY для ВАЗ 2110-2112</t>
  </si>
  <si>
    <t>Противотуманные фары LD-327 "под BOSCH" для Лада Приора, Шевроле Нива</t>
  </si>
  <si>
    <t>LD-327</t>
  </si>
  <si>
    <t>ZTF-139</t>
  </si>
  <si>
    <t>HL-CV407B</t>
  </si>
  <si>
    <t>Подлокотник-бокс для ВАЗ 2108-21099</t>
  </si>
  <si>
    <t>HP-BD8-01</t>
  </si>
  <si>
    <t>Руль "RTech MOMO" анатомической формы для ВАЗ "13 звезда"</t>
  </si>
  <si>
    <t>PL-1762</t>
  </si>
  <si>
    <t>Противотуманные фары (ПТФ) DLAA для ВАЗ 2110-2112, 2113-2115</t>
  </si>
  <si>
    <t>519 DBW</t>
  </si>
  <si>
    <t>PL-1762B</t>
  </si>
  <si>
    <t>Противотуманные фары RN 998 LED для Лада (Гранта FL, Нива 4x4 Урбан, Веста, XRAY), Renault</t>
  </si>
  <si>
    <t>RN 998 LED</t>
  </si>
  <si>
    <t>Противотуманные фары RN 699 для Лада (Гранта FL, Веста, XRAY), Renault</t>
  </si>
  <si>
    <t>RN 699</t>
  </si>
  <si>
    <t>Q900</t>
  </si>
  <si>
    <t>LED (диодные) подфарники с дневными ходовыми огнями и бегающим поворотником для Лада Нива 4х4</t>
  </si>
  <si>
    <t>Рамки противотуманных фар "Линза" под бампер нового образца для Лада Гранта</t>
  </si>
  <si>
    <t>351G</t>
  </si>
  <si>
    <t>Повторители с надписью "NIVA"  PN-3 (диодные, белая подсветка) для Лада Нива 4х4, Нива 4х4 Урбан</t>
  </si>
  <si>
    <t>NV-300</t>
  </si>
  <si>
    <t>Боковые зеркала (аналог) с электроприводом, обогревом и повторителем для Лада Веста</t>
  </si>
  <si>
    <t>YH-3526A-E-B-H</t>
  </si>
  <si>
    <t>Светодиодные динамические повторители поворота (в стиле Lexus) в зеркала, черные для Лада Веста</t>
  </si>
  <si>
    <t>HP-QCD-030-03</t>
  </si>
  <si>
    <t>YS-54</t>
  </si>
  <si>
    <t>HP-GZD-012 / W-03 / FL48S</t>
  </si>
  <si>
    <t>27W-B (S) дальний</t>
  </si>
  <si>
    <t>HP-HLD-008</t>
  </si>
  <si>
    <t>HP-HLD-009</t>
  </si>
  <si>
    <t>HP-HLD-010</t>
  </si>
  <si>
    <t>HP-HLD-002</t>
  </si>
  <si>
    <t>HP-HLD-003</t>
  </si>
  <si>
    <t>HP-HLD-08-01</t>
  </si>
  <si>
    <t>HP-HLD-007</t>
  </si>
  <si>
    <t>HP-HLD-001</t>
  </si>
  <si>
    <t>HP-HLD-005</t>
  </si>
  <si>
    <t>HP-HLD-012W</t>
  </si>
  <si>
    <t>HP-HLD-19-01</t>
  </si>
  <si>
    <t>359R</t>
  </si>
  <si>
    <t>JR-28-48w</t>
  </si>
  <si>
    <t>20S1</t>
  </si>
  <si>
    <t>HP-HLD-22</t>
  </si>
  <si>
    <t>HP-HLD-23</t>
  </si>
  <si>
    <t>HP-HLD-21</t>
  </si>
  <si>
    <t>HP-HLD-20</t>
  </si>
  <si>
    <t>DDL 007</t>
  </si>
  <si>
    <t>LED (диодные "DLAA") подфарники c бегающим повторителем для Лада Нива 4x4, Урбан</t>
  </si>
  <si>
    <t>PL-2020</t>
  </si>
  <si>
    <t>Комплект диодных противотуманных фар "FG3-A" (3 полосы) для Лада Приора, Шевроле Нива</t>
  </si>
  <si>
    <t>FG3-A</t>
  </si>
  <si>
    <t>HP-BD13-01</t>
  </si>
  <si>
    <t>366G</t>
  </si>
  <si>
    <t>366W</t>
  </si>
  <si>
    <t>PL2022</t>
  </si>
  <si>
    <t>351A G</t>
  </si>
  <si>
    <t>Противотуманные фары (диодная лампа) для Лада Приора 2</t>
  </si>
  <si>
    <t>Диодные LED ПТФ (алюминиевый корпус радиатора) для Лада Приора 2</t>
  </si>
  <si>
    <t>cm4-36</t>
  </si>
  <si>
    <t>327S</t>
  </si>
  <si>
    <t>Балка дополнительного освещения "51R 51W" (черный круг, белый свет, LED)</t>
  </si>
  <si>
    <t>hp-hld-36-01</t>
  </si>
  <si>
    <t>hp-hld-10-01</t>
  </si>
  <si>
    <t>hp-hld-40-01</t>
  </si>
  <si>
    <t>hp-hld-32-01</t>
  </si>
  <si>
    <t>hp-hld-33-01</t>
  </si>
  <si>
    <t>Светодиодные фары (ДХО, повторитель) для ВАЗ (2101,2102), Лада (Нива 4х4, Нива 4х4 Урбан), УАЗ (3303, 469, Хантер), Jeep Wrangler  (hp-hld-31-01)</t>
  </si>
  <si>
    <t>hp-hld-31-01</t>
  </si>
  <si>
    <t>hp-hld-34-01</t>
  </si>
  <si>
    <t>HP-GZD-071-012</t>
  </si>
  <si>
    <t>HP-GZD-050-02</t>
  </si>
  <si>
    <t>Диодные ПТФ 5-диодов 60W для Лада Приора, Шевроле Нива</t>
  </si>
  <si>
    <t>HP-GZD-106 / HP-GZD 11 - 01</t>
  </si>
  <si>
    <t>HD-GZD-071-13</t>
  </si>
  <si>
    <t>HP-GZD-050-05</t>
  </si>
  <si>
    <t>PT-4125-PVC</t>
  </si>
  <si>
    <t>40FD</t>
  </si>
  <si>
    <t>FG3-C</t>
  </si>
  <si>
    <t>PN098 LED</t>
  </si>
  <si>
    <t>451R</t>
  </si>
  <si>
    <t>HP-QCD-025-01</t>
  </si>
  <si>
    <t>HP-QCD-033-01</t>
  </si>
  <si>
    <t>0395</t>
  </si>
  <si>
    <t>PL-2023</t>
  </si>
  <si>
    <t>327R</t>
  </si>
  <si>
    <t>HP-GZD-009/W</t>
  </si>
  <si>
    <t>FL-48S MINI</t>
  </si>
  <si>
    <t>FL-42R MINI</t>
  </si>
  <si>
    <t>FL-42R MINI WWF</t>
  </si>
  <si>
    <t>GR-48SMD</t>
  </si>
  <si>
    <t>ZFT-457RED</t>
  </si>
  <si>
    <t>ZFT-457-5</t>
  </si>
  <si>
    <t>Комплект тонированные задние фонари и дополнительный стоп-сигнал в стиле K5 (габариты+повторитель) для Лада Нива 4х4</t>
  </si>
  <si>
    <t>ZFT-457-GRAY</t>
  </si>
  <si>
    <t>Комплект задние фонари и дополнительный стоп-сигнал Niva, стрелки (габариты+повторитель) для Лада Нива 4х4</t>
  </si>
  <si>
    <t>ZFT-457-2</t>
  </si>
  <si>
    <t>Комплект задние фонари и дополнительный стоп-сигнал Niva, полосы (габариты+повторитель) для Лада Нива 4х4</t>
  </si>
  <si>
    <t>ZFT-457-1</t>
  </si>
  <si>
    <t>Комплект задние фонари и дополнительный стоп-сигнал Niva, пульс (габариты+повторитель) для Лада Нива 4х4</t>
  </si>
  <si>
    <t>ZFT-457-4</t>
  </si>
  <si>
    <t>Задние светодиодные фонари в стиле Mercedes (красные) для Лада Гранта, Гранта FL седан</t>
  </si>
  <si>
    <t>9005</t>
  </si>
  <si>
    <t>9006</t>
  </si>
  <si>
    <t>Диодные подфарники для Лада Нива 4x4, Нива 4x4 Урбан</t>
  </si>
  <si>
    <t>PL 2021</t>
  </si>
  <si>
    <t>Тюнинг фары в стиле Audi для Лада Веста</t>
  </si>
  <si>
    <t>Задние светодиодные фонари в стиле Mercedes, серый хром для Лада Приора, Приора 2</t>
  </si>
  <si>
    <t>Задние светодиодные фонари в стиле Mercedes (серые) для Лада Гранта, Гранта FL седан</t>
  </si>
  <si>
    <t>HP-GZD-313-01</t>
  </si>
  <si>
    <t>Диодные LED ПТФ (линза) с ангельскими глазками для Лада Приора, Шевроле Нива</t>
  </si>
  <si>
    <t>HP-GZD-260-01</t>
  </si>
  <si>
    <t>DH-417WHITE</t>
  </si>
  <si>
    <t>снят</t>
  </si>
  <si>
    <t>Решётка радиатора в стиле G63 AMG для Лада Нива 4х4, Нива Legend (Чёрный глянец)</t>
  </si>
  <si>
    <t>Решётка радиатора в стиле G63 AMG для Лада Нива 4х4, Нива Legend (Хром)</t>
  </si>
  <si>
    <t>Подлокотник-бокс для Лада (Калина 2, Гранта), Датсун (mi-DO, on-DO) (после 2018)</t>
  </si>
  <si>
    <t>Подлокотник-бокс для Лада (Калина 2, Гранта), Датсун (mi-DO, on-DO) (до 2018)</t>
  </si>
  <si>
    <t>Накладки на зеркала в стиле Mercedes для Лада Нива 4х4, Нива 4х4 Урбан (В цвет, Яшма (темно-вишневый, 140))</t>
  </si>
  <si>
    <t>Накладки на зеркала в стиле Mercedes для Лада Нива 4х4, Нива 4х4 Урбан (В цвет, Уточнить у менеджера)</t>
  </si>
  <si>
    <t>Накладки на зеркала в стиле Mercedes для Лада Нива 4х4, Нива 4х4 Урбан (В цвет, Терра (коричневый, 507))</t>
  </si>
  <si>
    <t>Накладки на зеркала в стиле Mercedes для Лада Нива 4х4, Нива 4х4 Урбан (В цвет, Сити (золотисто-коричневый, 231))</t>
  </si>
  <si>
    <t>Накладки на зеркала в стиле Mercedes для Лада Нива 4х4, Нива 4х4 Урбан (В цвет, Пантера (черная база, 672))</t>
  </si>
  <si>
    <t>Накладки на зеркала в стиле Mercedes для Лада Нива 4х4, Нива 4х4 Урбан (В цвет, Океан (темно-синий, 449))</t>
  </si>
  <si>
    <t>Накладки на зеркала в стиле Mercedes для Лада Нива 4х4, Нива 4х4 Урбан (В цвет, Несси (темно-зеленый, 368))</t>
  </si>
  <si>
    <t>Накладки на зеркала в стиле Mercedes для Лада Нива 4х4, Нива 4х4 Урбан (В цвет, Мурена (сине-зеленый, 377))</t>
  </si>
  <si>
    <t>Накладки на зеркала в стиле Mercedes для Лада Нива 4х4, Нива 4х4 Урбан (В цвет, Карма (темно-фиолетовый, 114))</t>
  </si>
  <si>
    <t>Накладки на зеркала в стиле Mercedes для Лада Нива 4х4, Нива 4х4 Урбан (В цвет, Гравилат (оливковый, 306))</t>
  </si>
  <si>
    <t>Накладки на зеркала в стиле Mercedes для Лада Нива 4х4, Нива 4х4 Урбан (В цвет, Борнео (темный серебристо-серый, 633))</t>
  </si>
  <si>
    <t>Накладки на зеркала в стиле Mercedes для Лада Нива 4х4, Нива 4х4 Урбан (В цвет, Бенефис (глубокий темно-фиолетовый, 135))</t>
  </si>
  <si>
    <t>Накладки на зеркала в стиле Mercedes для Лада Нива 4х4, Нива 4х4 Урбан (В цвет, Барокко (малиновый, 172))</t>
  </si>
  <si>
    <t>Накладки на зеркала в стиле Mercedes для Лада Нива 4х4, Нива 4х4 Урбан (В цвет, Балтика (темно-сине-зеленый, 420))</t>
  </si>
  <si>
    <t>Накладки на зеркала в стиле Mercedes для Лада Нива 4х4, Нива 4х4 Урбан (Без покраски)</t>
  </si>
  <si>
    <t>Зеркала "МЕРСЕДЕС" с электрикой и обогревом для Лада Нива 4x4, Нива 4x4 Урбан (В цвет, Яшма (темно-вишневый, 140))</t>
  </si>
  <si>
    <t>Зеркала "МЕРСЕДЕС" с электрикой и обогревом для Лада Нива 4x4, Нива 4x4 Урбан (В цвет, Уточнить у менеджера)</t>
  </si>
  <si>
    <t>Зеркала "МЕРСЕДЕС" с электрикой и обогревом для Лада Нива 4x4, Нива 4x4 Урбан (В цвет, Терра (коричневый, 507))</t>
  </si>
  <si>
    <t>Зеркала "МЕРСЕДЕС" с электрикой и обогревом для Лада Нива 4x4, Нива 4x4 Урбан (В цвет, Сити (золотисто-коричневый, 231))</t>
  </si>
  <si>
    <t>Зеркала "МЕРСЕДЕС" с электрикой и обогревом для Лада Нива 4x4, Нива 4x4 Урбан (В цвет, Пантера (черная база, 672))</t>
  </si>
  <si>
    <t>Зеркала "МЕРСЕДЕС" с электрикой и обогревом для Лада Нива 4x4, Нива 4x4 Урбан (В цвет, Океан (темно-синий, 449))</t>
  </si>
  <si>
    <t>Зеркала "МЕРСЕДЕС" с электрикой и обогревом для Лада Нива 4x4, Нива 4x4 Урбан (В цвет, Несси (темно-зеленый, 368))</t>
  </si>
  <si>
    <t>Зеркала "МЕРСЕДЕС" с электрикой и обогревом для Лада Нива 4x4, Нива 4x4 Урбан (В цвет, Мурена (сине-зеленый, 377))</t>
  </si>
  <si>
    <t>Зеркала "МЕРСЕДЕС" с электрикой и обогревом для Лада Нива 4x4, Нива 4x4 Урбан (В цвет, Карма (темно-фиолетовый, 114))</t>
  </si>
  <si>
    <t>Зеркала "МЕРСЕДЕС" с электрикой и обогревом для Лада Нива 4x4, Нива 4x4 Урбан (В цвет, Гравилат (оливковый, 306))</t>
  </si>
  <si>
    <t>Зеркала "МЕРСЕДЕС" с электрикой и обогревом для Лада Нива 4x4, Нива 4x4 Урбан (В цвет, Борнео (темный серебристо-серый, 633))</t>
  </si>
  <si>
    <t>Зеркала "МЕРСЕДЕС" с электрикой и обогревом для Лада Нива 4x4, Нива 4x4 Урбан (В цвет, Бенефис (глубокий темно-фиолетовый, 135))</t>
  </si>
  <si>
    <t>Зеркала "МЕРСЕДЕС" с электрикой и обогревом для Лада Нива 4x4, Нива 4x4 Урбан (В цвет, Барокко (малиновый, 172))</t>
  </si>
  <si>
    <t>Зеркала "МЕРСЕДЕС" с электрикой и обогревом для Лада Нива 4x4, Нива 4x4 Урбан (В цвет, Балтика (темно-сине-зеленый, 420))</t>
  </si>
  <si>
    <t>Зеркала "МЕРСЕДЕС" с электрикой и обогревом для Лада Нива 4x4, Нива 4x4 Урбан (Без покраски)</t>
  </si>
  <si>
    <t>Зеркала "МЕРСЕДЕС" (механика + повторитель) для Лада Нива 4x4 (В цвет, Яшма (темно-вишневый, 140))</t>
  </si>
  <si>
    <t>Зеркала "МЕРСЕДЕС" (механика + повторитель) для Лада Нива 4x4 (В цвет, Уточнить у менеджера)</t>
  </si>
  <si>
    <t>Зеркала "МЕРСЕДЕС" (механика + повторитель) для Лада Нива 4x4 (В цвет, Терра (коричневый, 507))</t>
  </si>
  <si>
    <t>Зеркала "МЕРСЕДЕС" (механика + повторитель) для Лада Нива 4x4 (В цвет, Сити (золотисто-коричневый, 231))</t>
  </si>
  <si>
    <t>Зеркала "МЕРСЕДЕС" (механика + повторитель) для Лада Нива 4x4 (В цвет, Пантера (черная база, 672))</t>
  </si>
  <si>
    <t>Зеркала "МЕРСЕДЕС" (механика + повторитель) для Лада Нива 4x4 (В цвет, Океан (темно-синий, 449))</t>
  </si>
  <si>
    <t>Зеркала "МЕРСЕДЕС" (механика + повторитель) для Лада Нива 4x4 (В цвет, Несси (темно-зеленый, 368))</t>
  </si>
  <si>
    <t>Зеркала "МЕРСЕДЕС" (механика + повторитель) для Лада Нива 4x4 (В цвет, Мурена (сине-зеленый, 377))</t>
  </si>
  <si>
    <t>Зеркала "МЕРСЕДЕС" (механика + повторитель) для Лада Нива 4x4 (В цвет, Карма (темно-фиолетовый, 114))</t>
  </si>
  <si>
    <t>Зеркала "МЕРСЕДЕС" (механика + повторитель) для Лада Нива 4x4 (В цвет, Гравилат (оливковый, 306))</t>
  </si>
  <si>
    <t>Зеркала "МЕРСЕДЕС" (механика + повторитель) для Лада Нива 4x4 (В цвет, Борнео (темный серебристо-серый, 633))</t>
  </si>
  <si>
    <t>Зеркала "МЕРСЕДЕС" (механика + повторитель) для Лада Нива 4x4 (В цвет, Бенефис (глубокий темно-фиолетовый, 135))</t>
  </si>
  <si>
    <t>Зеркала "МЕРСЕДЕС" (механика + повторитель) для Лада Нива 4x4 (В цвет, Барокко (малиновый, 172))</t>
  </si>
  <si>
    <t>Зеркала "МЕРСЕДЕС" (механика + повторитель) для Лада Нива 4x4 (В цвет, Балтика (темно-сине-зеленый, 420))</t>
  </si>
  <si>
    <t>Зеркала "МЕРСЕДЕС" (механика + повторитель) для Лада Нива 4x4 (Без покраски)</t>
  </si>
  <si>
    <t>Боковые зеркала (3286) в цвет с повторителем для ВАЗ 2108-21099, 2113-2115 (Чёрный)</t>
  </si>
  <si>
    <t>Боковые зеркала (3286) в цвет с повторителем для ВАЗ 2108-21099, 2113-2115 (Белый)</t>
  </si>
  <si>
    <t>https://motorring.ru/product/11869-spoylery-diodom-dvorniki-karbon</t>
  </si>
  <si>
    <t>https://motorring.ru/product/8342-chernye-diodnye-protivotumannye-fary-vaz-2110-2112</t>
  </si>
  <si>
    <t>https://motorring.ru/product/25053-svetodiodnye-podfarniki-plavniye-dho-povtoritel-4x4-niva</t>
  </si>
  <si>
    <t>https://motorring.ru/product/18762-svetodiodnye-fary-chernom-korpuse-90w-dyuymov-povtoritelem</t>
  </si>
  <si>
    <t>https://motorring.ru/product/25915-zadnie-chernye-svetodiodnye-fonari-polosy-begayuschim</t>
  </si>
  <si>
    <t>https://motorring.ru/product/260</t>
  </si>
  <si>
    <t>https://motorring.ru/product/8283-diodnaya-balka-pl-3107-300w-100-3vt</t>
  </si>
  <si>
    <t>https://motorring.ru/product/34249-zadnie-svetodiodnye-fonari-tonirovannye-stile-range-rover-niva</t>
  </si>
  <si>
    <t>https://motorring.ru/product/8282-diodnaya-balka-pl-3106-240w-3vt</t>
  </si>
  <si>
    <t>https://motorring.ru/product/27746-zadnie-diodnye-fonari-iksy-tonirovannye-vaz-2108-21099-2113</t>
  </si>
  <si>
    <t>https://motorring.ru/product/8338-protivotumannye-fary-glaz-orla-vaz-2110-2115</t>
  </si>
  <si>
    <t>https://motorring.ru/product/11781-diodnaya-balka-42-hk-yx</t>
  </si>
  <si>
    <t>https://motorring.ru/product/11862-nakladki-pedali-type-sinie-kvadratnym-rezinovym-protektorom</t>
  </si>
  <si>
    <t>https://motorring.ru/product/11751-diodnaya-balka-48w-a-blighniy-3vt</t>
  </si>
  <si>
    <t>https://motorring.ru/product/10675-nabor-instrumentov-aerofors-59-pc-predmetov</t>
  </si>
  <si>
    <t>https://motorring.ru/product/688-nabor-instrumentov-aerofors-97-pc-predmetov</t>
  </si>
  <si>
    <t>https://motorring.ru/product/32064-zadnie-chernye-svetodiodnye-fonari-stile-amg-lada-priora</t>
  </si>
  <si>
    <t>https://motorring.ru/product/38698-komplekt-diodnyh-far-thebestpartner-stile-audi-lada-vesta</t>
  </si>
  <si>
    <t>https://motorring.ru/product/35105-zadnie-diodnye-fonari-orlinyy-glaz-tonirovannye-vaz-2105</t>
  </si>
  <si>
    <t>https://motorring.ru/product/28138-zadnie-diodnye-fonari-orlinyy-glaz-tonirovannye-vaz</t>
  </si>
  <si>
    <t>https://motorring.ru/product/38688-zadnie-diodnye-fonari-orlinyy-glaz-vaz-2105</t>
  </si>
  <si>
    <t>https://motorring.ru/product/27717-svetodiodnye-fary-cherep-dyuymov-chernye-led-kolycom</t>
  </si>
  <si>
    <t>https://motorring.ru/product/36708-zadnie-svetodiodnye-svetlie-fonari-stile-range-rover-niva</t>
  </si>
  <si>
    <t>https://motorring.ru/product/27719-svetodiodnye-fary-shkali-dyuymov-chernye-led-kolycom</t>
  </si>
  <si>
    <t>https://motorring.ru/product/10566-podfarniki-dlaa-diodnymi-povorotnikami-dho-temnyy-hrom-niva</t>
  </si>
  <si>
    <t>https://motorring.ru/product/27715-svetodiodnye-fary-zvezdi-dyuymov-chernye-led-kolycom</t>
  </si>
  <si>
    <t>https://motorring.ru/product/15119-svetodiodnye-fary-chernom-korpuse-96w-dyuymov-povtoritelem</t>
  </si>
  <si>
    <t>https://motorring.ru/product/12231-svetodiodnye-fary-90w-dyuymov-chernye-diodnym-kolycom</t>
  </si>
  <si>
    <t>https://motorring.ru/product/21524-svetodiodnye-fary-chernom-korpuse-96w-dyuymov-led-kolycom</t>
  </si>
  <si>
    <t>https://motorring.ru/product/15120-svetodiodnye-fary-90w-dyuymov-chernye-povtoritelem-povorota</t>
  </si>
  <si>
    <t>https://motorring.ru/product/13579-svetodiodnye-fary-80w-dyuymov-chernye-povtoritelem-povorota</t>
  </si>
  <si>
    <t>https://motorring.ru/product/14256-svetodiodnye-fary-80w-dyuymov-chernye-povtoritelem-povorota</t>
  </si>
  <si>
    <t>https://motorring.ru/product/4252-zadnie-fonari-krasnoy-polosoy-vaz-2108-21099-2113-2114</t>
  </si>
  <si>
    <t>https://motorring.ru/product/31560-svetodiodnye-fary-90w-bluetooth-regulirovkoy-cveta</t>
  </si>
  <si>
    <t>https://motorring.ru/product/21802-svetodiodnye-fary-chernom-korpuse-60w-dyuymov-h-obraznym</t>
  </si>
  <si>
    <t>https://motorring.ru/product/21803-svetodiodnye-fary-chernom-korpuse-60w-dyuymov-v-obraznym</t>
  </si>
  <si>
    <t>https://motorring.ru/product/21804-svetodiodnye-fary-60w-dyuymov-chernye-krug-centre</t>
  </si>
  <si>
    <t>https://motorring.ru/product/14255-svetodiodnye-fary-chernom-korpuse-90w-dyuymov-kolycom</t>
  </si>
  <si>
    <t>https://motorring.ru/product/27718-svetodiodnye-fary-boss-chernye-povtoritelem-povorotnika-dho</t>
  </si>
  <si>
    <t>https://motorring.ru/product/21805-svetodiodnye-fary-60w-dyuymov-chernye-risunok-misheny</t>
  </si>
  <si>
    <t>https://motorring.ru/product/19767-ptf-998-led-lada-vesta-iks-rey-granta-niva-urban-reno</t>
  </si>
  <si>
    <t>https://motorring.ru/product/11775-diodnaya-balka-g-240-240w-3vt</t>
  </si>
  <si>
    <t>https://motorring.ru/product/22259-zadnie-svetodiodnye-fonari-britaniya-krasnye-begayuschim</t>
  </si>
  <si>
    <t>https://motorring.ru/product/22260-zadnie-svetodiodnye-fonari-britaniya-chernye-begayuschim</t>
  </si>
  <si>
    <t>https://motorring.ru/product/13578-svetodiodnye-fary-chernye-90w-dyuymov-led-povtoritelem</t>
  </si>
  <si>
    <t>https://motorring.ru/product/24714-zadnie-svetodiodnye-fonari-kapli-chernye-lada-niva-4h4</t>
  </si>
  <si>
    <t>https://motorring.ru/product/27716-svetodiodnye-fary-uzor-dyuymov-chernye-led-kolycom</t>
  </si>
  <si>
    <t>https://motorring.ru/product/14257-svetodiodnye-fary-dyuymov-d0875x-vaz-2101-lada-niva-4h4</t>
  </si>
  <si>
    <t>https://motorring.ru/product/8279-diodnaya-balka-pl-3102-36w-3vt</t>
  </si>
  <si>
    <t>https://motorring.ru/product/36972-komplekt-diodnyh-fonarey-led-obvodkoy-lada-4h4-niva</t>
  </si>
  <si>
    <t>https://motorring.ru/product/38644-komplekt-diodnyh-fonarey-polosy-lada-4h4-niva</t>
  </si>
  <si>
    <t>https://motorring.ru/product/38645-komplekt-diodnyh-fonarey-polosy-lada-4h4-niva</t>
  </si>
  <si>
    <t>https://motorring.ru/product/38639-komplekt-diodnyh-serih-fonarey-led-obvodkoy-lada-4h4-niva</t>
  </si>
  <si>
    <t>https://motorring.ru/product/38641-komplekt-diodnyh-fonarey-puls-lada-4h4-niva</t>
  </si>
  <si>
    <t>https://motorring.ru/product/36856-perednie-fary-vypolnennye-stile-audi-q8-lada-granta-fl</t>
  </si>
  <si>
    <t>https://motorring.ru/product/38690-komplekt-krasnyh-zadnih-led-fonarey-dinamich-vesta</t>
  </si>
  <si>
    <t>https://motorring.ru/product/32636-komplekt-chernyh-zadnih-led-fonarey-dinamich-vesta</t>
  </si>
  <si>
    <t>https://motorring.ru/product/25912-zadnie-svetodiodnye-fonari-iksy-chernye-begayuschim</t>
  </si>
  <si>
    <t>https://motorring.ru/product/25913-zadnie-svetodiodnye-fonari-iksy-krasnye-begayuschim</t>
  </si>
  <si>
    <t>Column1</t>
  </si>
  <si>
    <t>Column2</t>
  </si>
  <si>
    <t>//*[@id="e-curr-price"]/text()</t>
  </si>
  <si>
    <t>//*[@class="p_club_price pb5"]/text()</t>
  </si>
  <si>
    <t>Column7</t>
  </si>
  <si>
    <t>Column8</t>
  </si>
  <si>
    <t>Column9</t>
  </si>
  <si>
    <t>Column10</t>
  </si>
  <si>
    <t>Column11</t>
  </si>
  <si>
    <t>Column12</t>
  </si>
  <si>
    <t>Column13</t>
  </si>
  <si>
    <t>Column14</t>
  </si>
  <si>
    <t>Column15</t>
  </si>
  <si>
    <t>Column16</t>
  </si>
  <si>
    <t>Column17</t>
  </si>
  <si>
    <t>Column18</t>
  </si>
  <si>
    <t>Ссылка</t>
  </si>
  <si>
    <t>Цена</t>
  </si>
  <si>
    <t>#VALUE!</t>
  </si>
  <si>
    <t>Из ГУГЛа</t>
  </si>
  <si>
    <t>LA-519DB W</t>
  </si>
  <si>
    <t>LD-472</t>
  </si>
  <si>
    <t>LD-088</t>
  </si>
  <si>
    <t>Фары с ДХО (тонированные) для ВАЗ (2101,2102), Лада Нива 4х4</t>
  </si>
  <si>
    <t>5159</t>
  </si>
  <si>
    <t>Вспышка 16 линз ФСО, ФСБ</t>
  </si>
  <si>
    <t>G0002-25BS</t>
  </si>
  <si>
    <t>Диодные ПТФ 50W для Лада (Гранта, Калина, Калина 2, Ларгус), Датсун (mi-DO, on-DO)</t>
  </si>
  <si>
    <t>DH-405GRAY</t>
  </si>
  <si>
    <t>DH-405WHITE</t>
  </si>
  <si>
    <t>Фара левая, аналог для Лада Калина 2</t>
  </si>
  <si>
    <t>Фара правая, аналог для Лада Калина 2</t>
  </si>
  <si>
    <t>LED (диодные) надфарники с дневными ходовыми огнями (надпись "BOSS")</t>
  </si>
  <si>
    <t>Задние фонари "Орлиный Глаз" без тонировки для ВАЗ 2108-21099, 2113, 2114</t>
  </si>
  <si>
    <t>Светодиодные фонари в стиле AUDI, серые для Лада XRAY</t>
  </si>
  <si>
    <t>Светодиодные фонари в стиле AUDI, красные для Лада XRAY</t>
  </si>
  <si>
    <t>https://motorring.ru/product/8345-protivotumannye-fary-ld-089-ramkami-lada-kalina</t>
  </si>
  <si>
    <t>https://motorring.ru/product/8348-protivotumannye-fary-ld-093-pod-kirghach-lada-priora</t>
  </si>
  <si>
    <t>https://motorring.ru/product/8343-protivotumannye-fary-diodnye-ld-089l-ramkami-lada-kalina</t>
  </si>
  <si>
    <t>https://motorring.ru/product/8328-klassicheskie-protivotumannye-fary-dlaa-dlya-vaz-2110-2112</t>
  </si>
  <si>
    <t>https://motorring.ru/product/8351</t>
  </si>
  <si>
    <t>https://motorring.ru/product/8326-protivotumannye-fary-ld-472-lada-kalina-granta-largus</t>
  </si>
  <si>
    <t>https://motorring.ru/product/8334-protivotumannye-fary-ld-088-chernye-vaz-2110-12-2113-15</t>
  </si>
  <si>
    <t>https://motorring.ru/product/15868-tuning-fonari-lada-niva-4x4-chernye</t>
  </si>
  <si>
    <t>https://motorring.ru/product/8329-protivotumannye-fary-dlaa-vaz-2110-2112-2113-2115</t>
  </si>
  <si>
    <t>https://motorring.ru/product/8347-protivotumannye-fary-ld-327-dlya-lada-priora</t>
  </si>
  <si>
    <t>https://motorring.ru/product/4259-zadnie-fonari-krasnoy-polosoy-dlya-vaz-2105-2107</t>
  </si>
  <si>
    <t>https://motorring.ru/product/14680-protivotumannye-fary-linzoy-ld-271-ramkami-lada-granta</t>
  </si>
  <si>
    <t>https://motorring.ru/product/15994</t>
  </si>
  <si>
    <t>https://motorring.ru/product/8144-ramki-ptf-diodnymi-hodovymi-ognyami-lada-largus</t>
  </si>
  <si>
    <t>https://motorring.ru/product/20616-protivotumannye-fary-ld-673-lada-vesta-iks-rey-granta-niva</t>
  </si>
  <si>
    <t>https://motorring.ru/product/21355-diodnye-ptf-30w-lada-priora-analog</t>
  </si>
  <si>
    <t>https://motorring.ru/product/4250-zadnie-fonari-torino-hy-200-krasnye-beloy-polosoy-vaz</t>
  </si>
  <si>
    <t>https://motorring.ru/product/24470-svetodiodnye-led-protivotumannye-fary-analog-polosy</t>
  </si>
  <si>
    <t>https://motorring.ru/product/12751</t>
  </si>
  <si>
    <t>https://motorring.ru/product/15995-bokovye-zerkala-volna-chernye-vaz-2104-2105-2107</t>
  </si>
  <si>
    <t>https://motorring.ru/product/15997-bokovye-zerkala-volna-hrom-nakladkami-vaz-2104-2105-2107</t>
  </si>
  <si>
    <t>https://motorring.ru/product/12746-bokovye-zerkala-piter-belye-antiblikom-vaz-2104-2105-2107</t>
  </si>
  <si>
    <t>https://motorring.ru/product/12749-bokovye-zerkala-piter-sneghka-antiblikom-vaz-2108-2115</t>
  </si>
  <si>
    <t>https://motorring.ru/product/27720-diodnye-ptf-polos-analog-vaz-2110-2112-2113-2115-shevrole</t>
  </si>
  <si>
    <t>https://motorring.ru/product/24471-svetodiodnye-dvuhcvetnie-led-protivotumannye-fary-analog-polosy</t>
  </si>
  <si>
    <t>https://motorring.ru/product/15959-bokovye-zerkala-volna-povtoritelem-chernyy-korpus-vaz</t>
  </si>
  <si>
    <t>https://motorring.ru/product/21357-diodnye-ptf-30w-dho-lada-kalina-kalina-granta-largus-datsun</t>
  </si>
  <si>
    <t>https://motorring.ru/product/19766-ptf-699-lada-vesta-iks-rey-granta-niva-urban-reno</t>
  </si>
  <si>
    <t>https://motorring.ru/product/16660-svetodiodnye-nakladki-porogi-nadpisyyu-urban-lada-niva</t>
  </si>
  <si>
    <t>https://motorring.ru/product/27721-diodnye-ptf-polos-dvuhcvetnye-analog-vaz-2110-2112</t>
  </si>
  <si>
    <t>https://motorring.ru/product/22575-protivotumannye-fary-diodnye-polosy-restaylingovyy-bamper</t>
  </si>
  <si>
    <t>https://motorring.ru/product/15981-bokovye-zerkala-chernyy-lak-vaz-2108-21099-2113-2115</t>
  </si>
  <si>
    <t>https://motorring.ru/product/15987-bokovye-zerkala-volna-belye-povtoritelem-vaz-2104-2107</t>
  </si>
  <si>
    <t>https://motorring.ru/product/27724-diodnye-dvuhcvetnye-ptf-polos-analog-lada-granta-lada-vesta</t>
  </si>
  <si>
    <t>https://motorring.ru/product/27725-diodnye-dvuhcvetnye-ptf-angelyskimi-glazkami-lada-kalina3</t>
  </si>
  <si>
    <t>https://motorring.ru/product/15969-zadnie-diodnye-fonari-chernye-beloy-polosoy-vaz-2108-21099</t>
  </si>
  <si>
    <t>https://motorring.ru/product/15954-svetodiodnye-zadnie-fonari-krasnye-seroy-polosoy-2108</t>
  </si>
  <si>
    <t>https://motorring.ru/product/34862-tonirovannye-svetodiodnye-led-podfarniki-polos-dho</t>
  </si>
  <si>
    <t>https://motorring.ru/product/20430-svetodiodnye-podfarniki-tonirovannoe-steklo-dho-begayuschim</t>
  </si>
  <si>
    <t>https://motorring.ru/product/20429-svetodiodnye-podfarniki-dho-begayuschim-povorotnikom-lada</t>
  </si>
  <si>
    <t>https://motorring.ru/product/22269-svetodiodnye-podfarniki-krasnye-dho-begayuschim</t>
  </si>
  <si>
    <t>https://motorring.ru/product/249-zadnie-diodnye-fonari-krasno-belye-vaz-2108-2113-2109-2114</t>
  </si>
  <si>
    <t>https://motorring.ru/product/8171-diodnye-krasno-belye-fonari-lada-granta-sedan</t>
  </si>
  <si>
    <t>https://motorring.ru/product/36707-diodnye-belo-serye-fonari-lada-granta-sedan</t>
  </si>
  <si>
    <t>https://motorring.ru/product/13366-diodnye-zadnie-fonari-red-led-krasnye-begayuschim</t>
  </si>
  <si>
    <t>https://motorring.ru/product/2444-diodnye-zadnie-fonari-grey-led-chernye-begayuschim</t>
  </si>
  <si>
    <t>https://motorring.ru/product/30580-zadnie-svetodiodnye-fonari-kapli-lada-niva-4h4</t>
  </si>
  <si>
    <t>https://motorring.ru/product/8172-diodnye-krasno-serye-fonari-lada-granta-sedan</t>
  </si>
  <si>
    <t>https://motorring.ru/product/8357-svetodiodnye-ptf-lada-vesta-iks-rey-granta-niva-urban-reno</t>
  </si>
  <si>
    <t>https://motorring.ru/product/10471-fary-neonovymi-dho-hromirovannye-lada-niva-4h4-vaz-2101</t>
  </si>
  <si>
    <t>https://motorring.ru/product/8483-fary-neonovymi-dho-tonirovannye-dlya-lada-4h4-niva-vaz-2101</t>
  </si>
  <si>
    <t>https://motorring.ru/product/7158-ramki-ptf-hodovymi-ognyami-dlya-lada-largus</t>
  </si>
  <si>
    <t>https://motorring.ru/product/32726-zadnie-diodnye-fonari-418g-toporiki-tonirovannye-dlya-vaz</t>
  </si>
  <si>
    <t>https://motorring.ru/product/6919-zadnie-fonari-prosport-rs-09070-audi-dlya-vaz-2108-14</t>
  </si>
  <si>
    <t>https://motorring.ru/product/25914-zadnie-svetodiodnye-fonari-belie-iksy-chernye-begayuschim</t>
  </si>
  <si>
    <t>https://motorring.ru/product/27714-svetodiodnye-fary-linii-dyuymov-chernye-led-kolycom</t>
  </si>
  <si>
    <t>https://motorring.ru/product/27713-svetodiodnye-fary-polosa-dyuymov-chernye-led-kolycom</t>
  </si>
  <si>
    <t>https://motorring.ru/product/32065-zadnie-krasnye-svetodiodnye-fonari-stile-amg-lada-priora</t>
  </si>
  <si>
    <t>https://motorring.ru/product/37146-zadnie-diodnye-krasnye-fonari-stile-mersedes-lada-granta</t>
  </si>
  <si>
    <t>https://motorring.ru/product/32800-tyuning-fary-chernym-korpusom-polosoy-dho-linzoy-lada-priora</t>
  </si>
  <si>
    <t>https://motorring.ru/product/32637-komplekt-chernyh-svetodiodnyh-linzovannyh-far-lada-vesta</t>
  </si>
  <si>
    <t>https://motorring.ru/product/148-blok-fara-levaya-analog-lada-kalina</t>
  </si>
  <si>
    <t>https://motorring.ru/product/746-blok-fara-pravaya-analog-lada-kalina</t>
  </si>
  <si>
    <t>%</t>
  </si>
  <si>
    <t>Вот так было</t>
  </si>
  <si>
    <t>Вот так будет если  делать +7 / -11%</t>
  </si>
  <si>
    <t>Вот так я предлагаю</t>
  </si>
  <si>
    <t>+27%</t>
  </si>
  <si>
    <t>+7%</t>
  </si>
  <si>
    <t>-11%</t>
  </si>
  <si>
    <t>https://motorring.ru/product/11866-dekorativnye-nakladki-laquo-ghabry-raquo-0395-kuzov</t>
  </si>
  <si>
    <t>https://motorring.ru/product/11867-dekorativnye-nakladki-ghabry-0395-kuzov-avtomobilya-krasnye</t>
  </si>
  <si>
    <t>https://motorring.ru/product/11872-spoylery-diodom-dvorniki-sinie</t>
  </si>
  <si>
    <t>https://motorring.ru/product/11873-spoylery-diodom-dvorniki-hrom</t>
  </si>
  <si>
    <t>https://motorring.ru/product/11903-podsvetka-salona-knopkoy-a-10</t>
  </si>
  <si>
    <t>https://motorring.ru/product/11857-nakladki-pedali-type-serebristo-chernye</t>
  </si>
  <si>
    <t>https://motorring.ru/product/11858-nakladki-pedali-type-serebristo-krasnye</t>
  </si>
  <si>
    <t>https://motorring.ru/product/11863-nakladki-pedali-type-chernye</t>
  </si>
  <si>
    <t>https://motorring.ru/product/11748-vspyshki-fso-27w-svetodiod</t>
  </si>
  <si>
    <t>https://motorring.ru/product/21208-povtoriteli-povorotov-led-nadpisyyu-priora-lada-priora</t>
  </si>
  <si>
    <t>https://motorring.ru/product/21211-povtoriteli-povorotov-led-nadpisyyu-granta-lada-granta</t>
  </si>
  <si>
    <t>https://motorring.ru/product/21669-led-povtoriteli-povorotnika-belye-gerbom-dvuglavyy-orel-vaz</t>
  </si>
  <si>
    <t>https://motorring.ru/product/21668-led-povtoriteli-povorotnika-oranghevye-gerbom-dvuglavyy</t>
  </si>
  <si>
    <t>https://motorring.ru/product/6424-diodnye-povtoriteli-nadpisyyu-granta-dlya-lada-granta</t>
  </si>
  <si>
    <t>https://motorring.ru/product/6425-diodnye-povtoriteli-nadpisyyu-priora-dlya-lada-priora</t>
  </si>
  <si>
    <t>https://motorring.ru/product/13905-diodnye-povtoriteli-nadpisyyu-dlya-lada-priora</t>
  </si>
  <si>
    <t>https://motorring.ru/product/11746-diodnaya-balka-27w-b-dalyniy-3vt</t>
  </si>
  <si>
    <t>https://motorring.ru/product/15957-bokovye-zerkala-piter-chernye-libo-belye-vaz-2108-21099</t>
  </si>
  <si>
    <t>https://motorring.ru/product/15996-bokovye-zerkala-piter-chernye-vaz-2101-2107</t>
  </si>
  <si>
    <t>https://motorring.ru/product/15967-bokovye-zerkala-volna-hrom-chernyy-vaz-2108-2115</t>
  </si>
  <si>
    <t>https://motorring.ru/product/15961-bokovye-zerkala-piter-karbon-vaz-2108-2115</t>
  </si>
  <si>
    <t>https://motorring.ru/product/12752-bokovye-zerkala-piter-chernye-vaz-2110-2112</t>
  </si>
  <si>
    <t>https://motorring.ru/product/15972-bokovye-zerkala-volna-chernye-hrom-nakladkoy-povtoritelem</t>
  </si>
  <si>
    <t>https://motorring.ru/product/15956-bokovye-zerkala-volna-belye-libo-chernye-vaz-2108-21099</t>
  </si>
  <si>
    <t>https://motorring.ru/product/15968-bokovye-zerkala-piter-hrom-vaz-2108-21099-2113-2115</t>
  </si>
  <si>
    <t>https://motorring.ru/product/12748-bokovye-zerkala-piter-chernye-antiblikom-vaz-2108-21099</t>
  </si>
  <si>
    <t>https://motorring.ru/product/12750-bokovye-zerkala-piter-belye-antiblikom-vaz-2108-21099</t>
  </si>
  <si>
    <t>https://motorring.ru/product/8278-diodnaya-balka-pl-3101-24w-3vt</t>
  </si>
  <si>
    <t>https://motorring.ru/product/11764-diodnaya-balka-cclb-36-36w-3vt</t>
  </si>
  <si>
    <t>https://motorring.ru/product/11765-diodnaya-balka-xrb-120-120w-3vt</t>
  </si>
  <si>
    <t>https://motorring.ru/product/35954-ruly-nardi-old-school-derevo-dlya-shervole-niva</t>
  </si>
  <si>
    <t>https://motorring.ru/product/11770-diodnaya-balka-xrb-180-180w-3vt</t>
  </si>
  <si>
    <t>https://motorring.ru/product/11776-diodnaya-balka-xrb-240-240w-3vt</t>
  </si>
  <si>
    <t>https://motorring.ru/product/8280-diodnaya-balka-pl-3103-60w-3vt</t>
  </si>
  <si>
    <t>https://motorring.ru/product/8287-diodnaya-balka-pl-3204-90w-3vt</t>
  </si>
  <si>
    <t>https://motorring.ru/product/15197</t>
  </si>
  <si>
    <t>https://motorring.ru/product/10664</t>
  </si>
  <si>
    <t>https://motorring.ru/product/8281-diodnaya-balka-pl-3104-120w-3vt</t>
  </si>
  <si>
    <t>https://motorring.ru/product/8288-diodnaya-balka-pl-3205-120w-3vt</t>
  </si>
  <si>
    <t>https://motorring.ru/product/849</t>
  </si>
  <si>
    <t>https://motorring.ru/product/11752-vspyshki-fso-48w-16-svetodiodov</t>
  </si>
  <si>
    <t>Проработка</t>
  </si>
  <si>
    <t>Мин</t>
  </si>
  <si>
    <t>Макс</t>
  </si>
  <si>
    <t/>
  </si>
  <si>
    <t>Боковые зеркала (3286) в цвет с повторителем для ВАЗ 2108-21099, 2113-2115</t>
  </si>
  <si>
    <t>Боковые зеркала (аналог, бегающий повторитель, электропривод, обогрев) для Лада Веста (Без покраски)</t>
  </si>
  <si>
    <t>YH-3526A-Р-E-B-H</t>
  </si>
  <si>
    <t>Боковые зеркала (аналог, бегающий повторитель, электропривод, обогрев) для Лада Веста (В цвет, Ангкор (темно-коричневый, 246))</t>
  </si>
  <si>
    <t>Боковые зеркала (аналог, бегающий повторитель, электропривод, обогрев) для Лада Веста (В цвет, Блюз (темно-синий, 492))</t>
  </si>
  <si>
    <t>Боковые зеркала (аналог, бегающий повторитель, электропривод, обогрев) для Лада Веста (В цвет, Дайвинг (ярко-синий, 476))</t>
  </si>
  <si>
    <t>Боковые зеркала (аналог, бегающий повторитель, электропривод, обогрев) для Лада Веста (В цвет, Карфаген (бежевый, 247))</t>
  </si>
  <si>
    <t>Боковые зеркала (аналог, бегающий повторитель, электропривод, обогрев) для Лада Веста (В цвет, Криптон (темно-зеленый, 372))</t>
  </si>
  <si>
    <t>Боковые зеркала (аналог, бегающий повторитель, электропривод, обогрев) для Лада Веста (В цвет, Лайм (яркий желто-зеленый, 366))</t>
  </si>
  <si>
    <t>Боковые зеркала (аналог, бегающий повторитель, электропривод, обогрев) для Лада Веста (В цвет, Ледниковый (белый, 221))</t>
  </si>
  <si>
    <t>Боковые зеркала (аналог, бегающий повторитель, электропривод, обогрев) для Лада Веста (В цвет, Марс (оранжевый, 130))</t>
  </si>
  <si>
    <t>Боковые зеркала (аналог, бегающий повторитель, электропривод, обогрев) для Лада Веста (В цвет, Маэстро (черное стекло, 653))</t>
  </si>
  <si>
    <t>Боковые зеркала (аналог, бегающий повторитель, электропривод, обогрев) для Лада Веста (В цвет, Пантера (черная база, 672))</t>
  </si>
  <si>
    <t>Боковые зеркала (аналог, бегающий повторитель, электропривод, обогрев) для Лада Веста (В цвет, Платина (серебристо-бежевый, 691))</t>
  </si>
  <si>
    <t>Боковые зеркала (аналог, бегающий повторитель, электропривод, обогрев) для Лада Веста (В цвет, Плутон (темно-серый, 608))</t>
  </si>
  <si>
    <t>Боковые зеркала (аналог, бегающий повторитель, электропривод, обогрев) для Лада Веста (В цвет, Сердолик (темно-красный, 195))</t>
  </si>
  <si>
    <t>Боковые зеркала (аналог, бегающий повторитель, электропривод, обогрев) для Лада Веста (В цвет, Тайфун (серый, 616))</t>
  </si>
  <si>
    <t>Боковые зеркала (аналог, бегающий повторитель, электропривод, обогрев) для Лада Веста (В цвет, Уточнить у менеджера)</t>
  </si>
  <si>
    <t>Боковые зеркала (аналог, бегающий повторитель, электропривод, обогрев) для Лада Веста (В цвет, Фантом (темно-серо-голубой, 496))</t>
  </si>
  <si>
    <t>Боковые зеркала (аналог, бегающий повторитель, электропривод, обогрев) для Лада Веста (В цвет, Черная жемчужина (черный, 676))</t>
  </si>
  <si>
    <t>Боковые зеркала (аналог) с электроприводом, обогревом и повторителем для Лада Веста (Без покраски)</t>
  </si>
  <si>
    <t>Боковые зеркала (аналог) с электроприводом, обогревом и повторителем для Лада Веста (В цвет, Ангкор (темно-коричневый, 246))</t>
  </si>
  <si>
    <t>Боковые зеркала (аналог) с электроприводом, обогревом и повторителем для Лада Веста (В цвет, Блюз (темно-синий, 492))</t>
  </si>
  <si>
    <t>Боковые зеркала (аналог) с электроприводом, обогревом и повторителем для Лада Веста (В цвет, Дайвинг (ярко-синий, 476))</t>
  </si>
  <si>
    <t>Боковые зеркала (аналог) с электроприводом, обогревом и повторителем для Лада Веста (В цвет, Карфаген (бежевый, 247))</t>
  </si>
  <si>
    <t>Боковые зеркала (аналог) с электроприводом, обогревом и повторителем для Лада Веста (В цвет, Криптон (темно-зеленый, 372))</t>
  </si>
  <si>
    <t>Боковые зеркала (аналог) с электроприводом, обогревом и повторителем для Лада Веста (В цвет, Лайм (яркий желто-зеленый, 366))</t>
  </si>
  <si>
    <t>Боковые зеркала (аналог) с электроприводом, обогревом и повторителем для Лада Веста (В цвет, Ледниковый (белый, 221))</t>
  </si>
  <si>
    <t>Боковые зеркала (аналог) с электроприводом, обогревом и повторителем для Лада Веста (В цвет, Марс (оранжевый, 130))</t>
  </si>
  <si>
    <t>Боковые зеркала (аналог) с электроприводом, обогревом и повторителем для Лада Веста (В цвет, Маэстро (черное стекло, 653))</t>
  </si>
  <si>
    <t>Боковые зеркала (аналог) с электроприводом, обогревом и повторителем для Лада Веста (В цвет, Пантера (черная база, 672))</t>
  </si>
  <si>
    <t>Боковые зеркала (аналог) с электроприводом, обогревом и повторителем для Лада Веста (В цвет, Платина (серебристо-бежевый, 691))</t>
  </si>
  <si>
    <t>Боковые зеркала (аналог) с электроприводом, обогревом и повторителем для Лада Веста (В цвет, Плутон (темно-серый, 608))</t>
  </si>
  <si>
    <t>Боковые зеркала (аналог) с электроприводом, обогревом и повторителем для Лада Веста (В цвет, Сердолик (темно-красный, 195))</t>
  </si>
  <si>
    <t>Боковые зеркала (аналог) с электроприводом, обогревом и повторителем для Лада Веста (В цвет, Тайфун (серый, 616))</t>
  </si>
  <si>
    <t>Боковые зеркала (аналог) с электроприводом, обогревом и повторителем для Лада Веста (В цвет, Уточнить у менеджера)</t>
  </si>
  <si>
    <t>Боковые зеркала (аналог) с электроприводом, обогревом и повторителем для Лада Веста (В цвет, Фантом (темно-серо-голубой, 496))</t>
  </si>
  <si>
    <t>Боковые зеркала (аналог) с электроприводом, обогревом и повторителем для Лада Веста (В цвет, Черная жемчужина (черный, 676))</t>
  </si>
  <si>
    <t>Зеркала "МЕРСЕДЕС" (механика + повторитель) для Лада Нива 4x4</t>
  </si>
  <si>
    <t>Зеркала "МЕРСЕДЕС" с электрикой и обогревом для Лада Нива 4x4, Нива 4x4 Урбан</t>
  </si>
  <si>
    <t>Накладки на зеркала в стиле Mercedes для Лада Нива 4х4, Нива 4х4 Урбан</t>
  </si>
  <si>
    <t>Подлокотник-бокс для Лада (Калина 2, Гранта), Датсун (mi-DO, on-DO)</t>
  </si>
  <si>
    <t>Решётка радиатора в стиле Mercedes AMG с ДХО и LED-вставкой для Лада Нива 4х4, Нива Legend</t>
  </si>
  <si>
    <t>DLA-091L</t>
  </si>
  <si>
    <t>ZFT162A</t>
  </si>
  <si>
    <t>CV-084B W</t>
  </si>
  <si>
    <t>KS-518 Y</t>
  </si>
  <si>
    <t>Противотуманные фары для ВАЗ 2113-2115</t>
  </si>
  <si>
    <t>LD-094</t>
  </si>
  <si>
    <t>LD-345</t>
  </si>
  <si>
    <t>PT-5174+PVC+черный</t>
  </si>
  <si>
    <t>5117</t>
  </si>
  <si>
    <t>PT-4125C+PVC+желтый</t>
  </si>
  <si>
    <t>Руль "Nardi" спортивный (с красной меткой) для ВАЗ</t>
  </si>
  <si>
    <t>Задние фонари с красной полосой для ВАЗ 2106</t>
  </si>
  <si>
    <t>A047</t>
  </si>
  <si>
    <t>A045</t>
  </si>
  <si>
    <t>MR-80-003</t>
  </si>
  <si>
    <t>B012</t>
  </si>
  <si>
    <t>YH-3386-M-CB-07</t>
  </si>
  <si>
    <t>5527R</t>
  </si>
  <si>
    <t>PL-1210</t>
  </si>
  <si>
    <t>PL-1211</t>
  </si>
  <si>
    <t>PL-1219</t>
  </si>
  <si>
    <t>PL-3101-FS</t>
  </si>
  <si>
    <t>PL-3102-FS</t>
  </si>
  <si>
    <t>PL-3103-FS</t>
  </si>
  <si>
    <t>PL-3104-FS</t>
  </si>
  <si>
    <t>PL-3106-FS</t>
  </si>
  <si>
    <t>PL-3107</t>
  </si>
  <si>
    <t>PL-3204-FS</t>
  </si>
  <si>
    <t>PL-3205-FS</t>
  </si>
  <si>
    <t>10W-A ближний</t>
  </si>
  <si>
    <t>10W-A дальний</t>
  </si>
  <si>
    <t>27W-B дальний</t>
  </si>
  <si>
    <t>27W-B</t>
  </si>
  <si>
    <t>24W-B дальний</t>
  </si>
  <si>
    <t>180W комбинированная</t>
  </si>
  <si>
    <t>CCLB-36W</t>
  </si>
  <si>
    <t>XRB2-120W</t>
  </si>
  <si>
    <t>G2-120W</t>
  </si>
  <si>
    <t>XR-F120</t>
  </si>
  <si>
    <t>G1-240W</t>
  </si>
  <si>
    <t>XRB-240W</t>
  </si>
  <si>
    <t>17</t>
  </si>
  <si>
    <t>034</t>
  </si>
  <si>
    <t>65</t>
  </si>
  <si>
    <t>316</t>
  </si>
  <si>
    <t>328</t>
  </si>
  <si>
    <t>329</t>
  </si>
  <si>
    <t>YH-3388</t>
  </si>
  <si>
    <t>HY-174EY</t>
  </si>
  <si>
    <t>LD-162</t>
  </si>
  <si>
    <t>PN-7</t>
  </si>
  <si>
    <t>DH-417GRAY</t>
  </si>
  <si>
    <t>4156H+PVC белый карбон+черная спица+белый круг</t>
  </si>
  <si>
    <t>4156A+PVC+синий</t>
  </si>
  <si>
    <t>4156H+PVC+черный</t>
  </si>
  <si>
    <t>4156A+PVC+карбон черный</t>
  </si>
  <si>
    <t>4125+замша черный</t>
  </si>
  <si>
    <t>5150B+PVC+черный</t>
  </si>
  <si>
    <t>5159+PVC+черный</t>
  </si>
  <si>
    <t>5155+PVC+черный</t>
  </si>
  <si>
    <t>5150A+PVC+черный</t>
  </si>
  <si>
    <t>PN-1</t>
  </si>
  <si>
    <t>Противотуманные фары для Лада (Гранта 2, Нива 4x4 Урбан, Веста, XRAY), Renault (Duster, Kaptur, Logan, Sandero)</t>
  </si>
  <si>
    <t>RN098-LED</t>
  </si>
  <si>
    <t>PL-2121G</t>
  </si>
  <si>
    <t>PN-6</t>
  </si>
  <si>
    <t>PN-3</t>
  </si>
  <si>
    <t>NV-842</t>
  </si>
  <si>
    <t>PT-5173+PVC+черный+титановый</t>
  </si>
  <si>
    <t>4163С+PVC+серый</t>
  </si>
  <si>
    <t>PT+4125+PVC</t>
  </si>
  <si>
    <t>PN-4</t>
  </si>
  <si>
    <t>4156K+PVC Синий</t>
  </si>
  <si>
    <t>4156K+PVC чёрный</t>
  </si>
  <si>
    <t>PT-4125+PVC</t>
  </si>
  <si>
    <t>PL 2022</t>
  </si>
  <si>
    <t>Руль "PLASTWOOD NARDI" в стиле Muscle Car (с черным металлическим каркасом прорезь) для ВАЗ (2101-2107, 2108-21099, 2113-2115), Лада (Калина, Приора, Нива 4x4), Шевроле Нива (до 2006 г. в.)</t>
  </si>
  <si>
    <t>8906B черный</t>
  </si>
  <si>
    <t>LD-673</t>
  </si>
  <si>
    <t>XFZMZBZ-48W</t>
  </si>
  <si>
    <t>c8-84</t>
  </si>
  <si>
    <t>cm2-36</t>
  </si>
  <si>
    <t>mini-90</t>
  </si>
  <si>
    <t>48SO</t>
  </si>
  <si>
    <t>CC-36</t>
  </si>
  <si>
    <t>HP-CTD-012</t>
  </si>
  <si>
    <t>30R black</t>
  </si>
  <si>
    <t>C6-144</t>
  </si>
  <si>
    <t>cm3-54</t>
  </si>
  <si>
    <t>I-90</t>
  </si>
  <si>
    <t>D-160</t>
  </si>
  <si>
    <t>42R1</t>
  </si>
  <si>
    <t>C-36</t>
  </si>
  <si>
    <t>10R</t>
  </si>
  <si>
    <t>10S</t>
  </si>
  <si>
    <t>18L3</t>
  </si>
  <si>
    <t>24S</t>
  </si>
  <si>
    <t>25S</t>
  </si>
  <si>
    <t>27R white</t>
  </si>
  <si>
    <t>27S white</t>
  </si>
  <si>
    <t>30L2</t>
  </si>
  <si>
    <t>30R1</t>
  </si>
  <si>
    <t>30s black</t>
  </si>
  <si>
    <t>42R white</t>
  </si>
  <si>
    <t>45S-4D</t>
  </si>
  <si>
    <t>48S</t>
  </si>
  <si>
    <t>48S1</t>
  </si>
  <si>
    <t>51R(Red) 51W</t>
  </si>
  <si>
    <t>51R(Black) 51W</t>
  </si>
  <si>
    <t>B5D-72 white</t>
  </si>
  <si>
    <t>C4-144</t>
  </si>
  <si>
    <t>c5-120</t>
  </si>
  <si>
    <t>C6-72</t>
  </si>
  <si>
    <t>C9-48</t>
  </si>
  <si>
    <t>cm1-18</t>
  </si>
  <si>
    <t>cm1-36</t>
  </si>
  <si>
    <t>cm1-54</t>
  </si>
  <si>
    <t>cm2-18</t>
  </si>
  <si>
    <t>cm3-18</t>
  </si>
  <si>
    <t>cm3-36</t>
  </si>
  <si>
    <t>HP-CTD-011</t>
  </si>
  <si>
    <t>HP-CTD-4D-001</t>
  </si>
  <si>
    <t>HP-CTD-4D-002</t>
  </si>
  <si>
    <t>HP-CTD-4D-008</t>
  </si>
  <si>
    <t>HP-CTD-BPTJ-001</t>
  </si>
  <si>
    <t>HP-CTD-BPTJ-002</t>
  </si>
  <si>
    <t>HP-CTD-BPTJ-003</t>
  </si>
  <si>
    <t>HP-CTD-BPTJ-004</t>
  </si>
  <si>
    <t>HP-CTD-BPTJ-005</t>
  </si>
  <si>
    <t>HP-GZD-011/W</t>
  </si>
  <si>
    <t>HP-U405W</t>
  </si>
  <si>
    <t>mini-108</t>
  </si>
  <si>
    <t>XK-18w</t>
  </si>
  <si>
    <t>XK-36w</t>
  </si>
  <si>
    <t>YS-45W</t>
  </si>
  <si>
    <t>27S mini</t>
  </si>
  <si>
    <t>HP-GZD-021-24 желтый</t>
  </si>
  <si>
    <t>Противотуманные фары для Лада Гранта FL, Нива 4х4 Урбан, Веста, Веста NG, XRAY</t>
  </si>
  <si>
    <t>DDL-003-H</t>
  </si>
  <si>
    <t>Противотуманные фары "DLAA" для Лада (Гранта FL, Веста, XRAY, Нива), Renault</t>
  </si>
  <si>
    <t>RN198LED</t>
  </si>
  <si>
    <t>Фары Bi-Led в стиле AUDI для Лада XRAY</t>
  </si>
  <si>
    <t>Фары Bi-Led в стиле Lexus для Лада Гранта</t>
  </si>
  <si>
    <t>ZFT-512</t>
  </si>
  <si>
    <t>Тюнинг фары в стиле Audi для Лада Ларгус FL</t>
  </si>
  <si>
    <t>Тюнинг фары в стиле Audi для Лада Нива Travel</t>
  </si>
  <si>
    <t>Задние фонари в стиле Audi RS красные, динамический поворотник для ВАЗ 2110</t>
  </si>
  <si>
    <t>Задние фонари в стиле Audi RS тонированные, динамический поворотник для ВАЗ 2110</t>
  </si>
  <si>
    <t>Антенна для Лада Нива Travel, Шевроле Нива</t>
  </si>
  <si>
    <t>2123-7903020</t>
  </si>
  <si>
    <t>Column3</t>
  </si>
  <si>
    <t>Column4</t>
  </si>
  <si>
    <t>https://docs.google.com/spreadsheets/d/1f8_y-lcqVEuKpceVw_F97NEKzue5YmQtx8GIXUS_2B8/export?format=xlsx</t>
  </si>
  <si>
    <t>MR</t>
  </si>
  <si>
    <t>Код</t>
  </si>
  <si>
    <t>Эл-нт</t>
  </si>
  <si>
    <t>Ст З</t>
  </si>
  <si>
    <t>Ст Р</t>
  </si>
  <si>
    <t>Коэф.</t>
  </si>
  <si>
    <t>Наименование элемента</t>
  </si>
  <si>
    <t>Y / N</t>
  </si>
  <si>
    <t>Ссылка на конкурентов</t>
  </si>
  <si>
    <t>Кол-во</t>
  </si>
  <si>
    <t>Склад</t>
  </si>
  <si>
    <t>Y</t>
  </si>
  <si>
    <t>0</t>
  </si>
  <si>
    <t>N</t>
  </si>
  <si>
    <t>27RAmber</t>
  </si>
  <si>
    <t>27SAmber</t>
  </si>
  <si>
    <t>42RAmber</t>
  </si>
  <si>
    <t>48sAmber</t>
  </si>
  <si>
    <t>Диодные ПТФ с линзой для Лада Веста, Веста NG, XRAY, Нива 4x4</t>
  </si>
  <si>
    <t>RN-098LED</t>
  </si>
  <si>
    <t>https://motorring.ru/product/41801-krasniye-fonari-thebestpartner-lada-granta-liftbeck</t>
  </si>
  <si>
    <t>https://motorring.ru/product/41800-chernye-fonari-thebestpartner-lada-granta-liftbeck</t>
  </si>
  <si>
    <t>https://motorring.ru/product/40519-zadnie-krasniye-led-fonari-stile-audi-dlya-vaz-2110</t>
  </si>
  <si>
    <t>https://motorring.ru/product/40325-zadnie-tonirovannye-led-fonari-stile-audi-dlya-vaz-2110</t>
  </si>
  <si>
    <t>Задние фонари диодные "TORINO" (красно-серые) для ВАЗ 2108-21099, 2113, 2114</t>
  </si>
  <si>
    <t>Задние фонари диодные "TORINO" (красные) для ВАЗ 2108-21099, 2113, 2114</t>
  </si>
  <si>
    <t>Задние фонари диодные "TORINO" (серо-белые) для ВАЗ 2108-21099, 2113, 2114</t>
  </si>
  <si>
    <t>Задние фонари диодные (тонированные) для Лада Приора, Приора 2</t>
  </si>
  <si>
    <t>DH408</t>
  </si>
  <si>
    <t>DH265</t>
  </si>
  <si>
    <t>Противотуманные фары (ПТФ) светодиодные с ангельскими глазками (2 линзы) для Лада (Гранта FL, Лада Веста, XRAY, Нива Урбан), Renault (Duster, Fluence, Kaptur, Koleos, Logan, Sandero)</t>
  </si>
  <si>
    <t>hp-gzd-209-01</t>
  </si>
  <si>
    <t>HP-GZD-118-01</t>
  </si>
  <si>
    <t>HP-GZD-118</t>
  </si>
  <si>
    <t>Руль "F-1" (малый вылет) красный</t>
  </si>
  <si>
    <t>4156K+PVC+красный</t>
  </si>
  <si>
    <t>Руль "F-1" (малый вылет) синий</t>
  </si>
  <si>
    <t>Руль "F-1" (малый вылет) чёрный</t>
  </si>
  <si>
    <t>Руль "F-1" (средний вылет) жемчуг</t>
  </si>
  <si>
    <t>PT-4125+PVC+жемчуг</t>
  </si>
  <si>
    <t>Руль "F-1" CANADA красный карбоновый (средний вылета)</t>
  </si>
  <si>
    <t>Руль "F-1" CANADA синий карбоновый (средний вылет)</t>
  </si>
  <si>
    <t>Руль "F-1" CANADA чёрный карбоновый (средний вылет)</t>
  </si>
  <si>
    <t>Руль "F-1" EVO черный с карбоновой вставкой (без вылета)</t>
  </si>
  <si>
    <t xml:space="preserve"> 5155+PVC+черный</t>
  </si>
  <si>
    <t>Руль "F-1" LUXE серый (без вылета)</t>
  </si>
  <si>
    <t>Руль "F-1" Pentair-spider серый (средний вылет)</t>
  </si>
  <si>
    <t>5172</t>
  </si>
  <si>
    <t>Руль "F-1" клепаный низ (малый вылет) красный</t>
  </si>
  <si>
    <t>4156H+PVC+красный</t>
  </si>
  <si>
    <t>Руль "F-1" черный, клепаный (малый вылет)</t>
  </si>
  <si>
    <t>4156А+PVC+черный</t>
  </si>
  <si>
    <t>Руль "Nardi" кожзам для ВАЗ</t>
  </si>
  <si>
    <t>5106</t>
  </si>
  <si>
    <t>Руль "R1" анатомической формы (карбон) для ВАЗ</t>
  </si>
  <si>
    <t>4156H (карбон)</t>
  </si>
  <si>
    <t>Руль "R1" анатомической формы (черныйглянец) для ВАЗ</t>
  </si>
  <si>
    <t>5150А</t>
  </si>
  <si>
    <t>13064 замша</t>
  </si>
  <si>
    <t>Руль F-1 срезанная форма (малый вылет) черный</t>
  </si>
  <si>
    <t>4156F+PVC+черный</t>
  </si>
  <si>
    <t>5151</t>
  </si>
  <si>
    <t>Руль F1 "MOMO" анатомической формы для ВАЗ</t>
  </si>
  <si>
    <t>4156A+PVC+черный</t>
  </si>
  <si>
    <t xml:space="preserve">Руль F1 Sport черный для ВАЗ </t>
  </si>
  <si>
    <t>4189</t>
  </si>
  <si>
    <t>Руль Nardi "кожзам BLACK" для ВАЗ</t>
  </si>
  <si>
    <t>8919</t>
  </si>
  <si>
    <t>Руль R1 анатомической формы для ВАЗ</t>
  </si>
  <si>
    <t>Руль R1 для ВАЗ</t>
  </si>
  <si>
    <t>8903</t>
  </si>
  <si>
    <t>4100A</t>
  </si>
  <si>
    <t>4156</t>
  </si>
  <si>
    <t>4125 90 мм</t>
  </si>
  <si>
    <t>13001</t>
  </si>
  <si>
    <t>13012</t>
  </si>
  <si>
    <t>13076+жёлтый</t>
  </si>
  <si>
    <t>13076+синий</t>
  </si>
  <si>
    <t>13064</t>
  </si>
  <si>
    <t>4163</t>
  </si>
  <si>
    <t>4163 замша</t>
  </si>
  <si>
    <t>Руль с желтыми полосами для ВАЗ "MOMO"</t>
  </si>
  <si>
    <t>5134</t>
  </si>
  <si>
    <t xml:space="preserve">Руль спортивный черный для ВАЗ </t>
  </si>
  <si>
    <t>T-4125+PVC+68MM+черный</t>
  </si>
  <si>
    <t>Светодиодные лампы "S99" H1 6000К с вентилятором охлаждения</t>
  </si>
  <si>
    <t>Светодиодные лампы "The Best Partner" Canbus F5 H7 6500K с вентилятором охлаждения</t>
  </si>
  <si>
    <t>F501-65K-H7 / F5-H7-CN</t>
  </si>
  <si>
    <t>Спортивный руль "F-1 Sport" (Черный) для ВАЗ</t>
  </si>
  <si>
    <t>Спортивный руль R1 на автомобили ВАЗ</t>
  </si>
  <si>
    <t>4163 PVC черный</t>
  </si>
  <si>
    <t>Тюнинг задние фонари диодные (красно-белые, бегущий поворотник) для Лада Гранта, Гранта FL (седан)</t>
  </si>
  <si>
    <t>ZFT310RED-WHITE</t>
  </si>
  <si>
    <t>https://motorring.ru/product/16189-tyuning-fary-chernom-korpuse-diodnymi-dho-lada-granta</t>
  </si>
  <si>
    <t>Универсальные ПТФ "DLAA" LA 1029 B белые</t>
  </si>
  <si>
    <t>LA 1029 B</t>
  </si>
  <si>
    <t>Фары Bi-Led в стиле Lexus для Лада Ларгус</t>
  </si>
  <si>
    <t>Фонари задние с диодными повторителями, стопами и габаритами для Приора седан, хэтчбек</t>
  </si>
  <si>
    <t>Код товара</t>
  </si>
  <si>
    <t>Накладки на педали (квадратные)</t>
  </si>
  <si>
    <t>Накладки на педали (квадратные) (Синий)</t>
  </si>
  <si>
    <t>Накладки на педали (квадратные) (Чёрный)</t>
  </si>
  <si>
    <t>Накладки на педали (хром)</t>
  </si>
  <si>
    <t>Накладки на педали (хром) (Красный)</t>
  </si>
  <si>
    <t>Накладки на педали (хром) (Синий)</t>
  </si>
  <si>
    <t>Накладки на педали (хром) (Чёрный)</t>
  </si>
  <si>
    <t>Руль "R1" с цветной вставкой для ВАЗ</t>
  </si>
  <si>
    <t>Руль "R1" с цветной вставкой для ВАЗ (Белый)</t>
  </si>
  <si>
    <t>4166F</t>
  </si>
  <si>
    <t>Руль "R1" с цветной вставкой для ВАЗ (Коричневый)</t>
  </si>
  <si>
    <t>Руль "R1" с цветной вставкой для ВАЗ (Красный)</t>
  </si>
  <si>
    <t>Руль "R1" с цветной вставкой для ВАЗ (Оранжевый)</t>
  </si>
  <si>
    <t>Руль "R1" с цветной вставкой для ВАЗ (Серый)</t>
  </si>
  <si>
    <t>Руль "R1" с цветной вставкой для ВАЗ (Синий)</t>
  </si>
  <si>
    <t>Руль "R1" с цветной вставкой для ВАЗ (Черный карбон)</t>
  </si>
  <si>
    <t>Руль "R1" с цветной вставкой для ВАЗ (Чёрный)</t>
  </si>
  <si>
    <t>Руль R1 с цветными вставками для ВАЗ (Желтый)</t>
  </si>
  <si>
    <t>4156F</t>
  </si>
  <si>
    <t>Руль R1 с цветными вставками для ВАЗ (Коричневый)</t>
  </si>
  <si>
    <t>Руль R1 с цветными вставками для ВАЗ (Красный)</t>
  </si>
  <si>
    <t>Руль R1 с цветными вставками для ВАЗ (Серебристый)</t>
  </si>
  <si>
    <t>Руль R1 с цветными вставками для ВАЗ (Синий)</t>
  </si>
  <si>
    <t>Руль R1 с цветными вставками для ВАЗ (Хром)</t>
  </si>
  <si>
    <t>Руль R1 с цветными вставками для ВАЗ (Чёрный лак)</t>
  </si>
  <si>
    <t>Покрас</t>
  </si>
  <si>
    <t>не нашел</t>
  </si>
  <si>
    <t>не такие</t>
  </si>
  <si>
    <t>https://motorring.ru/product/32728-zadnie-diodnye-fonari-orlinyy-glaz-belyue-vaz</t>
  </si>
  <si>
    <t>https://motorring.ru/product/12720-zadnie-fonari-diodnymi-povtoritelyami-stopami-gabaritami</t>
  </si>
  <si>
    <t>https://motorring.ru/product/41799-chernye-fary-thebestpartner-linzami-dho-povorotnikom-largus</t>
  </si>
  <si>
    <t>https://motorring.ru/product/11855-nakladki-pedali-type-serebristo-sinie</t>
  </si>
  <si>
    <t>Column19</t>
  </si>
  <si>
    <t>Каталожный номер</t>
  </si>
  <si>
    <t>Артикул поставщика</t>
  </si>
  <si>
    <t>Фонарь противотуманный (ПТФ) в задний бампер с надписью "Vesta" для Лада Веста</t>
  </si>
  <si>
    <t>Элемент каталога</t>
  </si>
  <si>
    <t>Ряд</t>
  </si>
  <si>
    <t>Зеркала "МЕРСЕДЕС" с электрикой и обогревом для Лада Нива 4x4, Нива 4x4 Урбан (В цвет 240)</t>
  </si>
  <si>
    <t>https://motorring.ru/product/21068-nakladki-bokovye-zerkala-urban-stile-mersedes-amg-lada-niva</t>
  </si>
  <si>
    <t>#VALUE!_1</t>
  </si>
  <si>
    <t>3590</t>
  </si>
  <si>
    <t>319</t>
  </si>
  <si>
    <t>549</t>
  </si>
  <si>
    <t>590</t>
  </si>
  <si>
    <t>990</t>
  </si>
  <si>
    <t>649</t>
  </si>
  <si>
    <t>690</t>
  </si>
  <si>
    <t>629</t>
  </si>
  <si>
    <t>749</t>
  </si>
  <si>
    <t>790</t>
  </si>
  <si>
    <t>1490</t>
  </si>
  <si>
    <t>1190</t>
  </si>
  <si>
    <t>1390</t>
  </si>
  <si>
    <t>1590</t>
  </si>
  <si>
    <t>1890</t>
  </si>
  <si>
    <t>1889</t>
  </si>
  <si>
    <t>1990</t>
  </si>
  <si>
    <t>1689</t>
  </si>
  <si>
    <t>2290</t>
  </si>
  <si>
    <t>2190</t>
  </si>
  <si>
    <t>2990</t>
  </si>
  <si>
    <t>2490</t>
  </si>
  <si>
    <t>2390</t>
  </si>
  <si>
    <t>2690</t>
  </si>
  <si>
    <t>2590</t>
  </si>
  <si>
    <t>2790</t>
  </si>
  <si>
    <t>3390</t>
  </si>
  <si>
    <t>3490</t>
  </si>
  <si>
    <t>3190</t>
  </si>
  <si>
    <t>3990</t>
  </si>
  <si>
    <t>3890</t>
  </si>
  <si>
    <t>4790</t>
  </si>
  <si>
    <t>4190</t>
  </si>
  <si>
    <t>3790</t>
  </si>
  <si>
    <t>5190</t>
  </si>
  <si>
    <t>5290</t>
  </si>
  <si>
    <t>4590</t>
  </si>
  <si>
    <t>4390</t>
  </si>
  <si>
    <t>4290</t>
  </si>
  <si>
    <t>4690</t>
  </si>
  <si>
    <t>5090</t>
  </si>
  <si>
    <t>4490</t>
  </si>
  <si>
    <t>4890</t>
  </si>
  <si>
    <t>4990</t>
  </si>
  <si>
    <t>5890</t>
  </si>
  <si>
    <t>7490</t>
  </si>
  <si>
    <t>7990</t>
  </si>
  <si>
    <t>6590</t>
  </si>
  <si>
    <t>7890</t>
  </si>
  <si>
    <t>7190</t>
  </si>
  <si>
    <t>8490</t>
  </si>
  <si>
    <t>9790</t>
  </si>
  <si>
    <t>11990</t>
  </si>
  <si>
    <t>12490</t>
  </si>
  <si>
    <t>18190</t>
  </si>
  <si>
    <t>17990</t>
  </si>
  <si>
    <t>14990</t>
  </si>
  <si>
    <t>21290</t>
  </si>
  <si>
    <t>18890</t>
  </si>
  <si>
    <t>24990</t>
  </si>
  <si>
    <t>31290</t>
  </si>
  <si>
    <t>8190</t>
  </si>
  <si>
    <t>11290</t>
  </si>
  <si>
    <t>24390</t>
  </si>
  <si>
    <t>490</t>
  </si>
  <si>
    <t>390</t>
  </si>
  <si>
    <t>https://motorring.ru/product/20988-bokovye-zerkala-urban-elektroprivod-begayuschim</t>
  </si>
  <si>
    <t>https://motorring.ru/product/40272-reshetka-radiatora-hrom-led-plankoy-dho-obramlenii-far-lada4x4</t>
  </si>
  <si>
    <t>https://motorring.ru/product/40270-reshetka-radiatora-led-plankoy-dho-obramlenii-far-lada4x4</t>
  </si>
  <si>
    <t>https://motorring.ru/product/31230-protivotumannyy-fonary-bamper-dlya-lada-vesta</t>
  </si>
  <si>
    <t>https://motorring.ru/product/18765-antenna-shtatnaya-shevrole-niva</t>
  </si>
  <si>
    <t>https://motorring.ru/product/39162-chernye-perednie-fary-thebestpartner-stil-audi-trevel</t>
  </si>
  <si>
    <t>https://motorring.ru/product/34537-chernye-perednie-fary-thebestpartner-stil-audi-largus-fl</t>
  </si>
  <si>
    <t>https://motorring.ru/product/41830-diodnye-krasno-belye-fonari-dinamicheskie-granta-sedan</t>
  </si>
  <si>
    <t>https://motorring.ru/product/40881-chernye-perednie-fary-thebestpartner-lada-granta</t>
  </si>
  <si>
    <t>https://motorring.ru/product/40882-chernye-perednie-fary-thebestpartner-lada-xray</t>
  </si>
  <si>
    <t>https://motorring.ru/product/36728-fary-dyuymov-diodnoy-liniey-dlya-vaz-2101-2102-lada-4h4</t>
  </si>
  <si>
    <t>https://motorring.ru/product/24715-svetodiodnye-fary-nv-300-povtoritelem-povorota-vaz-2101</t>
  </si>
  <si>
    <t>https://motorring.ru/product/32387-svetodiodnye-lampy-6000k-linzoy</t>
  </si>
  <si>
    <t>https://motorring.ru/product/15374-perehodnik-dlya-ustanovki-sportivnogo-rulya-vaz-2101-2107</t>
  </si>
  <si>
    <t>(дубль) Светодиодные лампы "LED" S8, H11</t>
  </si>
  <si>
    <t>(дубль) Светодиодные лампы "LED" С09, H7</t>
  </si>
  <si>
    <t>(дубль) Светодиодные лампы LED H7 для Лада (Калина, Приора, Приора 2, Веста, XRAY), Шевроле Нива</t>
  </si>
  <si>
    <t>(дубль) Светодиодные лампы S8 H3</t>
  </si>
  <si>
    <t>(дубль) Светодиодные лампы Super LED C9 H3 6000К с вентилятором охлаждения</t>
  </si>
  <si>
    <t>(дубль) Светодиодные лампы Super LED C9 H4 6000К с вентилятором охлаждения</t>
  </si>
  <si>
    <t>(дубль) Светодиодные лампы Super LED C9 H7 6000К с вентилятором охлаждения</t>
  </si>
  <si>
    <t>(дубль) Светодиодные лампы Y9 mini LED HB4</t>
  </si>
  <si>
    <t>ZFT507RED</t>
  </si>
  <si>
    <t>ZFT507GREY</t>
  </si>
  <si>
    <t>Противотуманные LED фары "TheBestPartner" (светодиодные ПТФ) для для Лада Приора, Шевроле Нива</t>
  </si>
  <si>
    <t>HP-GZD-361-01</t>
  </si>
  <si>
    <t>Противотуманные LED фары "TheBestPartner" (светодиодные ПТФ) для Лада Гранта FL, Веста, XRAY, Ларгус FL, Нива 4х4, Нива Legend</t>
  </si>
  <si>
    <t>HP-GZD-361-02</t>
  </si>
  <si>
    <t>Светодиодные фары "TheBestPartner" (ДХО, повторитель) для ВАЗ (2101, 2102), Лада (Нива 4х4, Нива 4х4 Урбан), УАЗ (3303, 469, Хантер), Jeep Wrangler</t>
  </si>
  <si>
    <t>HP-HLD-095-01</t>
  </si>
  <si>
    <t>https://motorring.ru/product/42799-svetodiodnye-fary-thebestpartner-yarusniye-dho-7duimov</t>
  </si>
  <si>
    <t>ZFT310-1RED-WHITE</t>
  </si>
  <si>
    <t>Тюнинг задние фонари диодные (серо-белые) для Лада Гранта, Гранта FL (седан)</t>
  </si>
  <si>
    <t>ZFT513</t>
  </si>
  <si>
    <t>ZFT510</t>
  </si>
  <si>
    <t>ZPTF-110</t>
  </si>
  <si>
    <t>Диодные лампы "LED" HEADLIGHT Н1/H3/H4/H7 (с радиатором) для ВАЗ (2101-2107, 2108-21099, 2110-2112, 2113-2115), Лада (Калина, Калина 2, Приора, Приора 2, Гранта, Гранта FL, Веста, XRAY, Нива 4х4, Ларгус), Шевроле Нива</t>
  </si>
  <si>
    <t>Диодные лампы "LED" HEADLIGHT H3 (с радиатором) для ВАЗ (2101-2107, 2108-21099, 2110-2112, 2113-2115), Лада (Калина, Калина 2, Приора, Приора 2, Гранта, Гранта FL, Веста, XRAY, Нива 4х4, Ларгус), Шевроле Нива</t>
  </si>
  <si>
    <t>Диодные лампы "LED" HEADLIGHT H4 (с радиатором) для ВАЗ (2101-2107, 2108-21099, 2110-2112, 2113-2115), Лада (Калина, Калина 2, Приора, Приора 2, Гранта, Гранта FL, Веста, XRAY, Нива 4х4, Ларгус), Шевроле Нива</t>
  </si>
  <si>
    <t>Диодные лампы "LED" HEADLIGHT H7 (с радиатором) для ВАЗ (2101-2107, 2108-21099, 2110-2112, 2113-2115), Лада (Калина, Калина 2, Приора, Приора 2, Гранта, Гранта FL, Веста, XRAY, Нива 4х4, Ларгус), Шевроле Нива</t>
  </si>
  <si>
    <t>Диодные лампы "LED" HEADLIGHT Н1 (с радиатором) для ВАЗ (2101-2107, 2108-21099, 2110-2112, 2113-2115), Лада (Калина, Калина 2, Приора, Приора 2, Гранта, Гранта FL, Веста, XRAY, Нива 4х4, Ларгус), Шевроле Нива</t>
  </si>
  <si>
    <t>Накладки на зеркала в стиле Mercedes для Лада Нива 4х4, Нива 4х4 Урбан (В цвет 240)</t>
  </si>
  <si>
    <t>Накладки на педали (квадратные) (Желтый)</t>
  </si>
  <si>
    <t>Руль R1 с цветными вставками для ВАЗ</t>
  </si>
  <si>
    <t>Руль R1 с цветными вставками для ВАЗ (Белый)</t>
  </si>
  <si>
    <t>Руль R1 с цветными вставками для ВАЗ (Зелёный)</t>
  </si>
  <si>
    <t>Светодиодные лампы "LED" S8 H3/H4/H11 для ВАЗ (2101-2107, 2108-21099, 2110-2112, 2113-2115), Лада (Калина, Калина 2, Приора, Приора 2, Гранта, Гранта FL, Веста, XRAY, Нива 4х4, Ларгус), Шевроле Нива</t>
  </si>
  <si>
    <t>Светодиодные лампы "LED" S8 H11 для ВАЗ (2101-2107, 2108-21099, 2110-2112, 2113-2115), Лада (Калина, Калина 2, Приора, Приора 2, Гранта, Гранта FL, Веста, XRAY, Нива 4х4, Ларгус), Шевроле Нива</t>
  </si>
  <si>
    <t>Светодиодные лампы "LED" S8 H3 для ВАЗ (2101-2107, 2108-21099, 2110-2112, 2113-2115), Лада (Калина, Калина 2, Приора, Приора 2, Гранта, Гранта FL, Веста, XRAY, Нива 4х4, Ларгус), Шевроле Нива</t>
  </si>
  <si>
    <t>Светодиодные лампы "LED" S8 H4 для ВАЗ (2101-2107, 2108-21099, 2110-2112, 2113-2115), Лада (Калина, Калина 2, Приора, Приора 2, Гранта, Гранта FL, Веста, XRAY, Нива 4х4, Ларгус), Шевроле Нива</t>
  </si>
  <si>
    <t>Светодиодные лампы "LED" С09 H1/H7 для ВАЗ (2103, 2106, 2110-2112), Лада (Калина, Калина 2, Приора, Приора 2, Веста, XRAY), Шевроле Нива</t>
  </si>
  <si>
    <t>Светодиодные лампы "LED" С09 H1 для ВАЗ (2103, 2106, 2110-2112), Лада (Калина, Калина 2, Приора, Приора 2, Веста, XRAY), Шевроле Нива</t>
  </si>
  <si>
    <t>Светодиодные лампы "LED" С09 H7 для ВАЗ (2103, 2106, 2110-2112), Лада (Калина, Калина 2, Приора, Приора 2, Веста, XRAY), Шевроле Нива</t>
  </si>
  <si>
    <t>Светодиодные лампы LED H4/H7 для ВАЗ (2101-2107, 2108-21099, 2113-2115), Лада (Калина, Калина 2, Приора, Приора 2, Гранта, Нива 4x4, Ларгус, Веста, XRAY), Шевроле Нива</t>
  </si>
  <si>
    <t>Светодиодные лампы LED H4 для ВАЗ (2101-2107, 2108-21099, 2113-2115), Лада (Калина, Калина 2, Приора, Приора 2, Гранта, Нива 4x4, Ларгус, Веста, XRAY), Шевроле Нива</t>
  </si>
  <si>
    <t>Светодиодные лампы LED H7 для ВАЗ (2101-2107, 2108-21099, 2113-2115), Лада (Калина, Калина 2, Приора, Приора 2, Гранта, Нива 4x4, Ларгус, Веста, XRAY), Шевроле Нива</t>
  </si>
  <si>
    <t>Светодиодные лампы Super LED C9 H1/H3/H4/H7/H11 (6000К, с вентилятором охлаждения) для ВАЗ (2101-2107, 2108-21099, 2110-2112, 2113-2115), Лада (Калина, Калина 2, Приора, Приора 2, Гранта, Гранта FL, Веста, XRAY, Нива 4х4, Ларгус), Шевроле Нива</t>
  </si>
  <si>
    <t>Светодиодные лампы Super LED C9 H1 (6000К, с вентилятором охлаждения) для ВАЗ (2101-2107, 2108-21099, 2110-2112, 2113-2115), Лада (Калина, Калина 2, Приора, Приора 2, Гранта, Гранта FL, Веста, XRAY, Нива 4х4, Ларгус), Шевроле Нива</t>
  </si>
  <si>
    <t>Светодиодные лампы Super LED C9 H11 (6000К, с вентилятором охлаждения) для ВАЗ (2101-2107, 2108-21099, 2110-2112, 2113-2115), Лада (Калина, Калина 2, Приора, Приора 2, Гранта, Гранта FL, Веста, XRAY, Нива 4х4, Ларгус), Шевроле Нива</t>
  </si>
  <si>
    <t>Светодиодные лампы Super LED C9 H3 (6000К, с вентилятором охлаждения) для ВАЗ (2101-2107, 2108-21099, 2110-2112, 2113-2115), Лада (Калина, Калина 2, Приора, Приора 2, Гранта, Гранта FL, Веста, XRAY, Нива 4х4, Ларгус), Шевроле Нива</t>
  </si>
  <si>
    <t>Светодиодные лампы Super LED C9 H4 (6000К, с вентилятором охлаждения) для ВАЗ (2101-2107, 2108-21099, 2110-2112, 2113-2115), Лада (Калина, Калина 2, Приора, Приора 2, Гранта, Гранта FL, Веста, XRAY, Нива 4х4, Ларгус), Шевроле Нива</t>
  </si>
  <si>
    <t>Светодиодные лампы Super LED C9 H7 (6000К, с вентилятором охлаждения) для ВАЗ (2101-2107, 2108-21099, 2110-2112, 2113-2115), Лада (Калина, Калина 2, Приора, Приора 2, Гранта, Гранта FL, Веста, XRAY, Нива 4х4, Ларгус), Шевроле Нива</t>
  </si>
  <si>
    <t>Светодиодные лампы Y9 mini LED H11 для Лада (Калина, Калина 2, Приора, Приора 2, Гранта, Веста, XRAY), Шевроле Нива</t>
  </si>
  <si>
    <t>Светодиодные лампы Y9 mini LED H7 для Лада (Калина, Калина 2, Приора, Приора 2, Гранта, Веста, XRAY), Шевроле Нива</t>
  </si>
  <si>
    <t>Светодиодные лампы Y9 mini LED HB3 для Лада (Калина, Калина 2, Приора, Приора 2, Гранта, Веста, XRAY), Шевроле Нива</t>
  </si>
  <si>
    <t>Светодиодные лампы Y9 mini LED HB4 для Лада (Калина, Калина 2, Приора, Приора 2, Гранта, Веста, XRAY), Шевроле Нива</t>
  </si>
  <si>
    <t>https://motorring.ru/product/13665-nakladki-pedali-type-gheltye-kvadratnym-rezinovym</t>
  </si>
  <si>
    <t>https://motorring.ru/product/42797-svetodiodnye-ptf-thebestpartner-linza-beluye-priora</t>
  </si>
  <si>
    <t>https://motorring.ru/product/42798-svetodiodnye-ptf-thebestpartner-linza-regulirovkoy-vesta</t>
  </si>
  <si>
    <t>https://motorring.ru/product/32389-diodnye-ptf-linzy-kolycom-dho-dlya-lada-granta-lada-vesta</t>
  </si>
  <si>
    <t>https://motorring.ru/product/27722-diodnye-ptf-polos-analog-lada-granta-lada-vesta-iks-rey</t>
  </si>
  <si>
    <t>https://motorring.ru/product/40443-diodnye-ptf-linz-6000k-s-rasseivatelem-dlya-toyota-leksus</t>
  </si>
  <si>
    <t>https://motorring.ru/product/20643-svetodiodnye-dinamicheskie-povtoriteli-povorota-leksus</t>
  </si>
  <si>
    <t>https://motorring.ru/product/40446-diodnye-ptf-thebestpartner-1linza-6000k-dho-priora</t>
  </si>
  <si>
    <t>https://motorring.ru/product/15993-zadnie-fonari-krasnoy-polosoy-dlya-vaz-2106-lada-niva-4h4</t>
  </si>
  <si>
    <t>https://motorring.ru/product/40610-fonary-zadniye-stil-audi-lada-iks-rey</t>
  </si>
  <si>
    <t>https://motorring.ru/product/40620-fonary-zadniye-cherniye-stil-audi-lada-iks-rey</t>
  </si>
  <si>
    <t>https://motorring.ru/product/37147-zadnie-diodnye-tonirovanniye-fonari-stile-mersedes-granta</t>
  </si>
  <si>
    <t>не то</t>
  </si>
  <si>
    <t>1990 снят</t>
  </si>
  <si>
    <t>https://motorring.ru/product/27726-diodnye-ptf-60w-dvuhryadnie-analog-lada-priora</t>
  </si>
  <si>
    <t>https://motorring.ru/product/24273-bokovye-zerkala-piter-snejka-vaz-2104-2107</t>
  </si>
  <si>
    <t>https://motorring.ru/product/19759-ramki-ptf-dho-lada-granta</t>
  </si>
  <si>
    <t>https://motorring.ru/product/20819-perehodnik-dlya-ustanovki-sportivnogo-rulya-lada-kalina</t>
  </si>
  <si>
    <t>https://motorring.ru/product/20818-perehodnik-dlya-ustanovki-sportivnogo-rulya-vaz-2108-21099</t>
  </si>
  <si>
    <t>Комплектом</t>
  </si>
  <si>
    <t>https://motorring.ru/product/12868-podlokotnik-boks-vaz-2108-2109-21099</t>
  </si>
  <si>
    <t>https://motorring.ru/product/20460-bokovye-zerkala-volna-chernye-povtoritelem-dlya-vaz-2104</t>
  </si>
  <si>
    <t>https://motorring.ru/product/15988-bokovye-zerkala-f2-belye</t>
  </si>
  <si>
    <t>https://motorring.ru/product/15989-bokovye-zerkala-karbon</t>
  </si>
  <si>
    <t>https://motorring.ru/product/15965-bokovye-zerkala-hrom-povtoritelem-vaz-2108-21099-2113-2115</t>
  </si>
  <si>
    <t>https://motorring.ru/product/15958-bokovye-zerkala-belye-chernye-povtoritelem-vaz-2108-2115</t>
  </si>
  <si>
    <t>https://motorring.ru/product/15970-bokovye-zerkala-hrom-povtoritelem-3245-vaz-2108-15</t>
  </si>
  <si>
    <t>https://motorring.ru/product/20179-begayuschie-povtoriteli-povorota-leksus-stayl-zerkala</t>
  </si>
  <si>
    <t>https://motorring.ru/product/20303-povtoriteli-povorota-nadpisyyu-urban-lada-niva-4h4</t>
  </si>
  <si>
    <t>https://motorring.ru/product/21205-povtoriteli-povorota-led-nadpisyyu-niva-lada-niva-4h4</t>
  </si>
  <si>
    <t>929 снят</t>
  </si>
  <si>
    <t>https://motorring.ru/product/21207-povtoriteli-povorota-2polosy-lada-niva-4h4</t>
  </si>
  <si>
    <t>https://motorring.ru/product/42182-povtoriteli-povorota-beliye-nadpisyyu-urban-lada-niva-4h4</t>
  </si>
  <si>
    <t>https://motorring.ru/product/42185-povtoriteli-povorota-l-obraznym-risunkom-beliye-lada-niva-4h4</t>
  </si>
  <si>
    <t>https://motorring.ru/product/19342-diodnaya-balka-xk-18w</t>
  </si>
  <si>
    <t>https://motorring.ru/product/20181-svetodiodnye-vspyshki-fso-54w</t>
  </si>
  <si>
    <t>https://motorring.ru/product/22263-led-povtoriteli-povorotnika-l-obraznym-risunkom-polosy</t>
  </si>
  <si>
    <t>https://motorring.ru/product/22265-led-povtoriteli-povorotnika-risunkom-kvadraty-belye-lada</t>
  </si>
  <si>
    <t>https://motorring.ru/product/42183-povtoriteli-povorota-oranzevaya-polosa-lada-niva-4h4</t>
  </si>
  <si>
    <t>https://motorring.ru/product/11754-diodnaya-balka-24w-b-dalyniy-3vt</t>
  </si>
  <si>
    <t>https://motorring.ru/product/11742-diodnaya-balka-18w-c-dalyniy-3vt</t>
  </si>
  <si>
    <t>https://motorring.ru/product/11870-spoylery-diodom-dvorniki-krasnye</t>
  </si>
  <si>
    <t>https://motorring.ru/product/16590-rele-povtoriteley-dlya-diodnyh-podfarnikov-dho</t>
  </si>
  <si>
    <t>https://motorring.ru/product/11737-diodnaya-balka-10w-r-blighniy-10vt</t>
  </si>
  <si>
    <t>https://motorring.ru/product/11738-diodnaya-balka-10w-r-dalyniy-10vt</t>
  </si>
  <si>
    <t>https://motorring.ru/product/18760-diodnaya-balka-18l</t>
  </si>
  <si>
    <t>https://motorring.ru/product/19339-diodnaya-balka-327s</t>
  </si>
  <si>
    <t>https://motorring.ru/product/11757-diodnaya-balka-180w-kombinirovannaya-10vt</t>
  </si>
  <si>
    <t>https://motorring.ru/product/20182-diodnaya-balka-ys-45w</t>
  </si>
  <si>
    <t>https://motorring.ru/product/19334-diodnaya-balka-k-30</t>
  </si>
  <si>
    <t>https://motorring.ru/product/19338-diodnaya-balka-l-30</t>
  </si>
  <si>
    <t>https://motorring.ru/product/19349-diodnaya-balka-24s</t>
  </si>
  <si>
    <t>https://motorring.ru/product/11740-diodnaya-balka-18w-a-dalyniy-3vt</t>
  </si>
  <si>
    <t>https://motorring.ru/product/19347-diodnaya-balka-xk-36w</t>
  </si>
  <si>
    <t>https://motorring.ru/product/8271-diodnaya-balka-pl-1219-10w-10vt</t>
  </si>
  <si>
    <t>https://motorring.ru/product/19341-diodnaya-balka</t>
  </si>
  <si>
    <t>https://motorring.ru/product/19332-diodnaya-balka-10s</t>
  </si>
  <si>
    <t>https://motorring.ru/product/25052-svetodiodnye-podfarniki-dho-povtoritel-4x4-niva</t>
  </si>
  <si>
    <t>https://motorring.ru/product/17703-svetodiodnye-podfarniki-dlaa-begayuschim-povtoritelem-dho</t>
  </si>
  <si>
    <t>https://motorring.ru/product/15979-bokovye-zerkala-chernyy-lak-antiblikom-3381-vaz-2108-2115</t>
  </si>
  <si>
    <t>https://motorring.ru/product/4599-protivotumannye-fary-diodov-dlya-lada-priora</t>
  </si>
  <si>
    <t>https://motorring.ru/product/21783-svetodiodnye-lampy-sal-man-6000k-3800lm</t>
  </si>
  <si>
    <t>СВОД</t>
  </si>
  <si>
    <t>Данные</t>
  </si>
  <si>
    <t>Переменные</t>
  </si>
  <si>
    <t>3290</t>
  </si>
  <si>
    <t>229</t>
  </si>
  <si>
    <t>849</t>
  </si>
  <si>
    <t>949</t>
  </si>
  <si>
    <t>1290</t>
  </si>
  <si>
    <t>890</t>
  </si>
  <si>
    <t>529</t>
  </si>
  <si>
    <t>1690</t>
  </si>
  <si>
    <t>929</t>
  </si>
  <si>
    <t>1399</t>
  </si>
  <si>
    <t>1790</t>
  </si>
  <si>
    <t>18990</t>
  </si>
  <si>
    <t>30990</t>
  </si>
  <si>
    <t>8990</t>
  </si>
  <si>
    <t>8690</t>
  </si>
  <si>
    <t>2890</t>
  </si>
  <si>
    <t>479</t>
  </si>
  <si>
    <t>https://motorring.ru/product/21787-svetodiodnye-lampy-sal-man-6000k-3800lm-h11</t>
  </si>
  <si>
    <t>https://motorring.ru/product/21784-svetodiodnye-lampy-sal-man-6000k-3800lm</t>
  </si>
  <si>
    <t>https://motorring.ru/product/21785-svetodiodnye-lampy-sal-man-6000k-3800lm</t>
  </si>
  <si>
    <t>https://motorring.ru/product/21786-svetodiodnye-lampy-sal-man-6000k-3800lm</t>
  </si>
  <si>
    <t>HP-GZD-371-01</t>
  </si>
  <si>
    <t>ZFT317GREY</t>
  </si>
  <si>
    <t>GR-8888</t>
  </si>
  <si>
    <t>Q-800</t>
  </si>
  <si>
    <t>ZFT506RED</t>
  </si>
  <si>
    <t>ZFT506GREY</t>
  </si>
  <si>
    <t>(дубль) Декоративные накладки «Жабры» 0395 на кузов автомобиля, красные</t>
  </si>
  <si>
    <t>2</t>
  </si>
  <si>
    <t>302 LED</t>
  </si>
  <si>
    <t>Противотуманные фары "DLAA" светодиодные для Лада (Гранта FL, Веста, XRAY), Renault (Logan, Kaptur, Duster, Sandero)</t>
  </si>
  <si>
    <t>PT-653</t>
  </si>
  <si>
    <t>Руль "R1" анатомической формы для ВАЗ 4156Н+PVC (хром)</t>
  </si>
  <si>
    <t>Светодиодные лампы Super LED C9 H11 6000К с вентилятором охлаждения (пара)</t>
  </si>
  <si>
    <t>Светодиодные лампы Y9 mini LED H7 для Лада (Калина, Калина 2, Приора, Приора 2, Веста, XRAY), Шевроле Нива</t>
  </si>
  <si>
    <t>Светодиодные лампы Y9 mini LED HB3</t>
  </si>
  <si>
    <t>Стекла фар гладкие для ВАЗ 2105 и 2107</t>
  </si>
  <si>
    <t>https://motorring.ru/product/41519-komplekt-gladkih-stekol-far-iz-stekla-vaz-2107</t>
  </si>
  <si>
    <t>310 LED</t>
  </si>
  <si>
    <t>Декоративные накладки «Жабры» на кузов автомобиля</t>
  </si>
  <si>
    <t>Декоративные накладки «Жабры» на кузов автомобиля (Красный)</t>
  </si>
  <si>
    <t>Декоративные накладки «Жабры» на кузов автомобиля (Серебро)</t>
  </si>
  <si>
    <t>Декоративные накладки «Жабры» на кузов автомобиля (Синий)</t>
  </si>
  <si>
    <t>Светодиодные лампы Y9 mini LED H11 для Лада Калина, Калина 2, Приора, Приора 2, Гранта</t>
  </si>
  <si>
    <t>Спойлеры с диодом на дворники</t>
  </si>
  <si>
    <t>Спойлеры с диодом на дворники (Cеребристый)</t>
  </si>
  <si>
    <t>Спойлеры с диодом на дворники (Красный)</t>
  </si>
  <si>
    <t>Спойлеры с диодом на дворники (Синий)</t>
  </si>
  <si>
    <t>Спойлеры с диодом на дворники (Хром)</t>
  </si>
  <si>
    <t>Спойлеры с диодом на дворники (Черный карбон)</t>
  </si>
  <si>
    <t>не тот цвет</t>
  </si>
  <si>
    <t>РЦ</t>
  </si>
  <si>
    <t>ЗЦ</t>
  </si>
  <si>
    <t>ссыл</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</si>
</sst>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2" x14ac:knownFonts="1">
    <font>
      <sz val="11"/>
      <color theme="1"/>
      <name val="Calibri"/>
      <family val="2"/>
      <scheme val="minor"/>
    </font>
    <font>
      <sz val="10"/>
      <color theme="1"/>
      <name val="Calibri"/>
      <family val="2"/>
      <charset val="204"/>
    </font>
    <font>
      <sz val="10"/>
      <color theme="1"/>
      <name val="Calibri"/>
      <family val="2"/>
      <charset val="204"/>
    </font>
    <font>
      <sz val="11"/>
      <color theme="1"/>
      <name val="Calibri"/>
      <family val="2"/>
      <charset val="204"/>
      <scheme val="minor"/>
    </font>
    <font>
      <sz val="18"/>
      <color theme="3"/>
      <name val="Calibri Light"/>
      <family val="2"/>
      <charset val="204"/>
      <scheme val="major"/>
    </font>
    <font>
      <sz val="10"/>
      <color theme="1"/>
      <name val="Calibri"/>
      <family val="2"/>
      <charset val="204"/>
      <scheme val="minor"/>
    </font>
    <font>
      <u/>
      <sz val="11"/>
      <color theme="10"/>
      <name val="Calibri"/>
      <family val="2"/>
      <charset val="204"/>
      <scheme val="minor"/>
    </font>
    <font>
      <b/>
      <sz val="15"/>
      <color theme="3"/>
      <name val="Calibri"/>
      <family val="2"/>
      <charset val="204"/>
    </font>
    <font>
      <b/>
      <sz val="13"/>
      <color theme="3"/>
      <name val="Calibri"/>
      <family val="2"/>
      <charset val="204"/>
    </font>
    <font>
      <b/>
      <sz val="11"/>
      <color theme="3"/>
      <name val="Calibri"/>
      <family val="2"/>
      <charset val="204"/>
    </font>
    <font>
      <sz val="10"/>
      <color rgb="FF006100"/>
      <name val="Calibri"/>
      <family val="2"/>
      <charset val="204"/>
    </font>
    <font>
      <sz val="10"/>
      <color rgb="FF9C0006"/>
      <name val="Calibri"/>
      <family val="2"/>
      <charset val="204"/>
    </font>
    <font>
      <sz val="10"/>
      <color rgb="FF9C5700"/>
      <name val="Calibri"/>
      <family val="2"/>
      <charset val="204"/>
    </font>
    <font>
      <sz val="10"/>
      <color rgb="FF3F3F76"/>
      <name val="Calibri"/>
      <family val="2"/>
      <charset val="204"/>
    </font>
    <font>
      <b/>
      <sz val="10"/>
      <color rgb="FF3F3F3F"/>
      <name val="Calibri"/>
      <family val="2"/>
      <charset val="204"/>
    </font>
    <font>
      <b/>
      <sz val="10"/>
      <color rgb="FFFA7D00"/>
      <name val="Calibri"/>
      <family val="2"/>
      <charset val="204"/>
    </font>
    <font>
      <sz val="10"/>
      <color rgb="FFFA7D00"/>
      <name val="Calibri"/>
      <family val="2"/>
      <charset val="204"/>
    </font>
    <font>
      <b/>
      <sz val="10"/>
      <color theme="0"/>
      <name val="Calibri"/>
      <family val="2"/>
      <charset val="204"/>
    </font>
    <font>
      <sz val="10"/>
      <color rgb="FFFF0000"/>
      <name val="Calibri"/>
      <family val="2"/>
      <charset val="204"/>
    </font>
    <font>
      <i/>
      <sz val="10"/>
      <color rgb="FF7F7F7F"/>
      <name val="Calibri"/>
      <family val="2"/>
      <charset val="204"/>
    </font>
    <font>
      <b/>
      <sz val="10"/>
      <color theme="1"/>
      <name val="Calibri"/>
      <family val="2"/>
      <charset val="204"/>
    </font>
    <font>
      <sz val="10"/>
      <color theme="0"/>
      <name val="Calibri"/>
      <family val="2"/>
      <charset val="204"/>
    </font>
    <font>
      <sz val="11"/>
      <color theme="1"/>
      <name val="Calibri"/>
      <family val="2"/>
      <scheme val="minor"/>
    </font>
    <font>
      <b/>
      <sz val="11"/>
      <color theme="1"/>
      <name val="Calibri"/>
      <family val="1"/>
      <charset val="204"/>
    </font>
    <font>
      <b/>
      <sz val="10"/>
      <color theme="1"/>
      <name val="Calibri"/>
      <family val="2"/>
      <charset val="204"/>
      <scheme val="minor"/>
    </font>
    <font>
      <sz val="10"/>
      <color rgb="FFC00000"/>
      <name val="Calibri"/>
      <family val="2"/>
      <charset val="204"/>
    </font>
    <font>
      <sz val="10"/>
      <color rgb="FF7030A0"/>
      <name val="Calibri"/>
      <family val="2"/>
      <charset val="204"/>
    </font>
    <font>
      <sz val="10"/>
      <color theme="5" tint="-0.24994659260841701"/>
      <name val="Calibri"/>
      <family val="2"/>
      <charset val="204"/>
    </font>
    <font>
      <sz val="10"/>
      <name val="Calibri"/>
      <family val="2"/>
      <charset val="204"/>
    </font>
    <font>
      <sz val="11"/>
      <name val="Calibri"/>
      <family val="2"/>
      <charset val="204"/>
      <scheme val="minor"/>
    </font>
    <font>
      <sz val="10"/>
      <name val="Calibri"/>
      <family val="2"/>
      <charset val="204"/>
      <scheme val="minor"/>
    </font>
    <font>
      <sz val="8"/>
      <name val="Calibri"/>
      <family val="2"/>
      <scheme val="minor"/>
    </font>
  </fonts>
  <fills count="51">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FFFF00"/>
        <bgColor indexed="64"/>
      </patternFill>
    </fill>
    <fill>
      <patternFill patternType="solid">
        <fgColor theme="3" tint="0.59999389629810485"/>
        <bgColor indexed="64"/>
      </patternFill>
    </fill>
    <fill>
      <patternFill patternType="solid">
        <fgColor theme="7" tint="0.59999389629810485"/>
        <bgColor indexed="64"/>
      </patternFill>
    </fill>
    <fill>
      <patternFill patternType="solid">
        <fgColor rgb="FF92D050"/>
        <bgColor indexed="64"/>
      </patternFill>
    </fill>
    <fill>
      <patternFill patternType="solid">
        <fgColor theme="0" tint="-0.14996795556505021"/>
        <bgColor indexed="64"/>
      </patternFill>
    </fill>
    <fill>
      <patternFill patternType="solid">
        <fgColor rgb="FF002060"/>
        <bgColor indexed="64"/>
      </patternFill>
    </fill>
    <fill>
      <patternFill patternType="solid">
        <fgColor rgb="FF00B0F0"/>
        <bgColor indexed="64"/>
      </patternFill>
    </fill>
    <fill>
      <patternFill patternType="solid">
        <fgColor rgb="FFFF0000"/>
        <bgColor indexed="64"/>
      </patternFill>
    </fill>
    <fill>
      <patternFill patternType="solid">
        <fgColor theme="7" tint="0.79998168889431442"/>
        <bgColor indexed="64"/>
      </patternFill>
    </fill>
    <fill>
      <patternFill patternType="solid">
        <fgColor theme="7" tint="-0.249977111117893"/>
        <bgColor indexed="64"/>
      </patternFill>
    </fill>
    <fill>
      <patternFill patternType="solid">
        <fgColor theme="5" tint="-0.249977111117893"/>
        <bgColor indexed="64"/>
      </patternFill>
    </fill>
    <fill>
      <patternFill patternType="solid">
        <fgColor rgb="FFFFC000"/>
        <bgColor indexed="64"/>
      </patternFill>
    </fill>
    <fill>
      <patternFill patternType="solid">
        <fgColor theme="7" tint="0.39997558519241921"/>
        <bgColor indexed="64"/>
      </patternFill>
    </fill>
    <fill>
      <patternFill patternType="solid">
        <fgColor theme="3" tint="0.39997558519241921"/>
        <bgColor indexed="64"/>
      </patternFill>
    </fill>
    <fill>
      <patternFill patternType="solid">
        <fgColor theme="9" tint="0.59999389629810485"/>
        <bgColor indexed="64"/>
      </patternFill>
    </fill>
    <fill>
      <patternFill patternType="solid">
        <fgColor rgb="FF0070C0"/>
        <bgColor indexed="64"/>
      </patternFill>
    </fill>
    <fill>
      <patternFill patternType="solid">
        <fgColor theme="5" tint="-0.499984740745262"/>
        <bgColor indexed="64"/>
      </patternFill>
    </fill>
    <fill>
      <patternFill patternType="solid">
        <fgColor theme="7" tint="-0.499984740745262"/>
        <bgColor indexed="64"/>
      </patternFill>
    </fill>
  </fills>
  <borders count="18">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rgb="FF000000"/>
      </left>
      <right style="thin">
        <color rgb="FF000000"/>
      </right>
      <top style="thin">
        <color rgb="FF000000"/>
      </top>
      <bottom style="thin">
        <color rgb="FF000000"/>
      </bottom>
      <diagonal/>
    </border>
    <border>
      <left style="thin">
        <color rgb="FF000000"/>
      </left>
      <right style="thin">
        <color rgb="FF000000"/>
      </right>
      <top/>
      <bottom style="thin">
        <color rgb="FF000000"/>
      </bottom>
      <diagonal/>
    </border>
    <border>
      <left style="thin">
        <color indexed="64"/>
      </left>
      <right style="thin">
        <color indexed="64"/>
      </right>
      <top style="thin">
        <color indexed="64"/>
      </top>
      <bottom style="thin">
        <color indexed="64"/>
      </bottom>
      <diagonal/>
    </border>
    <border>
      <left/>
      <right style="double">
        <color rgb="FFFF0000"/>
      </right>
      <top/>
      <bottom style="double">
        <color rgb="FFFF0000"/>
      </bottom>
      <diagonal/>
    </border>
    <border>
      <left/>
      <right style="double">
        <color rgb="FF7030A0"/>
      </right>
      <top/>
      <bottom style="double">
        <color rgb="FF7030A0"/>
      </bottom>
      <diagonal/>
    </border>
    <border>
      <left/>
      <right style="double">
        <color theme="5" tint="-0.24994659260841701"/>
      </right>
      <top/>
      <bottom style="double">
        <color theme="5" tint="-0.24994659260841701"/>
      </bottom>
      <diagonal/>
    </border>
    <border diagonalUp="1" diagonalDown="1">
      <left/>
      <right/>
      <top/>
      <bottom/>
      <diagonal style="double">
        <color rgb="FFC00000"/>
      </diagonal>
    </border>
    <border>
      <left/>
      <right style="double">
        <color theme="0"/>
      </right>
      <top/>
      <bottom style="double">
        <color theme="0"/>
      </bottom>
      <diagonal/>
    </border>
  </borders>
  <cellStyleXfs count="86">
    <xf numFmtId="0" fontId="0" fillId="0" borderId="0"/>
    <xf numFmtId="9" fontId="3" fillId="0" borderId="0" applyFont="0" applyFill="0" applyBorder="0" applyAlignment="0" applyProtection="0"/>
    <xf numFmtId="0" fontId="4" fillId="0" borderId="0" applyNumberFormat="0" applyFill="0" applyBorder="0" applyAlignment="0" applyProtection="0"/>
    <xf numFmtId="0" fontId="7" fillId="39" borderId="1" applyNumberFormat="0" applyFont="0" applyBorder="0" applyAlignment="0" applyProtection="0"/>
    <xf numFmtId="0" fontId="8" fillId="33" borderId="2" applyNumberFormat="0" applyFont="0" applyBorder="0" applyAlignment="0" applyProtection="0"/>
    <xf numFmtId="0" fontId="9" fillId="40" borderId="3" applyNumberFormat="0" applyFont="0" applyBorder="0" applyAlignment="0" applyProtection="0"/>
    <xf numFmtId="0" fontId="9" fillId="0" borderId="0" applyNumberFormat="0" applyFill="0" applyBorder="0" applyAlignment="0" applyProtection="0"/>
    <xf numFmtId="0" fontId="10" fillId="2" borderId="0" applyNumberFormat="0" applyBorder="0" applyAlignment="0" applyProtection="0"/>
    <xf numFmtId="0" fontId="11" fillId="3" borderId="0" applyNumberFormat="0" applyBorder="0" applyAlignment="0" applyProtection="0"/>
    <xf numFmtId="0" fontId="12" fillId="4" borderId="0" applyNumberFormat="0" applyBorder="0" applyAlignment="0" applyProtection="0"/>
    <xf numFmtId="0" fontId="13" fillId="5" borderId="4" applyNumberFormat="0" applyAlignment="0" applyProtection="0"/>
    <xf numFmtId="0" fontId="14" fillId="6" borderId="5" applyNumberFormat="0" applyAlignment="0" applyProtection="0"/>
    <xf numFmtId="0" fontId="15" fillId="6" borderId="4" applyNumberFormat="0" applyAlignment="0" applyProtection="0"/>
    <xf numFmtId="0" fontId="16" fillId="0" borderId="6" applyNumberFormat="0" applyFill="0" applyAlignment="0" applyProtection="0"/>
    <xf numFmtId="0" fontId="17" fillId="7" borderId="7" applyNumberFormat="0" applyAlignment="0" applyProtection="0"/>
    <xf numFmtId="0" fontId="18" fillId="0" borderId="0" applyNumberFormat="0" applyFill="0" applyBorder="0" applyAlignment="0" applyProtection="0"/>
    <xf numFmtId="0" fontId="3" fillId="8" borderId="8" applyNumberFormat="0" applyFont="0" applyAlignment="0" applyProtection="0"/>
    <xf numFmtId="0" fontId="19" fillId="0" borderId="0" applyNumberFormat="0" applyFill="0" applyBorder="0" applyAlignment="0" applyProtection="0"/>
    <xf numFmtId="0" fontId="20" fillId="0" borderId="9" applyNumberFormat="0" applyFill="0" applyAlignment="0" applyProtection="0"/>
    <xf numFmtId="0" fontId="25" fillId="0" borderId="13" applyNumberFormat="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26" fillId="0" borderId="14" applyNumberFormat="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27" fillId="0" borderId="15" applyNumberFormat="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25" fillId="37" borderId="16" applyNumberFormat="0" applyProtection="0">
      <alignment horizontal="center" vertical="center"/>
    </xf>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21" fillId="38" borderId="17" applyNumberFormat="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28" fillId="36"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6" fillId="0" borderId="0" applyNumberFormat="0" applyFill="0" applyBorder="0" applyAlignment="0" applyProtection="0"/>
    <xf numFmtId="0" fontId="2" fillId="0" borderId="0"/>
    <xf numFmtId="0" fontId="7" fillId="0" borderId="1" applyNumberFormat="0" applyFill="0" applyAlignment="0" applyProtection="0"/>
    <xf numFmtId="0" fontId="8" fillId="0" borderId="2" applyNumberFormat="0" applyFill="0" applyAlignment="0" applyProtection="0"/>
    <xf numFmtId="0" fontId="9" fillId="0" borderId="3" applyNumberFormat="0" applyFill="0" applyAlignment="0" applyProtection="0"/>
    <xf numFmtId="0" fontId="9" fillId="0" borderId="0" applyNumberFormat="0" applyFill="0" applyBorder="0" applyAlignment="0" applyProtection="0"/>
    <xf numFmtId="0" fontId="10" fillId="2" borderId="0" applyNumberFormat="0" applyBorder="0" applyAlignment="0" applyProtection="0"/>
    <xf numFmtId="0" fontId="11" fillId="3" borderId="0" applyNumberFormat="0" applyBorder="0" applyAlignment="0" applyProtection="0"/>
    <xf numFmtId="0" fontId="12" fillId="4" borderId="0" applyNumberFormat="0" applyBorder="0" applyAlignment="0" applyProtection="0"/>
    <xf numFmtId="0" fontId="13" fillId="5" borderId="4" applyNumberFormat="0" applyAlignment="0" applyProtection="0"/>
    <xf numFmtId="0" fontId="14" fillId="6" borderId="5" applyNumberFormat="0" applyAlignment="0" applyProtection="0"/>
    <xf numFmtId="0" fontId="15" fillId="6" borderId="4" applyNumberFormat="0" applyAlignment="0" applyProtection="0"/>
    <xf numFmtId="0" fontId="16" fillId="0" borderId="6" applyNumberFormat="0" applyFill="0" applyAlignment="0" applyProtection="0"/>
    <xf numFmtId="0" fontId="17" fillId="7" borderId="7" applyNumberFormat="0" applyAlignment="0" applyProtection="0"/>
    <xf numFmtId="0" fontId="18" fillId="0" borderId="0" applyNumberFormat="0" applyFill="0" applyBorder="0" applyAlignment="0" applyProtection="0"/>
    <xf numFmtId="0" fontId="2" fillId="8" borderId="8" applyNumberFormat="0" applyFont="0" applyAlignment="0" applyProtection="0"/>
    <xf numFmtId="0" fontId="19" fillId="0" borderId="0" applyNumberFormat="0" applyFill="0" applyBorder="0" applyAlignment="0" applyProtection="0"/>
    <xf numFmtId="0" fontId="20" fillId="0" borderId="9" applyNumberFormat="0" applyFill="0" applyAlignment="0" applyProtection="0"/>
    <xf numFmtId="0" fontId="21" fillId="9" borderId="0" applyNumberFormat="0" applyBorder="0" applyAlignment="0" applyProtection="0"/>
    <xf numFmtId="0" fontId="2" fillId="10" borderId="0" applyNumberFormat="0" applyBorder="0" applyAlignment="0" applyProtection="0"/>
    <xf numFmtId="0" fontId="2" fillId="11" borderId="0" applyNumberFormat="0" applyBorder="0" applyAlignment="0" applyProtection="0"/>
    <xf numFmtId="0" fontId="2" fillId="12" borderId="0" applyNumberFormat="0" applyBorder="0" applyAlignment="0" applyProtection="0"/>
    <xf numFmtId="0" fontId="21" fillId="13" borderId="0" applyNumberFormat="0" applyBorder="0" applyAlignment="0" applyProtection="0"/>
    <xf numFmtId="0" fontId="2" fillId="14" borderId="0" applyNumberFormat="0" applyBorder="0" applyAlignment="0" applyProtection="0"/>
    <xf numFmtId="0" fontId="2" fillId="15" borderId="0" applyNumberFormat="0" applyBorder="0" applyAlignment="0" applyProtection="0"/>
    <xf numFmtId="0" fontId="2" fillId="16" borderId="0" applyNumberFormat="0" applyBorder="0" applyAlignment="0" applyProtection="0"/>
    <xf numFmtId="0" fontId="21" fillId="17" borderId="0" applyNumberFormat="0" applyBorder="0" applyAlignment="0" applyProtection="0"/>
    <xf numFmtId="0" fontId="2" fillId="18" borderId="0" applyNumberFormat="0" applyBorder="0" applyAlignment="0" applyProtection="0"/>
    <xf numFmtId="0" fontId="2" fillId="19" borderId="0" applyNumberFormat="0" applyBorder="0" applyAlignment="0" applyProtection="0"/>
    <xf numFmtId="0" fontId="2" fillId="20" borderId="0" applyNumberFormat="0" applyBorder="0" applyAlignment="0" applyProtection="0"/>
    <xf numFmtId="0" fontId="21"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4" borderId="0" applyNumberFormat="0" applyBorder="0" applyAlignment="0" applyProtection="0"/>
    <xf numFmtId="0" fontId="21"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8" borderId="0" applyNumberFormat="0" applyBorder="0" applyAlignment="0" applyProtection="0"/>
    <xf numFmtId="0" fontId="21"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2" borderId="0" applyNumberFormat="0" applyBorder="0" applyAlignment="0" applyProtection="0"/>
    <xf numFmtId="0" fontId="22" fillId="0" borderId="0"/>
  </cellStyleXfs>
  <cellXfs count="96">
    <xf numFmtId="0" fontId="0" fillId="0" borderId="0" xfId="0"/>
    <xf numFmtId="49" fontId="5" fillId="0" borderId="10" xfId="0" applyNumberFormat="1" applyFont="1" applyBorder="1" applyAlignment="1">
      <alignment wrapText="1"/>
    </xf>
    <xf numFmtId="49" fontId="5" fillId="0" borderId="10" xfId="0" applyNumberFormat="1" applyFont="1" applyBorder="1" applyAlignment="1">
      <alignment horizontal="left" wrapText="1"/>
    </xf>
    <xf numFmtId="0" fontId="0" fillId="0" borderId="10" xfId="0" applyBorder="1" applyAlignment="1">
      <alignment horizontal="center"/>
    </xf>
    <xf numFmtId="0" fontId="0" fillId="0" borderId="11" xfId="0" applyBorder="1" applyAlignment="1">
      <alignment horizontal="center"/>
    </xf>
    <xf numFmtId="2" fontId="5" fillId="0" borderId="10" xfId="0" applyNumberFormat="1" applyFont="1" applyBorder="1" applyAlignment="1">
      <alignment horizontal="left" wrapText="1"/>
    </xf>
    <xf numFmtId="2" fontId="5" fillId="0" borderId="10" xfId="0" applyNumberFormat="1" applyFont="1" applyBorder="1" applyAlignment="1">
      <alignment wrapText="1"/>
    </xf>
    <xf numFmtId="2" fontId="0" fillId="0" borderId="0" xfId="0" applyNumberFormat="1"/>
    <xf numFmtId="0" fontId="0" fillId="34" borderId="12" xfId="0" applyFill="1" applyBorder="1"/>
    <xf numFmtId="0" fontId="6" fillId="0" borderId="12" xfId="43" applyBorder="1" applyAlignment="1">
      <alignment horizontal="center" vertical="center" wrapText="1"/>
    </xf>
    <xf numFmtId="0" fontId="0" fillId="33" borderId="10" xfId="0" applyFill="1" applyBorder="1" applyAlignment="1">
      <alignment horizontal="center"/>
    </xf>
    <xf numFmtId="0" fontId="22" fillId="0" borderId="0" xfId="0" applyFont="1" applyAlignment="1">
      <alignment horizontal="left" vertical="top" wrapText="1"/>
    </xf>
    <xf numFmtId="0" fontId="23" fillId="0" borderId="0" xfId="0" applyFont="1" applyAlignment="1">
      <alignment horizontal="left" vertical="top" wrapText="1"/>
    </xf>
    <xf numFmtId="0" fontId="0" fillId="0" borderId="0" xfId="0" applyNumberFormat="1"/>
    <xf numFmtId="0" fontId="29" fillId="41" borderId="12" xfId="0" applyFont="1" applyFill="1" applyBorder="1" applyAlignment="1">
      <alignment horizontal="left" vertical="center"/>
    </xf>
    <xf numFmtId="0" fontId="0" fillId="44" borderId="0" xfId="0" applyFill="1"/>
    <xf numFmtId="9" fontId="0" fillId="0" borderId="0" xfId="0" quotePrefix="1" applyNumberFormat="1"/>
    <xf numFmtId="0" fontId="0" fillId="0" borderId="0" xfId="0" quotePrefix="1"/>
    <xf numFmtId="9" fontId="0" fillId="0" borderId="0" xfId="1" applyFont="1"/>
    <xf numFmtId="9" fontId="0" fillId="33" borderId="12" xfId="0" applyNumberFormat="1" applyFill="1" applyBorder="1"/>
    <xf numFmtId="0" fontId="24" fillId="0" borderId="12" xfId="0" applyFont="1" applyBorder="1" applyAlignment="1">
      <alignment horizontal="center" vertical="center" wrapText="1"/>
    </xf>
    <xf numFmtId="2" fontId="24" fillId="0" borderId="12" xfId="0" applyNumberFormat="1" applyFont="1" applyBorder="1" applyAlignment="1">
      <alignment horizontal="center" vertical="center" wrapText="1"/>
    </xf>
    <xf numFmtId="9" fontId="3" fillId="0" borderId="12" xfId="1" applyFont="1" applyBorder="1" applyAlignment="1">
      <alignment wrapText="1"/>
    </xf>
    <xf numFmtId="0" fontId="0" fillId="0" borderId="0" xfId="0" applyAlignment="1">
      <alignment wrapText="1"/>
    </xf>
    <xf numFmtId="0" fontId="23" fillId="46" borderId="12" xfId="0" applyFont="1" applyFill="1" applyBorder="1" applyAlignment="1">
      <alignment horizontal="left" vertical="top" wrapText="1"/>
    </xf>
    <xf numFmtId="0" fontId="0" fillId="0" borderId="12" xfId="0" applyBorder="1" applyAlignment="1">
      <alignment wrapText="1"/>
    </xf>
    <xf numFmtId="0" fontId="0" fillId="0" borderId="12" xfId="0" applyBorder="1"/>
    <xf numFmtId="1" fontId="0" fillId="0" borderId="0" xfId="0" applyNumberFormat="1"/>
    <xf numFmtId="1" fontId="23" fillId="47" borderId="12" xfId="0" applyNumberFormat="1" applyFont="1" applyFill="1" applyBorder="1" applyAlignment="1">
      <alignment horizontal="left" vertical="top" wrapText="1"/>
    </xf>
    <xf numFmtId="9" fontId="23" fillId="41" borderId="12" xfId="1" applyFont="1" applyFill="1" applyBorder="1" applyAlignment="1">
      <alignment horizontal="left" vertical="top" wrapText="1"/>
    </xf>
    <xf numFmtId="9" fontId="29" fillId="41" borderId="12" xfId="0" applyNumberFormat="1" applyFont="1" applyFill="1" applyBorder="1" applyAlignment="1">
      <alignment horizontal="left" vertical="center"/>
    </xf>
    <xf numFmtId="1" fontId="11" fillId="3" borderId="10" xfId="8" applyNumberFormat="1" applyBorder="1" applyAlignment="1">
      <alignment horizontal="left" wrapText="1"/>
    </xf>
    <xf numFmtId="1" fontId="5" fillId="0" borderId="10" xfId="0" applyNumberFormat="1" applyFont="1" applyBorder="1" applyAlignment="1">
      <alignment wrapText="1"/>
    </xf>
    <xf numFmtId="1" fontId="5" fillId="33" borderId="10" xfId="0" applyNumberFormat="1" applyFont="1" applyFill="1" applyBorder="1" applyAlignment="1">
      <alignment wrapText="1"/>
    </xf>
    <xf numFmtId="1" fontId="5" fillId="0" borderId="10" xfId="0" applyNumberFormat="1" applyFont="1" applyBorder="1" applyAlignment="1">
      <alignment horizontal="left" wrapText="1"/>
    </xf>
    <xf numFmtId="1" fontId="0" fillId="33" borderId="0" xfId="0" applyNumberFormat="1" applyFill="1"/>
    <xf numFmtId="1" fontId="23" fillId="41" borderId="12" xfId="1" applyNumberFormat="1" applyFont="1" applyFill="1" applyBorder="1" applyAlignment="1">
      <alignment horizontal="left" vertical="top" wrapText="1"/>
    </xf>
    <xf numFmtId="1" fontId="23" fillId="46" borderId="12" xfId="0" applyNumberFormat="1" applyFont="1" applyFill="1" applyBorder="1" applyAlignment="1">
      <alignment horizontal="left" vertical="top" wrapText="1"/>
    </xf>
    <xf numFmtId="1" fontId="29" fillId="41" borderId="12" xfId="0" applyNumberFormat="1" applyFont="1" applyFill="1" applyBorder="1" applyAlignment="1">
      <alignment horizontal="left" vertical="center"/>
    </xf>
    <xf numFmtId="1" fontId="5" fillId="33" borderId="10" xfId="0" applyNumberFormat="1" applyFont="1" applyFill="1" applyBorder="1" applyAlignment="1">
      <alignment horizontal="left" wrapText="1"/>
    </xf>
    <xf numFmtId="1" fontId="0" fillId="0" borderId="12" xfId="0" applyNumberFormat="1" applyBorder="1"/>
    <xf numFmtId="1" fontId="28" fillId="33" borderId="10" xfId="8" applyNumberFormat="1" applyFont="1" applyFill="1" applyBorder="1" applyAlignment="1">
      <alignment horizontal="right" wrapText="1"/>
    </xf>
    <xf numFmtId="1" fontId="5" fillId="48" borderId="10" xfId="0" applyNumberFormat="1" applyFont="1" applyFill="1" applyBorder="1" applyAlignment="1">
      <alignment horizontal="left" wrapText="1"/>
    </xf>
    <xf numFmtId="1" fontId="28" fillId="44" borderId="10" xfId="8" applyNumberFormat="1" applyFont="1" applyFill="1" applyBorder="1" applyAlignment="1">
      <alignment horizontal="right" wrapText="1"/>
    </xf>
    <xf numFmtId="0" fontId="0" fillId="44" borderId="12" xfId="0" applyFill="1" applyBorder="1"/>
    <xf numFmtId="3" fontId="5" fillId="35" borderId="12" xfId="0" applyNumberFormat="1" applyFont="1" applyFill="1" applyBorder="1" applyAlignment="1">
      <alignment horizontal="center" vertical="center"/>
    </xf>
    <xf numFmtId="3" fontId="5" fillId="45" borderId="12" xfId="0" applyNumberFormat="1" applyFont="1" applyFill="1" applyBorder="1" applyAlignment="1">
      <alignment horizontal="center" vertical="center"/>
    </xf>
    <xf numFmtId="3" fontId="5" fillId="42" borderId="12" xfId="0" applyNumberFormat="1" applyFont="1" applyFill="1" applyBorder="1" applyAlignment="1">
      <alignment horizontal="center" vertical="center"/>
    </xf>
    <xf numFmtId="3" fontId="5" fillId="43" borderId="12" xfId="0" applyNumberFormat="1" applyFont="1" applyFill="1" applyBorder="1" applyAlignment="1">
      <alignment horizontal="center" vertical="center"/>
    </xf>
    <xf numFmtId="3" fontId="5" fillId="49" borderId="12" xfId="0" applyNumberFormat="1" applyFont="1" applyFill="1" applyBorder="1" applyAlignment="1">
      <alignment horizontal="center" vertical="center"/>
    </xf>
    <xf numFmtId="1" fontId="30" fillId="40" borderId="12" xfId="0" applyNumberFormat="1" applyFont="1" applyFill="1" applyBorder="1" applyAlignment="1">
      <alignment horizontal="center" vertical="center" wrapText="1"/>
    </xf>
    <xf numFmtId="1" fontId="5" fillId="0" borderId="10" xfId="0" applyNumberFormat="1" applyFont="1" applyBorder="1" applyAlignment="1">
      <alignment horizontal="center" wrapText="1"/>
    </xf>
    <xf numFmtId="1" fontId="6" fillId="44" borderId="12" xfId="43" applyNumberFormat="1" applyFill="1" applyBorder="1" applyAlignment="1">
      <alignment horizontal="center" vertical="center" wrapText="1"/>
    </xf>
    <xf numFmtId="1" fontId="0" fillId="41" borderId="12" xfId="0" applyNumberFormat="1" applyFill="1" applyBorder="1" applyAlignment="1">
      <alignment horizontal="left"/>
    </xf>
    <xf numFmtId="1" fontId="0" fillId="35" borderId="12" xfId="0" applyNumberFormat="1" applyFill="1" applyBorder="1" applyAlignment="1">
      <alignment horizontal="left"/>
    </xf>
    <xf numFmtId="1" fontId="0" fillId="45" borderId="12" xfId="0" applyNumberFormat="1" applyFill="1" applyBorder="1" applyAlignment="1">
      <alignment horizontal="left"/>
    </xf>
    <xf numFmtId="1" fontId="0" fillId="42" borderId="12" xfId="0" applyNumberFormat="1" applyFill="1" applyBorder="1" applyAlignment="1">
      <alignment horizontal="left"/>
    </xf>
    <xf numFmtId="1" fontId="0" fillId="50" borderId="12" xfId="0" applyNumberFormat="1" applyFill="1" applyBorder="1" applyAlignment="1">
      <alignment horizontal="left"/>
    </xf>
    <xf numFmtId="1" fontId="5" fillId="40" borderId="12" xfId="0" applyNumberFormat="1" applyFont="1" applyFill="1" applyBorder="1" applyAlignment="1">
      <alignment horizontal="left" vertical="center"/>
    </xf>
    <xf numFmtId="1" fontId="30" fillId="0" borderId="12" xfId="0" applyNumberFormat="1" applyFont="1" applyBorder="1" applyAlignment="1">
      <alignment horizontal="left" vertical="center" wrapText="1"/>
    </xf>
    <xf numFmtId="1" fontId="5" fillId="48" borderId="12" xfId="0" applyNumberFormat="1" applyFont="1" applyFill="1" applyBorder="1" applyAlignment="1">
      <alignment horizontal="left" vertical="center"/>
    </xf>
    <xf numFmtId="0" fontId="23" fillId="0" borderId="12" xfId="0" applyFont="1" applyBorder="1" applyAlignment="1" applyProtection="1">
      <alignment horizontal="left" vertical="top" wrapText="1"/>
    </xf>
    <xf numFmtId="1" fontId="0" fillId="0" borderId="12" xfId="0" applyNumberFormat="1" applyBorder="1" applyAlignment="1" applyProtection="1">
      <alignment horizontal="left" vertical="top" wrapText="1"/>
    </xf>
    <xf numFmtId="0" fontId="0" fillId="0" borderId="12" xfId="0" applyBorder="1" applyAlignment="1" applyProtection="1">
      <alignment horizontal="left" vertical="top" wrapText="1"/>
    </xf>
    <xf numFmtId="1" fontId="23" fillId="33" borderId="12" xfId="0" applyNumberFormat="1" applyFont="1" applyFill="1" applyBorder="1" applyAlignment="1" applyProtection="1">
      <alignment horizontal="left" vertical="top" wrapText="1"/>
    </xf>
    <xf numFmtId="0" fontId="23" fillId="0" borderId="12" xfId="0" applyFont="1" applyBorder="1" applyAlignment="1" applyProtection="1">
      <alignment horizontal="left" vertical="top" wrapText="1"/>
    </xf>
    <xf numFmtId="1" fontId="0" fillId="0" borderId="12" xfId="0" applyNumberFormat="1" applyBorder="1" applyAlignment="1" applyProtection="1">
      <alignment horizontal="left" vertical="top" wrapText="1"/>
    </xf>
    <xf numFmtId="0" fontId="0" fillId="0" borderId="12" xfId="0" applyBorder="1" applyAlignment="1" applyProtection="1">
      <alignment horizontal="left" vertical="top" wrapText="1"/>
    </xf>
    <xf numFmtId="1" fontId="23" fillId="33" borderId="12" xfId="0" applyNumberFormat="1" applyFont="1" applyFill="1" applyBorder="1" applyAlignment="1" applyProtection="1">
      <alignment horizontal="left" vertical="top" wrapText="1"/>
    </xf>
    <xf numFmtId="0" fontId="0" fillId="34" borderId="12" xfId="0" applyFill="1" applyBorder="1" applyAlignment="1">
      <alignment wrapText="1"/>
    </xf>
    <xf numFmtId="1" fontId="5" fillId="33" borderId="12" xfId="0" applyNumberFormat="1" applyFont="1" applyFill="1" applyBorder="1" applyAlignment="1">
      <alignment horizontal="left" wrapText="1"/>
    </xf>
    <xf numFmtId="0" fontId="0" fillId="0" borderId="0" xfId="0" applyAlignment="1">
      <alignment horizontal="left"/>
    </xf>
    <xf numFmtId="0" fontId="0" fillId="0" borderId="0" xfId="0" applyAlignment="1">
      <alignment horizontal="left" wrapText="1"/>
    </xf>
    <xf numFmtId="9" fontId="0" fillId="0" borderId="0" xfId="1" applyFont="1" applyAlignment="1">
      <alignment horizontal="left"/>
    </xf>
    <xf numFmtId="2" fontId="0" fillId="0" borderId="0" xfId="0" applyNumberFormat="1" applyAlignment="1">
      <alignment horizontal="left"/>
    </xf>
    <xf numFmtId="1" fontId="0" fillId="0" borderId="0" xfId="0" applyNumberFormat="1" applyAlignment="1">
      <alignment horizontal="left"/>
    </xf>
    <xf numFmtId="9" fontId="0" fillId="33" borderId="12" xfId="0" applyNumberFormat="1" applyFill="1" applyBorder="1" applyAlignment="1">
      <alignment horizontal="left"/>
    </xf>
    <xf numFmtId="2" fontId="0" fillId="33" borderId="0" xfId="0" applyNumberFormat="1" applyFill="1" applyAlignment="1">
      <alignment horizontal="left"/>
    </xf>
    <xf numFmtId="0" fontId="24" fillId="0" borderId="12" xfId="0" applyFont="1" applyBorder="1" applyAlignment="1">
      <alignment horizontal="left" vertical="center" wrapText="1"/>
    </xf>
    <xf numFmtId="2" fontId="24" fillId="0" borderId="12" xfId="0" applyNumberFormat="1" applyFont="1" applyBorder="1" applyAlignment="1">
      <alignment horizontal="left" vertical="center" wrapText="1"/>
    </xf>
    <xf numFmtId="0" fontId="0" fillId="0" borderId="12" xfId="0" applyBorder="1" applyAlignment="1">
      <alignment horizontal="left"/>
    </xf>
    <xf numFmtId="0" fontId="0" fillId="0" borderId="12" xfId="0" applyBorder="1" applyAlignment="1">
      <alignment horizontal="left" wrapText="1"/>
    </xf>
    <xf numFmtId="1" fontId="28" fillId="33" borderId="10" xfId="8" applyNumberFormat="1" applyFont="1" applyFill="1" applyBorder="1" applyAlignment="1">
      <alignment horizontal="left" wrapText="1"/>
    </xf>
    <xf numFmtId="9" fontId="3" fillId="0" borderId="12" xfId="1" applyFont="1" applyBorder="1" applyAlignment="1">
      <alignment horizontal="left" wrapText="1"/>
    </xf>
    <xf numFmtId="0" fontId="6" fillId="0" borderId="12" xfId="43" applyBorder="1" applyAlignment="1">
      <alignment horizontal="left" vertical="center" wrapText="1"/>
    </xf>
    <xf numFmtId="0" fontId="25" fillId="0" borderId="13" xfId="19" applyAlignment="1">
      <alignment horizontal="left" vertical="center" wrapText="1"/>
    </xf>
    <xf numFmtId="1" fontId="11" fillId="3" borderId="12" xfId="8" applyNumberFormat="1" applyBorder="1" applyAlignment="1">
      <alignment horizontal="left" wrapText="1"/>
    </xf>
    <xf numFmtId="1" fontId="0" fillId="42" borderId="10" xfId="0" applyNumberFormat="1" applyFill="1" applyBorder="1" applyAlignment="1">
      <alignment horizontal="left"/>
    </xf>
    <xf numFmtId="1" fontId="5" fillId="0" borderId="12" xfId="0" applyNumberFormat="1" applyFont="1" applyBorder="1" applyAlignment="1">
      <alignment horizontal="left" wrapText="1"/>
    </xf>
    <xf numFmtId="1" fontId="0" fillId="50" borderId="10" xfId="0" applyNumberFormat="1" applyFill="1" applyBorder="1" applyAlignment="1">
      <alignment horizontal="left"/>
    </xf>
    <xf numFmtId="1" fontId="0" fillId="45" borderId="10" xfId="0" applyNumberFormat="1" applyFill="1" applyBorder="1" applyAlignment="1">
      <alignment horizontal="left"/>
    </xf>
    <xf numFmtId="1" fontId="0" fillId="41" borderId="10" xfId="0" applyNumberFormat="1" applyFill="1" applyBorder="1" applyAlignment="1">
      <alignment horizontal="left"/>
    </xf>
    <xf numFmtId="1" fontId="0" fillId="35" borderId="10" xfId="0" applyNumberFormat="1" applyFill="1" applyBorder="1" applyAlignment="1">
      <alignment horizontal="left"/>
    </xf>
    <xf numFmtId="0" fontId="25" fillId="0" borderId="12" xfId="19" applyBorder="1" applyAlignment="1">
      <alignment horizontal="left" vertical="center" wrapText="1"/>
    </xf>
    <xf numFmtId="0" fontId="6" fillId="0" borderId="13" xfId="43" applyBorder="1" applyAlignment="1">
      <alignment horizontal="left" vertical="center" wrapText="1"/>
    </xf>
    <xf numFmtId="0" fontId="25" fillId="0" borderId="13" xfId="19" applyBorder="1" applyAlignment="1">
      <alignment horizontal="left" vertical="center" wrapText="1"/>
    </xf>
  </cellXfs>
  <cellStyles count="86">
    <cellStyle name="20% — акцент1" xfId="20" builtinId="30" customBuiltin="1"/>
    <cellStyle name="20% — акцент1 2" xfId="62" xr:uid="{E6EF3C5D-0E0F-4F17-826C-920B210EB668}"/>
    <cellStyle name="20% — акцент2" xfId="24" builtinId="34" customBuiltin="1"/>
    <cellStyle name="20% — акцент2 2" xfId="66" xr:uid="{1B2D69E9-D584-4BD4-ACE6-A3193E596B03}"/>
    <cellStyle name="20% — акцент3" xfId="28" builtinId="38" customBuiltin="1"/>
    <cellStyle name="20% — акцент3 2" xfId="70" xr:uid="{F2643B94-F192-45BB-A961-67305206A31D}"/>
    <cellStyle name="20% — акцент4" xfId="32" builtinId="42" customBuiltin="1"/>
    <cellStyle name="20% — акцент4 2" xfId="74" xr:uid="{45943669-6C8D-46DA-A7C7-DEB03403EE6D}"/>
    <cellStyle name="20% — акцент5" xfId="36" builtinId="46" customBuiltin="1"/>
    <cellStyle name="20% — акцент5 2" xfId="78" xr:uid="{34ACFFD4-188E-45A2-B822-D12002F56EF5}"/>
    <cellStyle name="20% — акцент6" xfId="40" builtinId="50" customBuiltin="1"/>
    <cellStyle name="20% — акцент6 2" xfId="82" xr:uid="{4B241EC6-6F97-4248-88AC-538BDE74E960}"/>
    <cellStyle name="40% — акцент1" xfId="21" builtinId="31" customBuiltin="1"/>
    <cellStyle name="40% — акцент1 2" xfId="63" xr:uid="{F9AB0B04-49C8-459F-A048-5A42C7CC715C}"/>
    <cellStyle name="40% — акцент2" xfId="25" builtinId="35" customBuiltin="1"/>
    <cellStyle name="40% — акцент2 2" xfId="67" xr:uid="{CCEF1DE4-11C4-4999-8BBD-CE53A94B6D6C}"/>
    <cellStyle name="40% — акцент3" xfId="29" builtinId="39" customBuiltin="1"/>
    <cellStyle name="40% — акцент3 2" xfId="71" xr:uid="{C09B3DAB-B604-4026-A948-6E29A9B21921}"/>
    <cellStyle name="40% — акцент4" xfId="33" builtinId="43" customBuiltin="1"/>
    <cellStyle name="40% — акцент4 2" xfId="75" xr:uid="{66B3A311-ED75-4887-9C10-F8AD0E7D8093}"/>
    <cellStyle name="40% — акцент5" xfId="37" builtinId="47" customBuiltin="1"/>
    <cellStyle name="40% — акцент5 2" xfId="79" xr:uid="{560433D5-1E6E-4F2B-939C-6980BFE6CD0E}"/>
    <cellStyle name="40% — акцент6" xfId="41" builtinId="51" customBuiltin="1"/>
    <cellStyle name="40% — акцент6 2" xfId="83" xr:uid="{11813BAF-ECC3-42F4-AEDC-A37A3B1A3142}"/>
    <cellStyle name="60% — акцент1" xfId="22" builtinId="32" customBuiltin="1"/>
    <cellStyle name="60% — акцент1 2" xfId="64" xr:uid="{5A12DC65-400E-4F49-8CED-6B160F858C56}"/>
    <cellStyle name="60% — акцент2" xfId="26" builtinId="36" customBuiltin="1"/>
    <cellStyle name="60% — акцент2 2" xfId="68" xr:uid="{8753D7D8-71B9-4A14-B546-54E18AA33E03}"/>
    <cellStyle name="60% — акцент3" xfId="30" builtinId="40" customBuiltin="1"/>
    <cellStyle name="60% — акцент3 2" xfId="72" xr:uid="{11057CC5-1DC0-4384-B3DD-F91712EE6733}"/>
    <cellStyle name="60% — акцент4" xfId="34" builtinId="44" customBuiltin="1"/>
    <cellStyle name="60% — акцент4 2" xfId="76" xr:uid="{1FDF68F6-F3D9-4229-A75B-5E119A35C2A8}"/>
    <cellStyle name="60% — акцент5" xfId="38" builtinId="48" customBuiltin="1"/>
    <cellStyle name="60% — акцент5 2" xfId="80" xr:uid="{ACD77DB4-C76C-4833-9509-804754F67A00}"/>
    <cellStyle name="60% — акцент6" xfId="42" builtinId="52" customBuiltin="1"/>
    <cellStyle name="60% — акцент6 2" xfId="84" xr:uid="{DBE464A3-43DC-4278-8388-44F30890DBF4}"/>
    <cellStyle name="Акцент1" xfId="19" builtinId="29" customBuiltin="1"/>
    <cellStyle name="Акцент1 2" xfId="61" xr:uid="{EA69DA23-2838-4E67-8C64-F5F855F4F323}"/>
    <cellStyle name="Акцент2" xfId="23" builtinId="33" customBuiltin="1"/>
    <cellStyle name="Акцент2 2" xfId="65" xr:uid="{348A47BD-4B5C-47DF-A23A-7423F80AC26A}"/>
    <cellStyle name="Акцент3" xfId="27" builtinId="37" customBuiltin="1"/>
    <cellStyle name="Акцент3 2" xfId="69" xr:uid="{659720F1-1A9D-4D70-B746-046E4B49228F}"/>
    <cellStyle name="Акцент4" xfId="31" builtinId="41" customBuiltin="1"/>
    <cellStyle name="Акцент4 2" xfId="73" xr:uid="{3A29E941-2B9B-4E77-9F03-F37B21A537F6}"/>
    <cellStyle name="Акцент5" xfId="35" builtinId="45" customBuiltin="1"/>
    <cellStyle name="Акцент5 2" xfId="77" xr:uid="{2D0E45BF-740C-48DD-BC41-8F2895A09569}"/>
    <cellStyle name="Акцент6" xfId="39" builtinId="49" customBuiltin="1"/>
    <cellStyle name="Акцент6 2" xfId="81" xr:uid="{D6299696-D251-45AC-A3D2-AD191934BA26}"/>
    <cellStyle name="Ввод " xfId="10" builtinId="20" customBuiltin="1"/>
    <cellStyle name="Ввод  2" xfId="52" xr:uid="{81B7107D-01DE-45F5-AA37-A49EAA8E5043}"/>
    <cellStyle name="Вывод" xfId="11" builtinId="21" customBuiltin="1"/>
    <cellStyle name="Вывод 2" xfId="53" xr:uid="{D935E1DF-526C-4396-9E33-38955AA38AC1}"/>
    <cellStyle name="Вычисление" xfId="12" builtinId="22" customBuiltin="1"/>
    <cellStyle name="Вычисление 2" xfId="54" xr:uid="{25E96561-6C9B-4A16-AA85-12C8F7B8CEC9}"/>
    <cellStyle name="Гиперссылка" xfId="43" builtinId="8"/>
    <cellStyle name="Заголовок 1" xfId="3" builtinId="16" customBuiltin="1"/>
    <cellStyle name="Заголовок 1 2" xfId="45" xr:uid="{A713E7AC-0528-48A0-AE34-FDB88A3717A8}"/>
    <cellStyle name="Заголовок 2" xfId="4" builtinId="17" customBuiltin="1"/>
    <cellStyle name="Заголовок 2 2" xfId="46" xr:uid="{2B3566CE-DF32-4A22-B86E-522858E8B1D8}"/>
    <cellStyle name="Заголовок 3" xfId="5" builtinId="18" customBuiltin="1"/>
    <cellStyle name="Заголовок 3 2" xfId="47" xr:uid="{1AED5737-0577-4158-81FC-3E6B0B31C3BD}"/>
    <cellStyle name="Заголовок 4" xfId="6" builtinId="19" customBuiltin="1"/>
    <cellStyle name="Заголовок 4 2" xfId="48" xr:uid="{6511BC16-7A17-42C1-AC84-63775BE4FDE4}"/>
    <cellStyle name="Итог" xfId="18" builtinId="25" customBuiltin="1"/>
    <cellStyle name="Итог 2" xfId="60" xr:uid="{E4563A0B-FA1F-4940-A094-3B3C4535551E}"/>
    <cellStyle name="Контрольная ячейка" xfId="14" builtinId="23" customBuiltin="1"/>
    <cellStyle name="Контрольная ячейка 2" xfId="56" xr:uid="{C0E65212-5248-4A27-B880-CEACDA5F7376}"/>
    <cellStyle name="Название" xfId="2" builtinId="15" customBuiltin="1"/>
    <cellStyle name="Нейтральный" xfId="9" builtinId="28" customBuiltin="1"/>
    <cellStyle name="Нейтральный 2" xfId="51" xr:uid="{5F588F36-A44D-4293-B3F4-3D3834FC155A}"/>
    <cellStyle name="Обычный" xfId="0" builtinId="0" customBuiltin="1"/>
    <cellStyle name="Обычный 2" xfId="44" xr:uid="{F85DDE06-D82C-4529-95B1-6A5506C15564}"/>
    <cellStyle name="Обычный 3" xfId="85" xr:uid="{4D4F0D4C-B864-48FB-A027-46C845549251}"/>
    <cellStyle name="Плохой" xfId="8" builtinId="27" customBuiltin="1"/>
    <cellStyle name="Плохой 2" xfId="50" xr:uid="{3C5A68C1-DDB9-42E5-BFC7-FDF9993FF08C}"/>
    <cellStyle name="Пояснение" xfId="17" builtinId="53" customBuiltin="1"/>
    <cellStyle name="Пояснение 2" xfId="59" xr:uid="{8EBB8832-92E1-43AC-B022-877C19EAFF68}"/>
    <cellStyle name="Примечание" xfId="16" builtinId="10" customBuiltin="1"/>
    <cellStyle name="Примечание 2" xfId="58" xr:uid="{7E1855DF-F546-4A59-9E20-F3B5A00BA07F}"/>
    <cellStyle name="Процентный" xfId="1" builtinId="5"/>
    <cellStyle name="Связанная ячейка" xfId="13" builtinId="24" customBuiltin="1"/>
    <cellStyle name="Связанная ячейка 2" xfId="55" xr:uid="{4CC73412-BDC0-4867-A243-D29A3EE8BE93}"/>
    <cellStyle name="Текст предупреждения" xfId="15" builtinId="11" customBuiltin="1"/>
    <cellStyle name="Текст предупреждения 2" xfId="57" xr:uid="{184DBFA1-7D06-41FB-91F0-B04582F3F948}"/>
    <cellStyle name="Хороший" xfId="7" builtinId="26" customBuiltin="1"/>
    <cellStyle name="Хороший 2" xfId="49" xr:uid="{F28F378B-F5C8-44E5-B4BD-8001EC793374}"/>
  </cellStyles>
  <dxfs count="33">
    <dxf>
      <fill>
        <patternFill patternType="lightDown">
          <fgColor rgb="FFFF0000"/>
        </patternFill>
      </fill>
    </dxf>
    <dxf>
      <font>
        <color rgb="FF9C0006"/>
      </font>
      <fill>
        <patternFill>
          <bgColor rgb="FFFFC7CE"/>
        </patternFill>
      </fill>
    </dxf>
    <dxf>
      <fill>
        <patternFill patternType="lightDown">
          <fgColor rgb="FFFF0000"/>
        </patternFill>
      </fill>
    </dxf>
    <dxf>
      <font>
        <color rgb="FF9C0006"/>
      </font>
      <fill>
        <patternFill>
          <bgColor rgb="FFFFC7CE"/>
        </patternFill>
      </fill>
    </dxf>
    <dxf>
      <font>
        <color rgb="FF9C0006"/>
      </font>
      <fill>
        <patternFill>
          <bgColor rgb="FFFFC7CE"/>
        </patternFill>
      </fill>
    </dxf>
    <dxf>
      <fill>
        <patternFill patternType="lightDown">
          <fgColor rgb="FFFF0000"/>
        </patternFill>
      </fill>
    </dxf>
    <dxf>
      <fill>
        <patternFill patternType="lightDown">
          <fgColor rgb="FFFF0000"/>
        </patternFill>
      </fill>
    </dxf>
    <dxf>
      <fill>
        <patternFill patternType="lightDown">
          <fgColor rgb="FFFF0000"/>
        </patternFill>
      </fill>
    </dxf>
    <dxf>
      <font>
        <color rgb="FF9C0006"/>
      </font>
      <fill>
        <patternFill>
          <bgColor rgb="FFFFC7CE"/>
        </patternFill>
      </fill>
    </dxf>
    <dxf>
      <fill>
        <patternFill patternType="lightDown">
          <fgColor rgb="FFFF0000"/>
        </patternFill>
      </fill>
    </dxf>
    <dxf>
      <font>
        <color rgb="FF9C0006"/>
      </font>
      <fill>
        <patternFill>
          <bgColor rgb="FFFFC7CE"/>
        </patternFill>
      </fill>
    </dxf>
    <dxf>
      <font>
        <color rgb="FF9C0006"/>
      </font>
      <fill>
        <patternFill>
          <bgColor rgb="FFFFC7CE"/>
        </patternFill>
      </fill>
    </dxf>
    <dxf>
      <fill>
        <patternFill patternType="lightDown">
          <fgColor rgb="FFFF0000"/>
        </patternFill>
      </fill>
    </dxf>
    <dxf>
      <fill>
        <patternFill patternType="lightDown">
          <fgColor rgb="FFFF0000"/>
        </patternFill>
      </fill>
    </dxf>
    <dxf>
      <fill>
        <patternFill patternType="lightDown">
          <fgColor rgb="FFFF0000"/>
        </patternFill>
      </fill>
    </dxf>
    <dxf>
      <fill>
        <patternFill>
          <bgColor theme="3" tint="0.59996337778862885"/>
        </patternFill>
      </fill>
    </dxf>
    <dxf>
      <font>
        <color rgb="FF9C0006"/>
      </font>
      <fill>
        <patternFill>
          <bgColor rgb="FFFFC7CE"/>
        </patternFill>
      </fill>
    </dxf>
    <dxf>
      <font>
        <color rgb="FF9C0006"/>
      </font>
      <fill>
        <patternFill>
          <bgColor rgb="FFFFC7CE"/>
        </patternFill>
      </fill>
    </dxf>
    <dxf>
      <fill>
        <patternFill patternType="lightDown">
          <fgColor rgb="FFFF0000"/>
        </patternFill>
      </fill>
    </dxf>
    <dxf>
      <font>
        <color rgb="FF9C0006"/>
      </font>
      <fill>
        <patternFill>
          <bgColor rgb="FFFFC7CE"/>
        </patternFill>
      </fill>
    </dxf>
    <dxf>
      <fill>
        <patternFill patternType="lightDown">
          <fgColor rgb="FFFF0000"/>
        </patternFill>
      </fill>
    </dxf>
    <dxf>
      <font>
        <color rgb="FF9C0006"/>
      </font>
      <fill>
        <patternFill>
          <bgColor rgb="FFFFC7CE"/>
        </patternFill>
      </fill>
    </dxf>
    <dxf>
      <fill>
        <patternFill>
          <bgColor theme="3" tint="0.59996337778862885"/>
        </patternFill>
      </fill>
    </dxf>
    <dxf>
      <fill>
        <patternFill patternType="lightDown">
          <fgColor rgb="FFFF0000"/>
        </patternFill>
      </fill>
    </dxf>
    <dxf>
      <font>
        <color rgb="FF9C0006"/>
      </font>
      <fill>
        <patternFill>
          <bgColor rgb="FFFFC7CE"/>
        </patternFill>
      </fill>
    </dxf>
    <dxf>
      <fill>
        <patternFill patternType="none">
          <fgColor indexed="64"/>
          <bgColor indexed="65"/>
        </patternFill>
      </fill>
    </dxf>
    <dxf>
      <fill>
        <patternFill patternType="none">
          <fgColor indexed="64"/>
          <bgColor indexed="65"/>
        </patternFill>
      </fill>
    </dxf>
    <dxf>
      <numFmt numFmtId="0" formatCode="General"/>
    </dxf>
    <dxf>
      <numFmt numFmtId="0" formatCode="General"/>
    </dxf>
    <dxf>
      <numFmt numFmtId="0" formatCode="General"/>
    </dxf>
    <dxf>
      <numFmt numFmtId="0" formatCode="General"/>
    </dxf>
    <dxf>
      <numFmt numFmtId="0" formatCode="General"/>
    </dxf>
    <dxf>
      <numFmt numFmtId="0" formatCode="General"/>
    </dxf>
  </dxfs>
  <tableStyles count="0" defaultTableStyle="TableStyleMedium2" defaultPivotStyle="PivotStyleLight16"/>
  <colors>
    <mruColors>
      <color rgb="FFEE00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connections" Target="connections.xml"/><Relationship Id="rId14"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247650</xdr:colOff>
          <xdr:row>1</xdr:row>
          <xdr:rowOff>47625</xdr:rowOff>
        </xdr:from>
        <xdr:to>
          <xdr:col>9</xdr:col>
          <xdr:colOff>476250</xdr:colOff>
          <xdr:row>2</xdr:row>
          <xdr:rowOff>171450</xdr:rowOff>
        </xdr:to>
        <xdr:sp macro="" textlink="">
          <xdr:nvSpPr>
            <xdr:cNvPr id="7169" name="CommandButton1" hidden="1">
              <a:extLst>
                <a:ext uri="{63B3BB69-23CF-44E3-9099-C40C66FF867C}">
                  <a14:compatExt spid="_x0000_s7169"/>
                </a:ext>
                <a:ext uri="{FF2B5EF4-FFF2-40B4-BE49-F238E27FC236}">
                  <a16:creationId xmlns:a16="http://schemas.microsoft.com/office/drawing/2014/main" id="{00000000-0008-0000-0500-000001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95523F6B-65C6-484F-96FE-9A49C68EEAAE}" autoFormatId="16" applyNumberFormats="0" applyBorderFormats="0" applyFontFormats="0" applyPatternFormats="0" applyAlignmentFormats="0" applyWidthHeightFormats="0">
  <queryTableRefresh nextId="20">
    <queryTableFields count="19">
      <queryTableField id="1" name="Column1" tableColumnId="1"/>
      <queryTableField id="2" name="Column2" tableColumnId="2"/>
      <queryTableField id="3" name="Column3" tableColumnId="3"/>
      <queryTableField id="4" name="Column4" tableColumnId="4"/>
      <queryTableField id="5" name="#VALUE!" tableColumnId="5"/>
      <queryTableField id="6" name="#VALUE!_1" tableColumnId="6"/>
      <queryTableField id="7" name="Column7" tableColumnId="7"/>
      <queryTableField id="8" name="Column8" tableColumnId="8"/>
      <queryTableField id="9" name="Column9" tableColumnId="9"/>
      <queryTableField id="10" name="Column10" tableColumnId="10"/>
      <queryTableField id="11" name="Column11" tableColumnId="11"/>
      <queryTableField id="12" name="Column12" tableColumnId="12"/>
      <queryTableField id="13" name="Column13" tableColumnId="13"/>
      <queryTableField id="14" name="Column14" tableColumnId="14"/>
      <queryTableField id="15" name="Column15" tableColumnId="15"/>
      <queryTableField id="16" name="Column16" tableColumnId="16"/>
      <queryTableField id="17" name="Column17" tableColumnId="17"/>
      <queryTableField id="18" name="Column18" tableColumnId="18"/>
      <queryTableField id="19" name="Column19" tableColumnId="19"/>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D85A141C-AD4B-45D0-9AF7-88210DC45B87}" name="Китай_БЕСТ_ПАРТНЕР" displayName="Китай_БЕСТ_ПАРТНЕР" ref="A1:S734" tableType="queryTable" totalsRowShown="0">
  <autoFilter ref="A1:S734" xr:uid="{D85A141C-AD4B-45D0-9AF7-88210DC45B87}"/>
  <tableColumns count="19">
    <tableColumn id="1" xr3:uid="{D7A31065-8CD6-4DB7-8AA2-5CCE9225463A}" uniqueName="1" name="Column1" queryTableFieldId="1" dataDxfId="32"/>
    <tableColumn id="2" xr3:uid="{027533FD-88D8-47A3-A651-794087AE9A0B}" uniqueName="2" name="Column2" queryTableFieldId="2"/>
    <tableColumn id="3" xr3:uid="{C6083E50-099A-4A53-A4B0-188F1312BA10}" uniqueName="3" name="Column3" queryTableFieldId="3" dataDxfId="31"/>
    <tableColumn id="4" xr3:uid="{664CB01A-C07C-439F-8F7E-132C721CCBE7}" uniqueName="4" name="Column4" queryTableFieldId="4" dataDxfId="30"/>
    <tableColumn id="5" xr3:uid="{E95730AF-F376-4D3F-9BCE-9258AAD0D4ED}" uniqueName="5" name="#VALUE!" queryTableFieldId="5" dataDxfId="29"/>
    <tableColumn id="6" xr3:uid="{6AE1B213-6B27-4AE1-BDF6-79B4A1D83362}" uniqueName="6" name="#VALUE!_1" queryTableFieldId="6" dataDxfId="28"/>
    <tableColumn id="7" xr3:uid="{66A10D5C-D317-4BEC-AA5C-BC542952A8E6}" uniqueName="7" name="Column7" queryTableFieldId="7" dataDxfId="27"/>
    <tableColumn id="8" xr3:uid="{B839F755-EF5F-44F7-8D8B-60132682F152}" uniqueName="8" name="Column8" queryTableFieldId="8"/>
    <tableColumn id="9" xr3:uid="{B4A289BB-9A60-476E-910E-35964AC30AA8}" uniqueName="9" name="Column9" queryTableFieldId="9"/>
    <tableColumn id="10" xr3:uid="{AD0EA433-BDC1-4120-B18A-575194D1BE35}" uniqueName="10" name="Column10" queryTableFieldId="10"/>
    <tableColumn id="11" xr3:uid="{5EC78E91-8A36-41F7-AE2E-FC5B88313B0A}" uniqueName="11" name="Column11" queryTableFieldId="11"/>
    <tableColumn id="12" xr3:uid="{0A701BA1-DCE4-4B5E-956A-DD3F0F1E4C18}" uniqueName="12" name="Column12" queryTableFieldId="12"/>
    <tableColumn id="13" xr3:uid="{57639575-DF29-402F-A35C-B7E6F5828C03}" uniqueName="13" name="Column13" queryTableFieldId="13"/>
    <tableColumn id="14" xr3:uid="{9D8113E7-C804-4F45-A72C-9F424E9682EE}" uniqueName="14" name="Column14" queryTableFieldId="14"/>
    <tableColumn id="15" xr3:uid="{BEFBECE1-E393-4275-A439-36A80528FD86}" uniqueName="15" name="Column15" queryTableFieldId="15"/>
    <tableColumn id="16" xr3:uid="{3EF8461B-1B22-4F22-A0E2-3AC3EC6FB1CC}" uniqueName="16" name="Column16" queryTableFieldId="16"/>
    <tableColumn id="17" xr3:uid="{870FA9AB-12DA-481E-8B49-87A8602912E9}" uniqueName="17" name="Column17" queryTableFieldId="17"/>
    <tableColumn id="18" xr3:uid="{9FE0C792-97A8-4F5D-AC41-5A4E5E3E9AB3}" uniqueName="18" name="Column18" queryTableFieldId="18"/>
    <tableColumn id="19" xr3:uid="{2F3647CF-0437-4CA3-B081-5E0F14183D89}" uniqueName="19" name="Column19" queryTableFieldId="19"/>
  </tableColumns>
  <tableStyleInfo name="TableStyleMedium7" showFirstColumn="0" showLastColumn="0" showRowStripes="1" showColumnStripes="0"/>
</table>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17" Type="http://schemas.openxmlformats.org/officeDocument/2006/relationships/hyperlink" Target="https://motorring.ru/product/15995-bokovye-zerkala-volna-chernye-vaz-2104-2105-2107" TargetMode="External"/><Relationship Id="rId21" Type="http://schemas.openxmlformats.org/officeDocument/2006/relationships/hyperlink" Target="https://motorring.ru/product/38688-zadnie-diodnye-fonari-orlinyy-glaz-vaz-2105" TargetMode="External"/><Relationship Id="rId42" Type="http://schemas.openxmlformats.org/officeDocument/2006/relationships/hyperlink" Target="https://motorring.ru/product/11775-diodnaya-balka-g-240-240w-3vt" TargetMode="External"/><Relationship Id="rId63" Type="http://schemas.openxmlformats.org/officeDocument/2006/relationships/hyperlink" Target="https://motorring.ru/product/4259-zadnie-fonari-krasnoy-polosoy-dlya-vaz-2105-2107" TargetMode="External"/><Relationship Id="rId84" Type="http://schemas.openxmlformats.org/officeDocument/2006/relationships/hyperlink" Target="https://motorring.ru/product/8483-fary-neonovymi-dho-tonirovannye-dlya-lada-4h4-niva-vaz-2101" TargetMode="External"/><Relationship Id="rId138" Type="http://schemas.openxmlformats.org/officeDocument/2006/relationships/hyperlink" Target="https://motorring.ru/product/12748-bokovye-zerkala-piter-chernye-antiblikom-vaz-2108-21099" TargetMode="External"/><Relationship Id="rId159" Type="http://schemas.openxmlformats.org/officeDocument/2006/relationships/hyperlink" Target="https://motorring.ru/product/8278-diodnaya-balka-pl-3101-24w-3vt" TargetMode="External"/><Relationship Id="rId107" Type="http://schemas.openxmlformats.org/officeDocument/2006/relationships/hyperlink" Target="https://motorring.ru/product/8348-protivotumannye-fary-ld-093-pod-kirghach-lada-priora" TargetMode="External"/><Relationship Id="rId11" Type="http://schemas.openxmlformats.org/officeDocument/2006/relationships/hyperlink" Target="https://motorring.ru/product/8338-protivotumannye-fary-glaz-orla-vaz-2110-2115" TargetMode="External"/><Relationship Id="rId32" Type="http://schemas.openxmlformats.org/officeDocument/2006/relationships/hyperlink" Target="https://motorring.ru/product/14256-svetodiodnye-fary-80w-dyuymov-chernye-povtoritelem-povorota" TargetMode="External"/><Relationship Id="rId53" Type="http://schemas.openxmlformats.org/officeDocument/2006/relationships/hyperlink" Target="https://motorring.ru/product/38644-komplekt-diodnyh-fonarey-polosy-lada-4h4-niva" TargetMode="External"/><Relationship Id="rId74" Type="http://schemas.openxmlformats.org/officeDocument/2006/relationships/hyperlink" Target="https://motorring.ru/product/8172-diodnye-krasno-serye-fonari-lada-granta-sedan" TargetMode="External"/><Relationship Id="rId128" Type="http://schemas.openxmlformats.org/officeDocument/2006/relationships/hyperlink" Target="https://motorring.ru/product/11903-podsvetka-salona-knopkoy-a-10" TargetMode="External"/><Relationship Id="rId149" Type="http://schemas.openxmlformats.org/officeDocument/2006/relationships/hyperlink" Target="https://motorring.ru/product/11764-diodnaya-balka-cclb-36-36w-3vt" TargetMode="External"/><Relationship Id="rId5" Type="http://schemas.openxmlformats.org/officeDocument/2006/relationships/hyperlink" Target="https://motorring.ru/product/25915-zadnie-chernye-svetodiodnye-fonari-polosy-begayuschim" TargetMode="External"/><Relationship Id="rId95" Type="http://schemas.openxmlformats.org/officeDocument/2006/relationships/hyperlink" Target="https://motorring.ru/product/27725-diodnye-dvuhcvetnye-ptf-angelyskimi-glazkami-lada-kalina3" TargetMode="External"/><Relationship Id="rId160" Type="http://schemas.openxmlformats.org/officeDocument/2006/relationships/hyperlink" Target="https://motorring.ru/product/11765-diodnaya-balka-xrb-120-120w-3vt" TargetMode="External"/><Relationship Id="rId22" Type="http://schemas.openxmlformats.org/officeDocument/2006/relationships/hyperlink" Target="https://motorring.ru/product/27717-svetodiodnye-fary-cherep-dyuymov-chernye-led-kolycom" TargetMode="External"/><Relationship Id="rId43" Type="http://schemas.openxmlformats.org/officeDocument/2006/relationships/hyperlink" Target="https://motorring.ru/product/22259-zadnie-svetodiodnye-fonari-britaniya-krasnye-begayuschim" TargetMode="External"/><Relationship Id="rId64" Type="http://schemas.openxmlformats.org/officeDocument/2006/relationships/hyperlink" Target="https://motorring.ru/product/15994" TargetMode="External"/><Relationship Id="rId118" Type="http://schemas.openxmlformats.org/officeDocument/2006/relationships/hyperlink" Target="https://motorring.ru/product/15997-bokovye-zerkala-volna-hrom-nakladkami-vaz-2104-2105-2107" TargetMode="External"/><Relationship Id="rId139" Type="http://schemas.openxmlformats.org/officeDocument/2006/relationships/hyperlink" Target="https://motorring.ru/product/11776-diodnaya-balka-xrb-240-240w-3vt" TargetMode="External"/><Relationship Id="rId85" Type="http://schemas.openxmlformats.org/officeDocument/2006/relationships/hyperlink" Target="https://motorring.ru/product/7158-ramki-ptf-hodovymi-ognyami-dlya-lada-largus" TargetMode="External"/><Relationship Id="rId150" Type="http://schemas.openxmlformats.org/officeDocument/2006/relationships/hyperlink" Target="https://motorring.ru/product/11770-diodnaya-balka-xrb-180-180w-3vt" TargetMode="External"/><Relationship Id="rId12" Type="http://schemas.openxmlformats.org/officeDocument/2006/relationships/hyperlink" Target="https://motorring.ru/product/11781-diodnaya-balka-42-hk-yx" TargetMode="External"/><Relationship Id="rId17" Type="http://schemas.openxmlformats.org/officeDocument/2006/relationships/hyperlink" Target="https://motorring.ru/product/32064-zadnie-chernye-svetodiodnye-fonari-stile-amg-lada-priora" TargetMode="External"/><Relationship Id="rId33" Type="http://schemas.openxmlformats.org/officeDocument/2006/relationships/hyperlink" Target="https://motorring.ru/product/4252-zadnie-fonari-krasnoy-polosoy-vaz-2108-21099-2113-2114" TargetMode="External"/><Relationship Id="rId38" Type="http://schemas.openxmlformats.org/officeDocument/2006/relationships/hyperlink" Target="https://motorring.ru/product/14255-svetodiodnye-fary-chernom-korpuse-90w-dyuymov-kolycom" TargetMode="External"/><Relationship Id="rId59" Type="http://schemas.openxmlformats.org/officeDocument/2006/relationships/hyperlink" Target="https://motorring.ru/product/32636-komplekt-chernyh-zadnih-led-fonarey-dinamich-vesta" TargetMode="External"/><Relationship Id="rId103" Type="http://schemas.openxmlformats.org/officeDocument/2006/relationships/hyperlink" Target="https://motorring.ru/product/8144-ramki-ptf-diodnymi-hodovymi-ognyami-lada-largus" TargetMode="External"/><Relationship Id="rId108" Type="http://schemas.openxmlformats.org/officeDocument/2006/relationships/hyperlink" Target="https://motorring.ru/product/8345-protivotumannye-fary-ld-089-ramkami-lada-kalina" TargetMode="External"/><Relationship Id="rId124" Type="http://schemas.openxmlformats.org/officeDocument/2006/relationships/hyperlink" Target="https://motorring.ru/product/12751" TargetMode="External"/><Relationship Id="rId129" Type="http://schemas.openxmlformats.org/officeDocument/2006/relationships/hyperlink" Target="https://motorring.ru/product/21208-povtoriteli-povorotov-led-nadpisyyu-priora-lada-priora" TargetMode="External"/><Relationship Id="rId54" Type="http://schemas.openxmlformats.org/officeDocument/2006/relationships/hyperlink" Target="https://motorring.ru/product/38645-komplekt-diodnyh-fonarey-polosy-lada-4h4-niva" TargetMode="External"/><Relationship Id="rId70" Type="http://schemas.openxmlformats.org/officeDocument/2006/relationships/hyperlink" Target="https://motorring.ru/product/36707-diodnye-belo-serye-fonari-lada-granta-sedan" TargetMode="External"/><Relationship Id="rId75" Type="http://schemas.openxmlformats.org/officeDocument/2006/relationships/hyperlink" Target="https://motorring.ru/product/32726-zadnie-diodnye-fonari-418g-toporiki-tonirovannye-dlya-vaz" TargetMode="External"/><Relationship Id="rId91" Type="http://schemas.openxmlformats.org/officeDocument/2006/relationships/hyperlink" Target="https://motorring.ru/product/20429-svetodiodnye-podfarniki-dho-begayuschim-povorotnikom-lada" TargetMode="External"/><Relationship Id="rId96" Type="http://schemas.openxmlformats.org/officeDocument/2006/relationships/hyperlink" Target="https://motorring.ru/product/21357-diodnye-ptf-30w-dho-lada-kalina-kalina-granta-largus-datsun" TargetMode="External"/><Relationship Id="rId140" Type="http://schemas.openxmlformats.org/officeDocument/2006/relationships/hyperlink" Target="https://motorring.ru/product/10664" TargetMode="External"/><Relationship Id="rId145" Type="http://schemas.openxmlformats.org/officeDocument/2006/relationships/hyperlink" Target="https://motorring.ru/product/15957-bokovye-zerkala-piter-chernye-libo-belye-vaz-2108-21099" TargetMode="External"/><Relationship Id="rId161" Type="http://schemas.openxmlformats.org/officeDocument/2006/relationships/hyperlink" Target="https://motorring.ru/product/8288-diodnaya-balka-pl-3205-120w-3vt" TargetMode="External"/><Relationship Id="rId1" Type="http://schemas.openxmlformats.org/officeDocument/2006/relationships/hyperlink" Target="https://motorring.ru/product/11869-spoylery-diodom-dvorniki-karbon" TargetMode="External"/><Relationship Id="rId6" Type="http://schemas.openxmlformats.org/officeDocument/2006/relationships/hyperlink" Target="https://motorring.ru/product/16189-tyuning-fary-chernom-korpuse-diodnymi-dho-lada-granta" TargetMode="External"/><Relationship Id="rId23" Type="http://schemas.openxmlformats.org/officeDocument/2006/relationships/hyperlink" Target="https://motorring.ru/product/36708-zadnie-svetodiodnye-svetlie-fonari-stile-range-rover-niva" TargetMode="External"/><Relationship Id="rId28" Type="http://schemas.openxmlformats.org/officeDocument/2006/relationships/hyperlink" Target="https://motorring.ru/product/12231-svetodiodnye-fary-90w-dyuymov-chernye-diodnym-kolycom" TargetMode="External"/><Relationship Id="rId49" Type="http://schemas.openxmlformats.org/officeDocument/2006/relationships/hyperlink" Target="https://motorring.ru/product/14257-svetodiodnye-fary-dyuymov-d0875x-vaz-2101-lada-niva-4h4" TargetMode="External"/><Relationship Id="rId114" Type="http://schemas.openxmlformats.org/officeDocument/2006/relationships/hyperlink" Target="https://motorring.ru/product/14680-protivotumannye-fary-linzoy-ld-271-ramkami-lada-granta" TargetMode="External"/><Relationship Id="rId119" Type="http://schemas.openxmlformats.org/officeDocument/2006/relationships/hyperlink" Target="https://motorring.ru/product/12746-bokovye-zerkala-piter-belye-antiblikom-vaz-2104-2105-2107" TargetMode="External"/><Relationship Id="rId44" Type="http://schemas.openxmlformats.org/officeDocument/2006/relationships/hyperlink" Target="https://motorring.ru/product/22260-zadnie-svetodiodnye-fonari-britaniya-chernye-begayuschim" TargetMode="External"/><Relationship Id="rId60" Type="http://schemas.openxmlformats.org/officeDocument/2006/relationships/hyperlink" Target="https://motorring.ru/product/25912-zadnie-svetodiodnye-fonari-iksy-chernye-begayuschim" TargetMode="External"/><Relationship Id="rId65" Type="http://schemas.openxmlformats.org/officeDocument/2006/relationships/hyperlink" Target="https://motorring.ru/product/4250-zadnie-fonari-torino-hy-200-krasnye-beloy-polosoy-vaz" TargetMode="External"/><Relationship Id="rId81" Type="http://schemas.openxmlformats.org/officeDocument/2006/relationships/hyperlink" Target="https://motorring.ru/product/25053-svetodiodnye-podfarniki-plavniye-dho-povtoritel-4x4-niva" TargetMode="External"/><Relationship Id="rId86" Type="http://schemas.openxmlformats.org/officeDocument/2006/relationships/hyperlink" Target="https://motorring.ru/product/27714-svetodiodnye-fary-linii-dyuymov-chernye-led-kolycom" TargetMode="External"/><Relationship Id="rId130" Type="http://schemas.openxmlformats.org/officeDocument/2006/relationships/hyperlink" Target="https://motorring.ru/product/21669-led-povtoriteli-povorotnika-belye-gerbom-dvuglavyy-orel-vaz" TargetMode="External"/><Relationship Id="rId135" Type="http://schemas.openxmlformats.org/officeDocument/2006/relationships/hyperlink" Target="https://motorring.ru/product/13905-diodnye-povtoriteli-nadpisyyu-dlya-lada-priora" TargetMode="External"/><Relationship Id="rId151" Type="http://schemas.openxmlformats.org/officeDocument/2006/relationships/hyperlink" Target="https://motorring.ru/product/8287-diodnaya-balka-pl-3204-90w-3vt" TargetMode="External"/><Relationship Id="rId156" Type="http://schemas.openxmlformats.org/officeDocument/2006/relationships/hyperlink" Target="https://motorring.ru/product/6424-diodnye-povtoriteli-nadpisyyu-granta-dlya-lada-granta" TargetMode="External"/><Relationship Id="rId13" Type="http://schemas.openxmlformats.org/officeDocument/2006/relationships/hyperlink" Target="https://motorring.ru/product/11751-diodnaya-balka-48w-a-blighniy-3vt" TargetMode="External"/><Relationship Id="rId18" Type="http://schemas.openxmlformats.org/officeDocument/2006/relationships/hyperlink" Target="https://motorring.ru/product/38698-komplekt-diodnyh-far-thebestpartner-stile-audi-lada-vesta" TargetMode="External"/><Relationship Id="rId39" Type="http://schemas.openxmlformats.org/officeDocument/2006/relationships/hyperlink" Target="https://motorring.ru/product/27718-svetodiodnye-fary-boss-chernye-povtoritelem-povorotnika-dho" TargetMode="External"/><Relationship Id="rId109" Type="http://schemas.openxmlformats.org/officeDocument/2006/relationships/hyperlink" Target="https://motorring.ru/product/8343-protivotumannye-fary-diodnye-ld-089l-ramkami-lada-kalina" TargetMode="External"/><Relationship Id="rId34" Type="http://schemas.openxmlformats.org/officeDocument/2006/relationships/hyperlink" Target="https://motorring.ru/product/31560-svetodiodnye-fary-90w-bluetooth-regulirovkoy-cveta" TargetMode="External"/><Relationship Id="rId50" Type="http://schemas.openxmlformats.org/officeDocument/2006/relationships/hyperlink" Target="https://motorring.ru/product/25053-svetodiodnye-podfarniki-plavniye-dho-povtoritel-4x4-niva" TargetMode="External"/><Relationship Id="rId55" Type="http://schemas.openxmlformats.org/officeDocument/2006/relationships/hyperlink" Target="https://motorring.ru/product/38639-komplekt-diodnyh-serih-fonarey-led-obvodkoy-lada-4h4-niva" TargetMode="External"/><Relationship Id="rId76" Type="http://schemas.openxmlformats.org/officeDocument/2006/relationships/hyperlink" Target="https://motorring.ru/product/6919-zadnie-fonari-prosport-rs-09070-audi-dlya-vaz-2108-14" TargetMode="External"/><Relationship Id="rId97" Type="http://schemas.openxmlformats.org/officeDocument/2006/relationships/hyperlink" Target="https://motorring.ru/product/19766-ptf-699-lada-vesta-iks-rey-granta-niva-urban-reno" TargetMode="External"/><Relationship Id="rId104" Type="http://schemas.openxmlformats.org/officeDocument/2006/relationships/hyperlink" Target="https://motorring.ru/product/20616-protivotumannye-fary-ld-673-lada-vesta-iks-rey-granta-niva" TargetMode="External"/><Relationship Id="rId120" Type="http://schemas.openxmlformats.org/officeDocument/2006/relationships/hyperlink" Target="https://motorring.ru/product/12749-bokovye-zerkala-piter-sneghka-antiblikom-vaz-2108-2115" TargetMode="External"/><Relationship Id="rId125" Type="http://schemas.openxmlformats.org/officeDocument/2006/relationships/hyperlink" Target="https://motorring.ru/product/148-blok-fara-levaya-analog-lada-kalina" TargetMode="External"/><Relationship Id="rId141" Type="http://schemas.openxmlformats.org/officeDocument/2006/relationships/hyperlink" Target="https://motorring.ru/product/8281-diodnaya-balka-pl-3104-120w-3vt" TargetMode="External"/><Relationship Id="rId146" Type="http://schemas.openxmlformats.org/officeDocument/2006/relationships/hyperlink" Target="https://motorring.ru/product/15961-bokovye-zerkala-piter-karbon-vaz-2108-2115" TargetMode="External"/><Relationship Id="rId7" Type="http://schemas.openxmlformats.org/officeDocument/2006/relationships/hyperlink" Target="https://motorring.ru/product/260" TargetMode="External"/><Relationship Id="rId71" Type="http://schemas.openxmlformats.org/officeDocument/2006/relationships/hyperlink" Target="https://motorring.ru/product/13366-diodnye-zadnie-fonari-red-led-krasnye-begayuschim" TargetMode="External"/><Relationship Id="rId92" Type="http://schemas.openxmlformats.org/officeDocument/2006/relationships/hyperlink" Target="https://motorring.ru/product/22269-svetodiodnye-podfarniki-krasnye-dho-begayuschim" TargetMode="External"/><Relationship Id="rId162" Type="http://schemas.openxmlformats.org/officeDocument/2006/relationships/hyperlink" Target="https://motorring.ru/product/8280-diodnaya-balka-pl-3103-60w-3vt" TargetMode="External"/><Relationship Id="rId2" Type="http://schemas.openxmlformats.org/officeDocument/2006/relationships/hyperlink" Target="https://motorring.ru/product/8342-chernye-diodnye-protivotumannye-fary-vaz-2110-2112" TargetMode="External"/><Relationship Id="rId29" Type="http://schemas.openxmlformats.org/officeDocument/2006/relationships/hyperlink" Target="https://motorring.ru/product/21524-svetodiodnye-fary-chernom-korpuse-96w-dyuymov-led-kolycom" TargetMode="External"/><Relationship Id="rId24" Type="http://schemas.openxmlformats.org/officeDocument/2006/relationships/hyperlink" Target="https://motorring.ru/product/27719-svetodiodnye-fary-shkali-dyuymov-chernye-led-kolycom" TargetMode="External"/><Relationship Id="rId40" Type="http://schemas.openxmlformats.org/officeDocument/2006/relationships/hyperlink" Target="https://motorring.ru/product/21805-svetodiodnye-fary-60w-dyuymov-chernye-risunok-misheny" TargetMode="External"/><Relationship Id="rId45" Type="http://schemas.openxmlformats.org/officeDocument/2006/relationships/hyperlink" Target="https://motorring.ru/product/13578-svetodiodnye-fary-chernye-90w-dyuymov-led-povtoritelem" TargetMode="External"/><Relationship Id="rId66" Type="http://schemas.openxmlformats.org/officeDocument/2006/relationships/hyperlink" Target="https://motorring.ru/product/15969-zadnie-diodnye-fonari-chernye-beloy-polosoy-vaz-2108-21099" TargetMode="External"/><Relationship Id="rId87" Type="http://schemas.openxmlformats.org/officeDocument/2006/relationships/hyperlink" Target="https://motorring.ru/product/27713-svetodiodnye-fary-polosa-dyuymov-chernye-led-kolycom" TargetMode="External"/><Relationship Id="rId110" Type="http://schemas.openxmlformats.org/officeDocument/2006/relationships/hyperlink" Target="https://motorring.ru/product/8328-klassicheskie-protivotumannye-fary-dlaa-dlya-vaz-2110-2112" TargetMode="External"/><Relationship Id="rId115" Type="http://schemas.openxmlformats.org/officeDocument/2006/relationships/hyperlink" Target="https://motorring.ru/product/27724-diodnye-dvuhcvetnye-ptf-polos-analog-lada-granta-lada-vesta" TargetMode="External"/><Relationship Id="rId131" Type="http://schemas.openxmlformats.org/officeDocument/2006/relationships/hyperlink" Target="https://motorring.ru/product/6425-diodnye-povtoriteli-nadpisyyu-priora-dlya-lada-priora" TargetMode="External"/><Relationship Id="rId136" Type="http://schemas.openxmlformats.org/officeDocument/2006/relationships/hyperlink" Target="https://motorring.ru/product/15996-bokovye-zerkala-piter-chernye-vaz-2101-2107" TargetMode="External"/><Relationship Id="rId157" Type="http://schemas.openxmlformats.org/officeDocument/2006/relationships/hyperlink" Target="https://motorring.ru/product/15967-bokovye-zerkala-volna-hrom-chernyy-vaz-2108-2115" TargetMode="External"/><Relationship Id="rId61" Type="http://schemas.openxmlformats.org/officeDocument/2006/relationships/hyperlink" Target="https://motorring.ru/product/25913-zadnie-svetodiodnye-fonari-iksy-krasnye-begayuschim" TargetMode="External"/><Relationship Id="rId82" Type="http://schemas.openxmlformats.org/officeDocument/2006/relationships/hyperlink" Target="https://motorring.ru/product/8357-svetodiodnye-ptf-lada-vesta-iks-rey-granta-niva-urban-reno" TargetMode="External"/><Relationship Id="rId152" Type="http://schemas.openxmlformats.org/officeDocument/2006/relationships/hyperlink" Target="https://motorring.ru/product/849" TargetMode="External"/><Relationship Id="rId19" Type="http://schemas.openxmlformats.org/officeDocument/2006/relationships/hyperlink" Target="https://motorring.ru/product/35105-zadnie-diodnye-fonari-orlinyy-glaz-tonirovannye-vaz-2105" TargetMode="External"/><Relationship Id="rId14" Type="http://schemas.openxmlformats.org/officeDocument/2006/relationships/hyperlink" Target="https://motorring.ru/product/10675-nabor-instrumentov-aerofors-59-pc-predmetov" TargetMode="External"/><Relationship Id="rId30" Type="http://schemas.openxmlformats.org/officeDocument/2006/relationships/hyperlink" Target="https://motorring.ru/product/15120-svetodiodnye-fary-90w-dyuymov-chernye-povtoritelem-povorota" TargetMode="External"/><Relationship Id="rId35" Type="http://schemas.openxmlformats.org/officeDocument/2006/relationships/hyperlink" Target="https://motorring.ru/product/21802-svetodiodnye-fary-chernom-korpuse-60w-dyuymov-h-obraznym" TargetMode="External"/><Relationship Id="rId56" Type="http://schemas.openxmlformats.org/officeDocument/2006/relationships/hyperlink" Target="https://motorring.ru/product/38641-komplekt-diodnyh-fonarey-puls-lada-4h4-niva" TargetMode="External"/><Relationship Id="rId77" Type="http://schemas.openxmlformats.org/officeDocument/2006/relationships/hyperlink" Target="https://motorring.ru/product/25914-zadnie-svetodiodnye-fonari-belie-iksy-chernye-begayuschim" TargetMode="External"/><Relationship Id="rId100" Type="http://schemas.openxmlformats.org/officeDocument/2006/relationships/hyperlink" Target="https://motorring.ru/product/24470-svetodiodnye-led-protivotumannye-fary-analog-polosy" TargetMode="External"/><Relationship Id="rId105" Type="http://schemas.openxmlformats.org/officeDocument/2006/relationships/hyperlink" Target="https://motorring.ru/product/8347-protivotumannye-fary-ld-327-dlya-lada-priora" TargetMode="External"/><Relationship Id="rId126" Type="http://schemas.openxmlformats.org/officeDocument/2006/relationships/hyperlink" Target="https://motorring.ru/product/746-blok-fara-pravaya-analog-lada-kalina" TargetMode="External"/><Relationship Id="rId147" Type="http://schemas.openxmlformats.org/officeDocument/2006/relationships/hyperlink" Target="https://motorring.ru/product/15972-bokovye-zerkala-volna-chernye-hrom-nakladkoy-povtoritelem" TargetMode="External"/><Relationship Id="rId8" Type="http://schemas.openxmlformats.org/officeDocument/2006/relationships/hyperlink" Target="https://motorring.ru/product/8283-diodnaya-balka-pl-3107-300w-100-3vt" TargetMode="External"/><Relationship Id="rId51" Type="http://schemas.openxmlformats.org/officeDocument/2006/relationships/hyperlink" Target="https://motorring.ru/product/8279-diodnaya-balka-pl-3102-36w-3vt" TargetMode="External"/><Relationship Id="rId72" Type="http://schemas.openxmlformats.org/officeDocument/2006/relationships/hyperlink" Target="https://motorring.ru/product/2444-diodnye-zadnie-fonari-grey-led-chernye-begayuschim" TargetMode="External"/><Relationship Id="rId93" Type="http://schemas.openxmlformats.org/officeDocument/2006/relationships/hyperlink" Target="https://motorring.ru/product/27724-diodnye-dvuhcvetnye-ptf-polos-analog-lada-granta-lada-vesta" TargetMode="External"/><Relationship Id="rId98" Type="http://schemas.openxmlformats.org/officeDocument/2006/relationships/hyperlink" Target="https://motorring.ru/product/27720-diodnye-ptf-polos-analog-vaz-2110-2112-2113-2115-shevrole" TargetMode="External"/><Relationship Id="rId121" Type="http://schemas.openxmlformats.org/officeDocument/2006/relationships/hyperlink" Target="https://motorring.ru/product/15959-bokovye-zerkala-volna-povtoritelem-chernyy-korpus-vaz" TargetMode="External"/><Relationship Id="rId142" Type="http://schemas.openxmlformats.org/officeDocument/2006/relationships/hyperlink" Target="https://motorring.ru/product/11752-vspyshki-fso-48w-16-svetodiodov" TargetMode="External"/><Relationship Id="rId163" Type="http://schemas.openxmlformats.org/officeDocument/2006/relationships/hyperlink" Target="https://motorring.ru/product/41799-chernye-fary-thebestpartner-linzami-dho-povorotnikom-largus" TargetMode="External"/><Relationship Id="rId3" Type="http://schemas.openxmlformats.org/officeDocument/2006/relationships/hyperlink" Target="https://motorring.ru/product/25053-svetodiodnye-podfarniki-plavniye-dho-povtoritel-4x4-niva" TargetMode="External"/><Relationship Id="rId25" Type="http://schemas.openxmlformats.org/officeDocument/2006/relationships/hyperlink" Target="https://motorring.ru/product/10566-podfarniki-dlaa-diodnymi-povorotnikami-dho-temnyy-hrom-niva" TargetMode="External"/><Relationship Id="rId46" Type="http://schemas.openxmlformats.org/officeDocument/2006/relationships/hyperlink" Target="https://motorring.ru/product/10566-podfarniki-dlaa-diodnymi-povorotnikami-dho-temnyy-hrom-niva" TargetMode="External"/><Relationship Id="rId67" Type="http://schemas.openxmlformats.org/officeDocument/2006/relationships/hyperlink" Target="https://motorring.ru/product/15954-svetodiodnye-zadnie-fonari-krasnye-seroy-polosoy-2108" TargetMode="External"/><Relationship Id="rId116" Type="http://schemas.openxmlformats.org/officeDocument/2006/relationships/hyperlink" Target="https://motorring.ru/product/15987-bokovye-zerkala-volna-belye-povtoritelem-vaz-2104-2107" TargetMode="External"/><Relationship Id="rId137" Type="http://schemas.openxmlformats.org/officeDocument/2006/relationships/hyperlink" Target="https://motorring.ru/product/15968-bokovye-zerkala-piter-hrom-vaz-2108-21099-2113-2115" TargetMode="External"/><Relationship Id="rId158" Type="http://schemas.openxmlformats.org/officeDocument/2006/relationships/hyperlink" Target="https://motorring.ru/product/12750-bokovye-zerkala-piter-belye-antiblikom-vaz-2108-21099" TargetMode="External"/><Relationship Id="rId20" Type="http://schemas.openxmlformats.org/officeDocument/2006/relationships/hyperlink" Target="https://motorring.ru/product/28138-zadnie-diodnye-fonari-orlinyy-glaz-tonirovannye-vaz" TargetMode="External"/><Relationship Id="rId41" Type="http://schemas.openxmlformats.org/officeDocument/2006/relationships/hyperlink" Target="https://motorring.ru/product/19767-ptf-998-led-lada-vesta-iks-rey-granta-niva-urban-reno" TargetMode="External"/><Relationship Id="rId62" Type="http://schemas.openxmlformats.org/officeDocument/2006/relationships/hyperlink" Target="https://motorring.ru/product/15868-tuning-fonari-lada-niva-4x4-chernye" TargetMode="External"/><Relationship Id="rId83" Type="http://schemas.openxmlformats.org/officeDocument/2006/relationships/hyperlink" Target="https://motorring.ru/product/10471-fary-neonovymi-dho-hromirovannye-lada-niva-4h4-vaz-2101" TargetMode="External"/><Relationship Id="rId88" Type="http://schemas.openxmlformats.org/officeDocument/2006/relationships/hyperlink" Target="https://motorring.ru/product/32800-tyuning-fary-chernym-korpusom-polosoy-dho-linzoy-lada-priora" TargetMode="External"/><Relationship Id="rId111" Type="http://schemas.openxmlformats.org/officeDocument/2006/relationships/hyperlink" Target="https://motorring.ru/product/8351" TargetMode="External"/><Relationship Id="rId132" Type="http://schemas.openxmlformats.org/officeDocument/2006/relationships/hyperlink" Target="https://motorring.ru/product/12752-bokovye-zerkala-piter-chernye-vaz-2110-2112" TargetMode="External"/><Relationship Id="rId153" Type="http://schemas.openxmlformats.org/officeDocument/2006/relationships/hyperlink" Target="https://motorring.ru/product/11867-dekorativnye-nakladki-ghabry-0395-kuzov-avtomobilya-krasnye" TargetMode="External"/><Relationship Id="rId15" Type="http://schemas.openxmlformats.org/officeDocument/2006/relationships/hyperlink" Target="https://motorring.ru/product/688-nabor-instrumentov-aerofors-97-pc-predmetov" TargetMode="External"/><Relationship Id="rId36" Type="http://schemas.openxmlformats.org/officeDocument/2006/relationships/hyperlink" Target="https://motorring.ru/product/21803-svetodiodnye-fary-chernom-korpuse-60w-dyuymov-v-obraznym" TargetMode="External"/><Relationship Id="rId57" Type="http://schemas.openxmlformats.org/officeDocument/2006/relationships/hyperlink" Target="https://motorring.ru/product/36856-perednie-fary-vypolnennye-stile-audi-q8-lada-granta-fl" TargetMode="External"/><Relationship Id="rId106" Type="http://schemas.openxmlformats.org/officeDocument/2006/relationships/hyperlink" Target="https://motorring.ru/product/8329-protivotumannye-fary-dlaa-vaz-2110-2112-2113-2115" TargetMode="External"/><Relationship Id="rId127" Type="http://schemas.openxmlformats.org/officeDocument/2006/relationships/hyperlink" Target="https://motorring.ru/product/35954-ruly-nardi-old-school-derevo-dlya-shervole-niva" TargetMode="External"/><Relationship Id="rId10" Type="http://schemas.openxmlformats.org/officeDocument/2006/relationships/hyperlink" Target="https://motorring.ru/product/8282-diodnaya-balka-pl-3106-240w-3vt" TargetMode="External"/><Relationship Id="rId31" Type="http://schemas.openxmlformats.org/officeDocument/2006/relationships/hyperlink" Target="https://motorring.ru/product/13579-svetodiodnye-fary-80w-dyuymov-chernye-povtoritelem-povorota" TargetMode="External"/><Relationship Id="rId52" Type="http://schemas.openxmlformats.org/officeDocument/2006/relationships/hyperlink" Target="https://motorring.ru/product/36972-komplekt-diodnyh-fonarey-led-obvodkoy-lada-4h4-niva" TargetMode="External"/><Relationship Id="rId73" Type="http://schemas.openxmlformats.org/officeDocument/2006/relationships/hyperlink" Target="https://motorring.ru/product/30580-zadnie-svetodiodnye-fonari-kapli-lada-niva-4h4" TargetMode="External"/><Relationship Id="rId78" Type="http://schemas.openxmlformats.org/officeDocument/2006/relationships/hyperlink" Target="https://motorring.ru/product/27746-zadnie-diodnye-fonari-iksy-tonirovannye-vaz-2108-21099-2113" TargetMode="External"/><Relationship Id="rId94" Type="http://schemas.openxmlformats.org/officeDocument/2006/relationships/hyperlink" Target="https://motorring.ru/product/27721-diodnye-ptf-polos-dvuhcvetnye-analog-vaz-2110-2112" TargetMode="External"/><Relationship Id="rId99" Type="http://schemas.openxmlformats.org/officeDocument/2006/relationships/hyperlink" Target="https://motorring.ru/product/24471-svetodiodnye-dvuhcvetnie-led-protivotumannye-fary-analog-polosy" TargetMode="External"/><Relationship Id="rId101" Type="http://schemas.openxmlformats.org/officeDocument/2006/relationships/hyperlink" Target="https://motorring.ru/product/24470-svetodiodnye-led-protivotumannye-fary-analog-polosy" TargetMode="External"/><Relationship Id="rId122" Type="http://schemas.openxmlformats.org/officeDocument/2006/relationships/hyperlink" Target="https://motorring.ru/product/22575-protivotumannye-fary-diodnye-polosy-restaylingovyy-bamper" TargetMode="External"/><Relationship Id="rId143" Type="http://schemas.openxmlformats.org/officeDocument/2006/relationships/hyperlink" Target="https://motorring.ru/product/11748-vspyshki-fso-27w-svetodiod" TargetMode="External"/><Relationship Id="rId148" Type="http://schemas.openxmlformats.org/officeDocument/2006/relationships/hyperlink" Target="https://motorring.ru/product/15956-bokovye-zerkala-volna-belye-libo-chernye-vaz-2108-21099" TargetMode="External"/><Relationship Id="rId164" Type="http://schemas.openxmlformats.org/officeDocument/2006/relationships/hyperlink" Target="https://motorring.ru/product/12720-zadnie-fonari-diodnymi-povtoritelyami-stopami-gabaritami" TargetMode="External"/><Relationship Id="rId4" Type="http://schemas.openxmlformats.org/officeDocument/2006/relationships/hyperlink" Target="https://motorring.ru/product/18762-svetodiodnye-fary-chernom-korpuse-90w-dyuymov-povtoritelem" TargetMode="External"/><Relationship Id="rId9" Type="http://schemas.openxmlformats.org/officeDocument/2006/relationships/hyperlink" Target="https://motorring.ru/product/34249-zadnie-svetodiodnye-fonari-tonirovannye-stile-range-rover-niva" TargetMode="External"/><Relationship Id="rId26" Type="http://schemas.openxmlformats.org/officeDocument/2006/relationships/hyperlink" Target="https://motorring.ru/product/27715-svetodiodnye-fary-zvezdi-dyuymov-chernye-led-kolycom" TargetMode="External"/><Relationship Id="rId47" Type="http://schemas.openxmlformats.org/officeDocument/2006/relationships/hyperlink" Target="https://motorring.ru/product/24714-zadnie-svetodiodnye-fonari-kapli-chernye-lada-niva-4h4" TargetMode="External"/><Relationship Id="rId68" Type="http://schemas.openxmlformats.org/officeDocument/2006/relationships/hyperlink" Target="https://motorring.ru/product/249-zadnie-diodnye-fonari-krasno-belye-vaz-2108-2113-2109-2114" TargetMode="External"/><Relationship Id="rId89" Type="http://schemas.openxmlformats.org/officeDocument/2006/relationships/hyperlink" Target="https://motorring.ru/product/32637-komplekt-chernyh-svetodiodnyh-linzovannyh-far-lada-vesta" TargetMode="External"/><Relationship Id="rId112" Type="http://schemas.openxmlformats.org/officeDocument/2006/relationships/hyperlink" Target="https://motorring.ru/product/8326-protivotumannye-fary-ld-472-lada-kalina-granta-largus" TargetMode="External"/><Relationship Id="rId133" Type="http://schemas.openxmlformats.org/officeDocument/2006/relationships/hyperlink" Target="https://motorring.ru/product/15197" TargetMode="External"/><Relationship Id="rId154" Type="http://schemas.openxmlformats.org/officeDocument/2006/relationships/hyperlink" Target="https://motorring.ru/product/21211-povtoriteli-povorotov-led-nadpisyyu-granta-lada-granta" TargetMode="External"/><Relationship Id="rId16" Type="http://schemas.openxmlformats.org/officeDocument/2006/relationships/hyperlink" Target="https://motorring.ru/product/32728-zadnie-diodnye-fonari-orlinyy-glaz-belyue-vaz" TargetMode="External"/><Relationship Id="rId37" Type="http://schemas.openxmlformats.org/officeDocument/2006/relationships/hyperlink" Target="https://motorring.ru/product/21804-svetodiodnye-fary-60w-dyuymov-chernye-krug-centre" TargetMode="External"/><Relationship Id="rId58" Type="http://schemas.openxmlformats.org/officeDocument/2006/relationships/hyperlink" Target="https://motorring.ru/product/38690-komplekt-krasnyh-zadnih-led-fonarey-dinamich-vesta" TargetMode="External"/><Relationship Id="rId79" Type="http://schemas.openxmlformats.org/officeDocument/2006/relationships/hyperlink" Target="https://motorring.ru/product/37146-zadnie-diodnye-krasnye-fonari-stile-mersedes-lada-granta" TargetMode="External"/><Relationship Id="rId102" Type="http://schemas.openxmlformats.org/officeDocument/2006/relationships/hyperlink" Target="https://motorring.ru/product/21355-diodnye-ptf-30w-lada-priora-analog" TargetMode="External"/><Relationship Id="rId123" Type="http://schemas.openxmlformats.org/officeDocument/2006/relationships/hyperlink" Target="https://motorring.ru/product/16660-svetodiodnye-nakladki-porogi-nadpisyyu-urban-lada-niva" TargetMode="External"/><Relationship Id="rId144" Type="http://schemas.openxmlformats.org/officeDocument/2006/relationships/hyperlink" Target="https://motorring.ru/product/11746-diodnaya-balka-27w-b-dalyniy-3vt" TargetMode="External"/><Relationship Id="rId90" Type="http://schemas.openxmlformats.org/officeDocument/2006/relationships/hyperlink" Target="https://motorring.ru/product/20430-svetodiodnye-podfarniki-tonirovannoe-steklo-dho-begayuschim" TargetMode="External"/><Relationship Id="rId165" Type="http://schemas.openxmlformats.org/officeDocument/2006/relationships/printerSettings" Target="../printerSettings/printerSettings1.bin"/><Relationship Id="rId27" Type="http://schemas.openxmlformats.org/officeDocument/2006/relationships/hyperlink" Target="https://motorring.ru/product/15119-svetodiodnye-fary-chernom-korpuse-96w-dyuymov-povtoritelem" TargetMode="External"/><Relationship Id="rId48" Type="http://schemas.openxmlformats.org/officeDocument/2006/relationships/hyperlink" Target="https://motorring.ru/product/27716-svetodiodnye-fary-uzor-dyuymov-chernye-led-kolycom" TargetMode="External"/><Relationship Id="rId69" Type="http://schemas.openxmlformats.org/officeDocument/2006/relationships/hyperlink" Target="https://motorring.ru/product/8171-diodnye-krasno-belye-fonari-lada-granta-sedan" TargetMode="External"/><Relationship Id="rId113" Type="http://schemas.openxmlformats.org/officeDocument/2006/relationships/hyperlink" Target="https://motorring.ru/product/8334-protivotumannye-fary-ld-088-chernye-vaz-2110-12-2113-15" TargetMode="External"/><Relationship Id="rId134" Type="http://schemas.openxmlformats.org/officeDocument/2006/relationships/hyperlink" Target="https://motorring.ru/product/11873-spoylery-diodom-dvorniki-hrom" TargetMode="External"/><Relationship Id="rId80" Type="http://schemas.openxmlformats.org/officeDocument/2006/relationships/hyperlink" Target="https://motorring.ru/product/34862-tonirovannye-svetodiodnye-led-podfarniki-polos-dho" TargetMode="External"/><Relationship Id="rId155" Type="http://schemas.openxmlformats.org/officeDocument/2006/relationships/hyperlink" Target="https://motorring.ru/product/21668-led-povtoriteli-povorotnika-oranghevye-gerbom-dvuglavyy" TargetMode="External"/></Relationships>
</file>

<file path=xl/worksheets/_rels/sheet2.xml.rels><?xml version="1.0" encoding="UTF-8" standalone="yes"?>
<Relationships xmlns="http://schemas.openxmlformats.org/package/2006/relationships"><Relationship Id="rId3" Type="http://schemas.openxmlformats.org/officeDocument/2006/relationships/hyperlink" Target="https://motorring.ru/product/11858-nakladki-pedali-type-serebristo-krasnye" TargetMode="External"/><Relationship Id="rId2" Type="http://schemas.openxmlformats.org/officeDocument/2006/relationships/hyperlink" Target="https://motorring.ru/product/11862-nakladki-pedali-type-sinie-kvadratnym-rezinovym-protektorom" TargetMode="External"/><Relationship Id="rId1" Type="http://schemas.openxmlformats.org/officeDocument/2006/relationships/hyperlink" Target="https://motorring.ru/product/11863-nakladki-pedali-type-chernye" TargetMode="External"/><Relationship Id="rId6" Type="http://schemas.openxmlformats.org/officeDocument/2006/relationships/printerSettings" Target="../printerSettings/printerSettings2.bin"/><Relationship Id="rId5" Type="http://schemas.openxmlformats.org/officeDocument/2006/relationships/hyperlink" Target="https://motorring.ru/product/11857-nakladki-pedali-type-serebristo-chernye" TargetMode="External"/><Relationship Id="rId4" Type="http://schemas.openxmlformats.org/officeDocument/2006/relationships/hyperlink" Target="https://motorring.ru/product/11855-nakladki-pedali-type-serebristo-sinie" TargetMode="Externa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17" Type="http://schemas.openxmlformats.org/officeDocument/2006/relationships/hyperlink" Target="https://motorring.ru/product/15995-bokovye-zerkala-volna-chernye-vaz-2104-2105-2107" TargetMode="External"/><Relationship Id="rId21" Type="http://schemas.openxmlformats.org/officeDocument/2006/relationships/hyperlink" Target="https://motorring.ru/product/38688-zadnie-diodnye-fonari-orlinyy-glaz-vaz-2105" TargetMode="External"/><Relationship Id="rId42" Type="http://schemas.openxmlformats.org/officeDocument/2006/relationships/hyperlink" Target="https://motorring.ru/product/11775-diodnaya-balka-g-240-240w-3vt" TargetMode="External"/><Relationship Id="rId63" Type="http://schemas.openxmlformats.org/officeDocument/2006/relationships/hyperlink" Target="https://motorring.ru/product/4259-zadnie-fonari-krasnoy-polosoy-dlya-vaz-2105-2107" TargetMode="External"/><Relationship Id="rId84" Type="http://schemas.openxmlformats.org/officeDocument/2006/relationships/hyperlink" Target="https://motorring.ru/product/8483-fary-neonovymi-dho-tonirovannye-dlya-lada-4h4-niva-vaz-2101" TargetMode="External"/><Relationship Id="rId138" Type="http://schemas.openxmlformats.org/officeDocument/2006/relationships/hyperlink" Target="https://motorring.ru/product/12748-bokovye-zerkala-piter-chernye-antiblikom-vaz-2108-21099" TargetMode="External"/><Relationship Id="rId159" Type="http://schemas.openxmlformats.org/officeDocument/2006/relationships/hyperlink" Target="https://motorring.ru/product/8278-diodnaya-balka-pl-3101-24w-3vt" TargetMode="External"/><Relationship Id="rId107" Type="http://schemas.openxmlformats.org/officeDocument/2006/relationships/hyperlink" Target="https://motorring.ru/product/8348-protivotumannye-fary-ld-093-pod-kirghach-lada-priora" TargetMode="External"/><Relationship Id="rId11" Type="http://schemas.openxmlformats.org/officeDocument/2006/relationships/hyperlink" Target="https://motorring.ru/product/8338-protivotumannye-fary-glaz-orla-vaz-2110-2115" TargetMode="External"/><Relationship Id="rId32" Type="http://schemas.openxmlformats.org/officeDocument/2006/relationships/hyperlink" Target="https://motorring.ru/product/14256-svetodiodnye-fary-80w-dyuymov-chernye-povtoritelem-povorota" TargetMode="External"/><Relationship Id="rId53" Type="http://schemas.openxmlformats.org/officeDocument/2006/relationships/hyperlink" Target="https://motorring.ru/product/38644-komplekt-diodnyh-fonarey-polosy-lada-4h4-niva" TargetMode="External"/><Relationship Id="rId74" Type="http://schemas.openxmlformats.org/officeDocument/2006/relationships/hyperlink" Target="https://motorring.ru/product/8172-diodnye-krasno-serye-fonari-lada-granta-sedan" TargetMode="External"/><Relationship Id="rId128" Type="http://schemas.openxmlformats.org/officeDocument/2006/relationships/hyperlink" Target="https://motorring.ru/product/11903-podsvetka-salona-knopkoy-a-10" TargetMode="External"/><Relationship Id="rId149" Type="http://schemas.openxmlformats.org/officeDocument/2006/relationships/hyperlink" Target="https://motorring.ru/product/11764-diodnaya-balka-cclb-36-36w-3vt" TargetMode="External"/><Relationship Id="rId5" Type="http://schemas.openxmlformats.org/officeDocument/2006/relationships/hyperlink" Target="https://motorring.ru/product/25915-zadnie-chernye-svetodiodnye-fonari-polosy-begayuschim" TargetMode="External"/><Relationship Id="rId95" Type="http://schemas.openxmlformats.org/officeDocument/2006/relationships/hyperlink" Target="https://motorring.ru/product/27725-diodnye-dvuhcvetnye-ptf-angelyskimi-glazkami-lada-kalina3" TargetMode="External"/><Relationship Id="rId160" Type="http://schemas.openxmlformats.org/officeDocument/2006/relationships/hyperlink" Target="https://motorring.ru/product/11765-diodnaya-balka-xrb-120-120w-3vt" TargetMode="External"/><Relationship Id="rId22" Type="http://schemas.openxmlformats.org/officeDocument/2006/relationships/hyperlink" Target="https://motorring.ru/product/27717-svetodiodnye-fary-cherep-dyuymov-chernye-led-kolycom" TargetMode="External"/><Relationship Id="rId43" Type="http://schemas.openxmlformats.org/officeDocument/2006/relationships/hyperlink" Target="https://motorring.ru/product/22259-zadnie-svetodiodnye-fonari-britaniya-krasnye-begayuschim" TargetMode="External"/><Relationship Id="rId64" Type="http://schemas.openxmlformats.org/officeDocument/2006/relationships/hyperlink" Target="https://motorring.ru/product/15994" TargetMode="External"/><Relationship Id="rId118" Type="http://schemas.openxmlformats.org/officeDocument/2006/relationships/hyperlink" Target="https://motorring.ru/product/15997-bokovye-zerkala-volna-hrom-nakladkami-vaz-2104-2105-2107" TargetMode="External"/><Relationship Id="rId139" Type="http://schemas.openxmlformats.org/officeDocument/2006/relationships/hyperlink" Target="https://motorring.ru/product/11776-diodnaya-balka-xrb-240-240w-3vt" TargetMode="External"/><Relationship Id="rId85" Type="http://schemas.openxmlformats.org/officeDocument/2006/relationships/hyperlink" Target="https://motorring.ru/product/7158-ramki-ptf-hodovymi-ognyami-dlya-lada-largus" TargetMode="External"/><Relationship Id="rId150" Type="http://schemas.openxmlformats.org/officeDocument/2006/relationships/hyperlink" Target="https://motorring.ru/product/11770-diodnaya-balka-xrb-180-180w-3vt" TargetMode="External"/><Relationship Id="rId12" Type="http://schemas.openxmlformats.org/officeDocument/2006/relationships/hyperlink" Target="https://motorring.ru/product/11781-diodnaya-balka-42-hk-yx" TargetMode="External"/><Relationship Id="rId33" Type="http://schemas.openxmlformats.org/officeDocument/2006/relationships/hyperlink" Target="https://motorring.ru/product/4252-zadnie-fonari-krasnoy-polosoy-vaz-2108-21099-2113-2114" TargetMode="External"/><Relationship Id="rId108" Type="http://schemas.openxmlformats.org/officeDocument/2006/relationships/hyperlink" Target="https://motorring.ru/product/8345-protivotumannye-fary-ld-089-ramkami-lada-kalina" TargetMode="External"/><Relationship Id="rId129" Type="http://schemas.openxmlformats.org/officeDocument/2006/relationships/hyperlink" Target="https://motorring.ru/product/21208-povtoriteli-povorotov-led-nadpisyyu-priora-lada-priora" TargetMode="External"/><Relationship Id="rId54" Type="http://schemas.openxmlformats.org/officeDocument/2006/relationships/hyperlink" Target="https://motorring.ru/product/38645-komplekt-diodnyh-fonarey-polosy-lada-4h4-niva" TargetMode="External"/><Relationship Id="rId70" Type="http://schemas.openxmlformats.org/officeDocument/2006/relationships/hyperlink" Target="https://motorring.ru/product/36707-diodnye-belo-serye-fonari-lada-granta-sedan" TargetMode="External"/><Relationship Id="rId75" Type="http://schemas.openxmlformats.org/officeDocument/2006/relationships/hyperlink" Target="https://motorring.ru/product/32726-zadnie-diodnye-fonari-418g-toporiki-tonirovannye-dlya-vaz" TargetMode="External"/><Relationship Id="rId91" Type="http://schemas.openxmlformats.org/officeDocument/2006/relationships/hyperlink" Target="https://motorring.ru/product/20429-svetodiodnye-podfarniki-dho-begayuschim-povorotnikom-lada" TargetMode="External"/><Relationship Id="rId96" Type="http://schemas.openxmlformats.org/officeDocument/2006/relationships/hyperlink" Target="https://motorring.ru/product/21357-diodnye-ptf-30w-dho-lada-kalina-kalina-granta-largus-datsun" TargetMode="External"/><Relationship Id="rId140" Type="http://schemas.openxmlformats.org/officeDocument/2006/relationships/hyperlink" Target="https://motorring.ru/product/10664" TargetMode="External"/><Relationship Id="rId145" Type="http://schemas.openxmlformats.org/officeDocument/2006/relationships/hyperlink" Target="https://motorring.ru/product/15957-bokovye-zerkala-piter-chernye-libo-belye-vaz-2108-21099" TargetMode="External"/><Relationship Id="rId161" Type="http://schemas.openxmlformats.org/officeDocument/2006/relationships/hyperlink" Target="https://motorring.ru/product/8288-diodnaya-balka-pl-3205-120w-3vt" TargetMode="External"/><Relationship Id="rId166" Type="http://schemas.openxmlformats.org/officeDocument/2006/relationships/drawing" Target="../drawings/drawing1.xml"/><Relationship Id="rId1" Type="http://schemas.openxmlformats.org/officeDocument/2006/relationships/hyperlink" Target="https://motorring.ru/product/11869-spoylery-diodom-dvorniki-karbon" TargetMode="External"/><Relationship Id="rId6" Type="http://schemas.openxmlformats.org/officeDocument/2006/relationships/hyperlink" Target="https://motorring.ru/product/16189-tyuning-fary-chernom-korpuse-diodnymi-dho-lada-granta" TargetMode="External"/><Relationship Id="rId23" Type="http://schemas.openxmlformats.org/officeDocument/2006/relationships/hyperlink" Target="https://motorring.ru/product/36708-zadnie-svetodiodnye-svetlie-fonari-stile-range-rover-niva" TargetMode="External"/><Relationship Id="rId28" Type="http://schemas.openxmlformats.org/officeDocument/2006/relationships/hyperlink" Target="https://motorring.ru/product/12231-svetodiodnye-fary-90w-dyuymov-chernye-diodnym-kolycom" TargetMode="External"/><Relationship Id="rId49" Type="http://schemas.openxmlformats.org/officeDocument/2006/relationships/hyperlink" Target="https://motorring.ru/product/14257-svetodiodnye-fary-dyuymov-d0875x-vaz-2101-lada-niva-4h4" TargetMode="External"/><Relationship Id="rId114" Type="http://schemas.openxmlformats.org/officeDocument/2006/relationships/hyperlink" Target="https://motorring.ru/product/14680-protivotumannye-fary-linzoy-ld-271-ramkami-lada-granta" TargetMode="External"/><Relationship Id="rId119" Type="http://schemas.openxmlformats.org/officeDocument/2006/relationships/hyperlink" Target="https://motorring.ru/product/12746-bokovye-zerkala-piter-belye-antiblikom-vaz-2104-2105-2107" TargetMode="External"/><Relationship Id="rId44" Type="http://schemas.openxmlformats.org/officeDocument/2006/relationships/hyperlink" Target="https://motorring.ru/product/22260-zadnie-svetodiodnye-fonari-britaniya-chernye-begayuschim" TargetMode="External"/><Relationship Id="rId60" Type="http://schemas.openxmlformats.org/officeDocument/2006/relationships/hyperlink" Target="https://motorring.ru/product/25912-zadnie-svetodiodnye-fonari-iksy-chernye-begayuschim" TargetMode="External"/><Relationship Id="rId65" Type="http://schemas.openxmlformats.org/officeDocument/2006/relationships/hyperlink" Target="https://motorring.ru/product/4250-zadnie-fonari-torino-hy-200-krasnye-beloy-polosoy-vaz" TargetMode="External"/><Relationship Id="rId81" Type="http://schemas.openxmlformats.org/officeDocument/2006/relationships/hyperlink" Target="https://motorring.ru/product/25053-svetodiodnye-podfarniki-plavniye-dho-povtoritel-4x4-niva" TargetMode="External"/><Relationship Id="rId86" Type="http://schemas.openxmlformats.org/officeDocument/2006/relationships/hyperlink" Target="https://motorring.ru/product/27714-svetodiodnye-fary-linii-dyuymov-chernye-led-kolycom" TargetMode="External"/><Relationship Id="rId130" Type="http://schemas.openxmlformats.org/officeDocument/2006/relationships/hyperlink" Target="https://motorring.ru/product/21669-led-povtoriteli-povorotnika-belye-gerbom-dvuglavyy-orel-vaz" TargetMode="External"/><Relationship Id="rId135" Type="http://schemas.openxmlformats.org/officeDocument/2006/relationships/hyperlink" Target="https://motorring.ru/product/13905-diodnye-povtoriteli-nadpisyyu-dlya-lada-priora" TargetMode="External"/><Relationship Id="rId151" Type="http://schemas.openxmlformats.org/officeDocument/2006/relationships/hyperlink" Target="https://motorring.ru/product/8287-diodnaya-balka-pl-3204-90w-3vt" TargetMode="External"/><Relationship Id="rId156" Type="http://schemas.openxmlformats.org/officeDocument/2006/relationships/hyperlink" Target="https://motorring.ru/product/6424-diodnye-povtoriteli-nadpisyyu-granta-dlya-lada-granta" TargetMode="External"/><Relationship Id="rId13" Type="http://schemas.openxmlformats.org/officeDocument/2006/relationships/hyperlink" Target="https://motorring.ru/product/11751-diodnaya-balka-48w-a-blighniy-3vt" TargetMode="External"/><Relationship Id="rId18" Type="http://schemas.openxmlformats.org/officeDocument/2006/relationships/hyperlink" Target="https://motorring.ru/product/38698-komplekt-diodnyh-far-thebestpartner-stile-audi-lada-vesta" TargetMode="External"/><Relationship Id="rId39" Type="http://schemas.openxmlformats.org/officeDocument/2006/relationships/hyperlink" Target="https://motorring.ru/product/27718-svetodiodnye-fary-boss-chernye-povtoritelem-povorotnika-dho" TargetMode="External"/><Relationship Id="rId109" Type="http://schemas.openxmlformats.org/officeDocument/2006/relationships/hyperlink" Target="https://motorring.ru/product/8343-protivotumannye-fary-diodnye-ld-089l-ramkami-lada-kalina" TargetMode="External"/><Relationship Id="rId34" Type="http://schemas.openxmlformats.org/officeDocument/2006/relationships/hyperlink" Target="https://motorring.ru/product/31560-svetodiodnye-fary-90w-bluetooth-regulirovkoy-cveta" TargetMode="External"/><Relationship Id="rId50" Type="http://schemas.openxmlformats.org/officeDocument/2006/relationships/hyperlink" Target="https://motorring.ru/product/25053-svetodiodnye-podfarniki-plavniye-dho-povtoritel-4x4-niva" TargetMode="External"/><Relationship Id="rId55" Type="http://schemas.openxmlformats.org/officeDocument/2006/relationships/hyperlink" Target="https://motorring.ru/product/38639-komplekt-diodnyh-serih-fonarey-led-obvodkoy-lada-4h4-niva" TargetMode="External"/><Relationship Id="rId76" Type="http://schemas.openxmlformats.org/officeDocument/2006/relationships/hyperlink" Target="https://motorring.ru/product/6919-zadnie-fonari-prosport-rs-09070-audi-dlya-vaz-2108-14" TargetMode="External"/><Relationship Id="rId97" Type="http://schemas.openxmlformats.org/officeDocument/2006/relationships/hyperlink" Target="https://motorring.ru/product/19766-ptf-699-lada-vesta-iks-rey-granta-niva-urban-reno" TargetMode="External"/><Relationship Id="rId104" Type="http://schemas.openxmlformats.org/officeDocument/2006/relationships/hyperlink" Target="https://motorring.ru/product/20616-protivotumannye-fary-ld-673-lada-vesta-iks-rey-granta-niva" TargetMode="External"/><Relationship Id="rId120" Type="http://schemas.openxmlformats.org/officeDocument/2006/relationships/hyperlink" Target="https://motorring.ru/product/12749-bokovye-zerkala-piter-sneghka-antiblikom-vaz-2108-2115" TargetMode="External"/><Relationship Id="rId125" Type="http://schemas.openxmlformats.org/officeDocument/2006/relationships/hyperlink" Target="https://motorring.ru/product/148-blok-fara-levaya-analog-lada-kalina" TargetMode="External"/><Relationship Id="rId141" Type="http://schemas.openxmlformats.org/officeDocument/2006/relationships/hyperlink" Target="https://motorring.ru/product/8281-diodnaya-balka-pl-3104-120w-3vt" TargetMode="External"/><Relationship Id="rId146" Type="http://schemas.openxmlformats.org/officeDocument/2006/relationships/hyperlink" Target="https://motorring.ru/product/15961-bokovye-zerkala-piter-karbon-vaz-2108-2115" TargetMode="External"/><Relationship Id="rId167" Type="http://schemas.openxmlformats.org/officeDocument/2006/relationships/vmlDrawing" Target="../drawings/vmlDrawing1.vml"/><Relationship Id="rId7" Type="http://schemas.openxmlformats.org/officeDocument/2006/relationships/hyperlink" Target="https://motorring.ru/product/260" TargetMode="External"/><Relationship Id="rId71" Type="http://schemas.openxmlformats.org/officeDocument/2006/relationships/hyperlink" Target="https://motorring.ru/product/13366-diodnye-zadnie-fonari-red-led-krasnye-begayuschim" TargetMode="External"/><Relationship Id="rId92" Type="http://schemas.openxmlformats.org/officeDocument/2006/relationships/hyperlink" Target="https://motorring.ru/product/22269-svetodiodnye-podfarniki-krasnye-dho-begayuschim" TargetMode="External"/><Relationship Id="rId162" Type="http://schemas.openxmlformats.org/officeDocument/2006/relationships/hyperlink" Target="https://motorring.ru/product/8280-diodnaya-balka-pl-3103-60w-3vt" TargetMode="External"/><Relationship Id="rId2" Type="http://schemas.openxmlformats.org/officeDocument/2006/relationships/hyperlink" Target="https://motorring.ru/product/8342-chernye-diodnye-protivotumannye-fary-vaz-2110-2112" TargetMode="External"/><Relationship Id="rId29" Type="http://schemas.openxmlformats.org/officeDocument/2006/relationships/hyperlink" Target="https://motorring.ru/product/21524-svetodiodnye-fary-chernom-korpuse-96w-dyuymov-led-kolycom" TargetMode="External"/><Relationship Id="rId24" Type="http://schemas.openxmlformats.org/officeDocument/2006/relationships/hyperlink" Target="https://motorring.ru/product/27719-svetodiodnye-fary-shkali-dyuymov-chernye-led-kolycom" TargetMode="External"/><Relationship Id="rId40" Type="http://schemas.openxmlformats.org/officeDocument/2006/relationships/hyperlink" Target="https://motorring.ru/product/21805-svetodiodnye-fary-60w-dyuymov-chernye-risunok-misheny" TargetMode="External"/><Relationship Id="rId45" Type="http://schemas.openxmlformats.org/officeDocument/2006/relationships/hyperlink" Target="https://motorring.ru/product/13578-svetodiodnye-fary-chernye-90w-dyuymov-led-povtoritelem" TargetMode="External"/><Relationship Id="rId66" Type="http://schemas.openxmlformats.org/officeDocument/2006/relationships/hyperlink" Target="https://motorring.ru/product/15969-zadnie-diodnye-fonari-chernye-beloy-polosoy-vaz-2108-21099" TargetMode="External"/><Relationship Id="rId87" Type="http://schemas.openxmlformats.org/officeDocument/2006/relationships/hyperlink" Target="https://motorring.ru/product/27713-svetodiodnye-fary-polosa-dyuymov-chernye-led-kolycom" TargetMode="External"/><Relationship Id="rId110" Type="http://schemas.openxmlformats.org/officeDocument/2006/relationships/hyperlink" Target="https://motorring.ru/product/8328-klassicheskie-protivotumannye-fary-dlaa-dlya-vaz-2110-2112" TargetMode="External"/><Relationship Id="rId115" Type="http://schemas.openxmlformats.org/officeDocument/2006/relationships/hyperlink" Target="https://motorring.ru/product/27724-diodnye-dvuhcvetnye-ptf-polos-analog-lada-granta-lada-vesta" TargetMode="External"/><Relationship Id="rId131" Type="http://schemas.openxmlformats.org/officeDocument/2006/relationships/hyperlink" Target="https://motorring.ru/product/6425-diodnye-povtoriteli-nadpisyyu-priora-dlya-lada-priora" TargetMode="External"/><Relationship Id="rId136" Type="http://schemas.openxmlformats.org/officeDocument/2006/relationships/hyperlink" Target="https://motorring.ru/product/15996-bokovye-zerkala-piter-chernye-vaz-2101-2107" TargetMode="External"/><Relationship Id="rId157" Type="http://schemas.openxmlformats.org/officeDocument/2006/relationships/hyperlink" Target="https://motorring.ru/product/15967-bokovye-zerkala-volna-hrom-chernyy-vaz-2108-2115" TargetMode="External"/><Relationship Id="rId61" Type="http://schemas.openxmlformats.org/officeDocument/2006/relationships/hyperlink" Target="https://motorring.ru/product/25913-zadnie-svetodiodnye-fonari-iksy-krasnye-begayuschim" TargetMode="External"/><Relationship Id="rId82" Type="http://schemas.openxmlformats.org/officeDocument/2006/relationships/hyperlink" Target="https://motorring.ru/product/8357-svetodiodnye-ptf-lada-vesta-iks-rey-granta-niva-urban-reno" TargetMode="External"/><Relationship Id="rId152" Type="http://schemas.openxmlformats.org/officeDocument/2006/relationships/hyperlink" Target="https://motorring.ru/product/849" TargetMode="External"/><Relationship Id="rId19" Type="http://schemas.openxmlformats.org/officeDocument/2006/relationships/hyperlink" Target="https://motorring.ru/product/35105-zadnie-diodnye-fonari-orlinyy-glaz-tonirovannye-vaz-2105" TargetMode="External"/><Relationship Id="rId14" Type="http://schemas.openxmlformats.org/officeDocument/2006/relationships/hyperlink" Target="https://motorring.ru/product/10675-nabor-instrumentov-aerofors-59-pc-predmetov" TargetMode="External"/><Relationship Id="rId30" Type="http://schemas.openxmlformats.org/officeDocument/2006/relationships/hyperlink" Target="https://motorring.ru/product/15120-svetodiodnye-fary-90w-dyuymov-chernye-povtoritelem-povorota" TargetMode="External"/><Relationship Id="rId35" Type="http://schemas.openxmlformats.org/officeDocument/2006/relationships/hyperlink" Target="https://motorring.ru/product/21802-svetodiodnye-fary-chernom-korpuse-60w-dyuymov-h-obraznym" TargetMode="External"/><Relationship Id="rId56" Type="http://schemas.openxmlformats.org/officeDocument/2006/relationships/hyperlink" Target="https://motorring.ru/product/38641-komplekt-diodnyh-fonarey-puls-lada-4h4-niva" TargetMode="External"/><Relationship Id="rId77" Type="http://schemas.openxmlformats.org/officeDocument/2006/relationships/hyperlink" Target="https://motorring.ru/product/25914-zadnie-svetodiodnye-fonari-belie-iksy-chernye-begayuschim" TargetMode="External"/><Relationship Id="rId100" Type="http://schemas.openxmlformats.org/officeDocument/2006/relationships/hyperlink" Target="https://motorring.ru/product/24470-svetodiodnye-led-protivotumannye-fary-analog-polosy" TargetMode="External"/><Relationship Id="rId105" Type="http://schemas.openxmlformats.org/officeDocument/2006/relationships/hyperlink" Target="https://motorring.ru/product/8347-protivotumannye-fary-ld-327-dlya-lada-priora" TargetMode="External"/><Relationship Id="rId126" Type="http://schemas.openxmlformats.org/officeDocument/2006/relationships/hyperlink" Target="https://motorring.ru/product/746-blok-fara-pravaya-analog-lada-kalina" TargetMode="External"/><Relationship Id="rId147" Type="http://schemas.openxmlformats.org/officeDocument/2006/relationships/hyperlink" Target="https://motorring.ru/product/15972-bokovye-zerkala-volna-chernye-hrom-nakladkoy-povtoritelem" TargetMode="External"/><Relationship Id="rId168" Type="http://schemas.openxmlformats.org/officeDocument/2006/relationships/control" Target="../activeX/activeX1.xml"/><Relationship Id="rId8" Type="http://schemas.openxmlformats.org/officeDocument/2006/relationships/hyperlink" Target="https://motorring.ru/product/8283-diodnaya-balka-pl-3107-300w-100-3vt" TargetMode="External"/><Relationship Id="rId51" Type="http://schemas.openxmlformats.org/officeDocument/2006/relationships/hyperlink" Target="https://motorring.ru/product/8279-diodnaya-balka-pl-3102-36w-3vt" TargetMode="External"/><Relationship Id="rId72" Type="http://schemas.openxmlformats.org/officeDocument/2006/relationships/hyperlink" Target="https://motorring.ru/product/2444-diodnye-zadnie-fonari-grey-led-chernye-begayuschim" TargetMode="External"/><Relationship Id="rId93" Type="http://schemas.openxmlformats.org/officeDocument/2006/relationships/hyperlink" Target="https://motorring.ru/product/27724-diodnye-dvuhcvetnye-ptf-polos-analog-lada-granta-lada-vesta" TargetMode="External"/><Relationship Id="rId98" Type="http://schemas.openxmlformats.org/officeDocument/2006/relationships/hyperlink" Target="https://motorring.ru/product/27720-diodnye-ptf-polos-analog-vaz-2110-2112-2113-2115-shevrole" TargetMode="External"/><Relationship Id="rId121" Type="http://schemas.openxmlformats.org/officeDocument/2006/relationships/hyperlink" Target="https://motorring.ru/product/15959-bokovye-zerkala-volna-povtoritelem-chernyy-korpus-vaz" TargetMode="External"/><Relationship Id="rId142" Type="http://schemas.openxmlformats.org/officeDocument/2006/relationships/hyperlink" Target="https://motorring.ru/product/11752-vspyshki-fso-48w-16-svetodiodov" TargetMode="External"/><Relationship Id="rId163" Type="http://schemas.openxmlformats.org/officeDocument/2006/relationships/hyperlink" Target="https://motorring.ru/product/41799-chernye-fary-thebestpartner-linzami-dho-povorotnikom-largus" TargetMode="External"/><Relationship Id="rId3" Type="http://schemas.openxmlformats.org/officeDocument/2006/relationships/hyperlink" Target="https://motorring.ru/product/25053-svetodiodnye-podfarniki-plavniye-dho-povtoritel-4x4-niva" TargetMode="External"/><Relationship Id="rId25" Type="http://schemas.openxmlformats.org/officeDocument/2006/relationships/hyperlink" Target="https://motorring.ru/product/10566-podfarniki-dlaa-diodnymi-povorotnikami-dho-temnyy-hrom-niva" TargetMode="External"/><Relationship Id="rId46" Type="http://schemas.openxmlformats.org/officeDocument/2006/relationships/hyperlink" Target="https://motorring.ru/product/10566-podfarniki-dlaa-diodnymi-povorotnikami-dho-temnyy-hrom-niva" TargetMode="External"/><Relationship Id="rId67" Type="http://schemas.openxmlformats.org/officeDocument/2006/relationships/hyperlink" Target="https://motorring.ru/product/15954-svetodiodnye-zadnie-fonari-krasnye-seroy-polosoy-2108" TargetMode="External"/><Relationship Id="rId116" Type="http://schemas.openxmlformats.org/officeDocument/2006/relationships/hyperlink" Target="https://motorring.ru/product/15987-bokovye-zerkala-volna-belye-povtoritelem-vaz-2104-2107" TargetMode="External"/><Relationship Id="rId137" Type="http://schemas.openxmlformats.org/officeDocument/2006/relationships/hyperlink" Target="https://motorring.ru/product/15968-bokovye-zerkala-piter-hrom-vaz-2108-21099-2113-2115" TargetMode="External"/><Relationship Id="rId158" Type="http://schemas.openxmlformats.org/officeDocument/2006/relationships/hyperlink" Target="https://motorring.ru/product/12750-bokovye-zerkala-piter-belye-antiblikom-vaz-2108-21099" TargetMode="External"/><Relationship Id="rId20" Type="http://schemas.openxmlformats.org/officeDocument/2006/relationships/hyperlink" Target="https://motorring.ru/product/28138-zadnie-diodnye-fonari-orlinyy-glaz-tonirovannye-vaz" TargetMode="External"/><Relationship Id="rId41" Type="http://schemas.openxmlformats.org/officeDocument/2006/relationships/hyperlink" Target="https://motorring.ru/product/19767-ptf-998-led-lada-vesta-iks-rey-granta-niva-urban-reno" TargetMode="External"/><Relationship Id="rId62" Type="http://schemas.openxmlformats.org/officeDocument/2006/relationships/hyperlink" Target="https://motorring.ru/product/15868-tuning-fonari-lada-niva-4x4-chernye" TargetMode="External"/><Relationship Id="rId83" Type="http://schemas.openxmlformats.org/officeDocument/2006/relationships/hyperlink" Target="https://motorring.ru/product/10471-fary-neonovymi-dho-hromirovannye-lada-niva-4h4-vaz-2101" TargetMode="External"/><Relationship Id="rId88" Type="http://schemas.openxmlformats.org/officeDocument/2006/relationships/hyperlink" Target="https://motorring.ru/product/32800-tyuning-fary-chernym-korpusom-polosoy-dho-linzoy-lada-priora" TargetMode="External"/><Relationship Id="rId111" Type="http://schemas.openxmlformats.org/officeDocument/2006/relationships/hyperlink" Target="https://motorring.ru/product/8351" TargetMode="External"/><Relationship Id="rId132" Type="http://schemas.openxmlformats.org/officeDocument/2006/relationships/hyperlink" Target="https://motorring.ru/product/12752-bokovye-zerkala-piter-chernye-vaz-2110-2112" TargetMode="External"/><Relationship Id="rId153" Type="http://schemas.openxmlformats.org/officeDocument/2006/relationships/hyperlink" Target="https://motorring.ru/product/11867-dekorativnye-nakladki-ghabry-0395-kuzov-avtomobilya-krasnye" TargetMode="External"/><Relationship Id="rId15" Type="http://schemas.openxmlformats.org/officeDocument/2006/relationships/hyperlink" Target="https://motorring.ru/product/688-nabor-instrumentov-aerofors-97-pc-predmetov" TargetMode="External"/><Relationship Id="rId36" Type="http://schemas.openxmlformats.org/officeDocument/2006/relationships/hyperlink" Target="https://motorring.ru/product/21803-svetodiodnye-fary-chernom-korpuse-60w-dyuymov-v-obraznym" TargetMode="External"/><Relationship Id="rId57" Type="http://schemas.openxmlformats.org/officeDocument/2006/relationships/hyperlink" Target="https://motorring.ru/product/36856-perednie-fary-vypolnennye-stile-audi-q8-lada-granta-fl" TargetMode="External"/><Relationship Id="rId106" Type="http://schemas.openxmlformats.org/officeDocument/2006/relationships/hyperlink" Target="https://motorring.ru/product/8329-protivotumannye-fary-dlaa-vaz-2110-2112-2113-2115" TargetMode="External"/><Relationship Id="rId127" Type="http://schemas.openxmlformats.org/officeDocument/2006/relationships/hyperlink" Target="https://motorring.ru/product/35954-ruly-nardi-old-school-derevo-dlya-shervole-niva" TargetMode="External"/><Relationship Id="rId10" Type="http://schemas.openxmlformats.org/officeDocument/2006/relationships/hyperlink" Target="https://motorring.ru/product/8282-diodnaya-balka-pl-3106-240w-3vt" TargetMode="External"/><Relationship Id="rId31" Type="http://schemas.openxmlformats.org/officeDocument/2006/relationships/hyperlink" Target="https://motorring.ru/product/13579-svetodiodnye-fary-80w-dyuymov-chernye-povtoritelem-povorota" TargetMode="External"/><Relationship Id="rId52" Type="http://schemas.openxmlformats.org/officeDocument/2006/relationships/hyperlink" Target="https://motorring.ru/product/36972-komplekt-diodnyh-fonarey-led-obvodkoy-lada-4h4-niva" TargetMode="External"/><Relationship Id="rId73" Type="http://schemas.openxmlformats.org/officeDocument/2006/relationships/hyperlink" Target="https://motorring.ru/product/30580-zadnie-svetodiodnye-fonari-kapli-lada-niva-4h4" TargetMode="External"/><Relationship Id="rId78" Type="http://schemas.openxmlformats.org/officeDocument/2006/relationships/hyperlink" Target="https://motorring.ru/product/27746-zadnie-diodnye-fonari-iksy-tonirovannye-vaz-2108-21099-2113" TargetMode="External"/><Relationship Id="rId94" Type="http://schemas.openxmlformats.org/officeDocument/2006/relationships/hyperlink" Target="https://motorring.ru/product/27721-diodnye-ptf-polos-dvuhcvetnye-analog-vaz-2110-2112" TargetMode="External"/><Relationship Id="rId99" Type="http://schemas.openxmlformats.org/officeDocument/2006/relationships/hyperlink" Target="https://motorring.ru/product/24471-svetodiodnye-dvuhcvetnie-led-protivotumannye-fary-analog-polosy" TargetMode="External"/><Relationship Id="rId101" Type="http://schemas.openxmlformats.org/officeDocument/2006/relationships/hyperlink" Target="https://motorring.ru/product/24470-svetodiodnye-led-protivotumannye-fary-analog-polosy" TargetMode="External"/><Relationship Id="rId122" Type="http://schemas.openxmlformats.org/officeDocument/2006/relationships/hyperlink" Target="https://motorring.ru/product/22575-protivotumannye-fary-diodnye-polosy-restaylingovyy-bamper" TargetMode="External"/><Relationship Id="rId143" Type="http://schemas.openxmlformats.org/officeDocument/2006/relationships/hyperlink" Target="https://motorring.ru/product/11748-vspyshki-fso-27w-svetodiod" TargetMode="External"/><Relationship Id="rId148" Type="http://schemas.openxmlformats.org/officeDocument/2006/relationships/hyperlink" Target="https://motorring.ru/product/15956-bokovye-zerkala-volna-belye-libo-chernye-vaz-2108-21099" TargetMode="External"/><Relationship Id="rId164" Type="http://schemas.openxmlformats.org/officeDocument/2006/relationships/hyperlink" Target="https://motorring.ru/product/12720-zadnie-fonari-diodnymi-povtoritelyami-stopami-gabaritami" TargetMode="External"/><Relationship Id="rId169" Type="http://schemas.openxmlformats.org/officeDocument/2006/relationships/image" Target="../media/image1.emf"/><Relationship Id="rId4" Type="http://schemas.openxmlformats.org/officeDocument/2006/relationships/hyperlink" Target="https://motorring.ru/product/18762-svetodiodnye-fary-chernom-korpuse-90w-dyuymov-povtoritelem" TargetMode="External"/><Relationship Id="rId9" Type="http://schemas.openxmlformats.org/officeDocument/2006/relationships/hyperlink" Target="https://motorring.ru/product/34249-zadnie-svetodiodnye-fonari-tonirovannye-stile-range-rover-niva" TargetMode="External"/><Relationship Id="rId26" Type="http://schemas.openxmlformats.org/officeDocument/2006/relationships/hyperlink" Target="https://motorring.ru/product/27715-svetodiodnye-fary-zvezdi-dyuymov-chernye-led-kolycom" TargetMode="External"/><Relationship Id="rId47" Type="http://schemas.openxmlformats.org/officeDocument/2006/relationships/hyperlink" Target="https://motorring.ru/product/24714-zadnie-svetodiodnye-fonari-kapli-chernye-lada-niva-4h4" TargetMode="External"/><Relationship Id="rId68" Type="http://schemas.openxmlformats.org/officeDocument/2006/relationships/hyperlink" Target="https://motorring.ru/product/249-zadnie-diodnye-fonari-krasno-belye-vaz-2108-2113-2109-2114" TargetMode="External"/><Relationship Id="rId89" Type="http://schemas.openxmlformats.org/officeDocument/2006/relationships/hyperlink" Target="https://motorring.ru/product/32637-komplekt-chernyh-svetodiodnyh-linzovannyh-far-lada-vesta" TargetMode="External"/><Relationship Id="rId112" Type="http://schemas.openxmlformats.org/officeDocument/2006/relationships/hyperlink" Target="https://motorring.ru/product/8326-protivotumannye-fary-ld-472-lada-kalina-granta-largus" TargetMode="External"/><Relationship Id="rId133" Type="http://schemas.openxmlformats.org/officeDocument/2006/relationships/hyperlink" Target="https://motorring.ru/product/15197" TargetMode="External"/><Relationship Id="rId154" Type="http://schemas.openxmlformats.org/officeDocument/2006/relationships/hyperlink" Target="https://motorring.ru/product/21211-povtoriteli-povorotov-led-nadpisyyu-granta-lada-granta" TargetMode="External"/><Relationship Id="rId16" Type="http://schemas.openxmlformats.org/officeDocument/2006/relationships/hyperlink" Target="https://motorring.ru/product/32728-zadnie-diodnye-fonari-orlinyy-glaz-belyue-vaz" TargetMode="External"/><Relationship Id="rId37" Type="http://schemas.openxmlformats.org/officeDocument/2006/relationships/hyperlink" Target="https://motorring.ru/product/21804-svetodiodnye-fary-60w-dyuymov-chernye-krug-centre" TargetMode="External"/><Relationship Id="rId58" Type="http://schemas.openxmlformats.org/officeDocument/2006/relationships/hyperlink" Target="https://motorring.ru/product/38690-komplekt-krasnyh-zadnih-led-fonarey-dinamich-vesta" TargetMode="External"/><Relationship Id="rId79" Type="http://schemas.openxmlformats.org/officeDocument/2006/relationships/hyperlink" Target="https://motorring.ru/product/37146-zadnie-diodnye-krasnye-fonari-stile-mersedes-lada-granta" TargetMode="External"/><Relationship Id="rId102" Type="http://schemas.openxmlformats.org/officeDocument/2006/relationships/hyperlink" Target="https://motorring.ru/product/21355-diodnye-ptf-30w-lada-priora-analog" TargetMode="External"/><Relationship Id="rId123" Type="http://schemas.openxmlformats.org/officeDocument/2006/relationships/hyperlink" Target="https://motorring.ru/product/16660-svetodiodnye-nakladki-porogi-nadpisyyu-urban-lada-niva" TargetMode="External"/><Relationship Id="rId144" Type="http://schemas.openxmlformats.org/officeDocument/2006/relationships/hyperlink" Target="https://motorring.ru/product/11746-diodnaya-balka-27w-b-dalyniy-3vt" TargetMode="External"/><Relationship Id="rId90" Type="http://schemas.openxmlformats.org/officeDocument/2006/relationships/hyperlink" Target="https://motorring.ru/product/20430-svetodiodnye-podfarniki-tonirovannoe-steklo-dho-begayuschim" TargetMode="External"/><Relationship Id="rId165" Type="http://schemas.openxmlformats.org/officeDocument/2006/relationships/printerSettings" Target="../printerSettings/printerSettings4.bin"/><Relationship Id="rId27" Type="http://schemas.openxmlformats.org/officeDocument/2006/relationships/hyperlink" Target="https://motorring.ru/product/15119-svetodiodnye-fary-chernom-korpuse-96w-dyuymov-povtoritelem" TargetMode="External"/><Relationship Id="rId48" Type="http://schemas.openxmlformats.org/officeDocument/2006/relationships/hyperlink" Target="https://motorring.ru/product/27716-svetodiodnye-fary-uzor-dyuymov-chernye-led-kolycom" TargetMode="External"/><Relationship Id="rId69" Type="http://schemas.openxmlformats.org/officeDocument/2006/relationships/hyperlink" Target="https://motorring.ru/product/8171-diodnye-krasno-belye-fonari-lada-granta-sedan" TargetMode="External"/><Relationship Id="rId113" Type="http://schemas.openxmlformats.org/officeDocument/2006/relationships/hyperlink" Target="https://motorring.ru/product/8334-protivotumannye-fary-ld-088-chernye-vaz-2110-12-2113-15" TargetMode="External"/><Relationship Id="rId134" Type="http://schemas.openxmlformats.org/officeDocument/2006/relationships/hyperlink" Target="https://motorring.ru/product/11873-spoylery-diodom-dvorniki-hrom" TargetMode="External"/><Relationship Id="rId80" Type="http://schemas.openxmlformats.org/officeDocument/2006/relationships/hyperlink" Target="https://motorring.ru/product/34862-tonirovannye-svetodiodnye-led-podfarniki-polos-dho" TargetMode="External"/><Relationship Id="rId155" Type="http://schemas.openxmlformats.org/officeDocument/2006/relationships/hyperlink" Target="https://motorring.ru/product/21668-led-povtoriteli-povorotnika-oranghevye-gerbom-dvuglavyy" TargetMode="External"/><Relationship Id="rId17" Type="http://schemas.openxmlformats.org/officeDocument/2006/relationships/hyperlink" Target="https://motorring.ru/product/32064-zadnie-chernye-svetodiodnye-fonari-stile-amg-lada-priora" TargetMode="External"/><Relationship Id="rId38" Type="http://schemas.openxmlformats.org/officeDocument/2006/relationships/hyperlink" Target="https://motorring.ru/product/14255-svetodiodnye-fary-chernom-korpuse-90w-dyuymov-kolycom" TargetMode="External"/><Relationship Id="rId59" Type="http://schemas.openxmlformats.org/officeDocument/2006/relationships/hyperlink" Target="https://motorring.ru/product/32636-komplekt-chernyh-zadnih-led-fonarey-dinamich-vesta" TargetMode="External"/><Relationship Id="rId103" Type="http://schemas.openxmlformats.org/officeDocument/2006/relationships/hyperlink" Target="https://motorring.ru/product/8144-ramki-ptf-diodnymi-hodovymi-ognyami-lada-largus" TargetMode="External"/><Relationship Id="rId124" Type="http://schemas.openxmlformats.org/officeDocument/2006/relationships/hyperlink" Target="https://motorring.ru/product/12751" TargetMode="External"/></Relationships>
</file>

<file path=xl/worksheets/_rels/sheet7.xml.rels><?xml version="1.0" encoding="UTF-8" standalone="yes"?>
<Relationships xmlns="http://schemas.openxmlformats.org/package/2006/relationships"><Relationship Id="rId1" Type="http://schemas.openxmlformats.org/officeDocument/2006/relationships/table" Target="../tables/table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Лист1"/>
  <dimension ref="A1:X601"/>
  <sheetViews>
    <sheetView showGridLines="0" workbookViewId="0">
      <pane ySplit="2" topLeftCell="A378" activePane="bottomLeft" state="frozen"/>
      <selection activeCell="F1" sqref="F1"/>
      <selection pane="bottomLeft" activeCell="W1" activeCellId="1" sqref="A1:A1048576 W1:X1048576"/>
    </sheetView>
  </sheetViews>
  <sheetFormatPr defaultRowHeight="15" outlineLevelCol="1" x14ac:dyDescent="0.25"/>
  <cols>
    <col min="1" max="2" width="7" style="71" customWidth="1"/>
    <col min="3" max="3" width="36.5703125" style="71" customWidth="1"/>
    <col min="4" max="4" width="2.42578125" style="71" bestFit="1" customWidth="1"/>
    <col min="5" max="5" width="4.85546875" style="71" bestFit="1" customWidth="1"/>
    <col min="6" max="6" width="50" style="71" bestFit="1" customWidth="1" outlineLevel="1"/>
    <col min="7" max="7" width="17.140625" style="71" customWidth="1" outlineLevel="1"/>
    <col min="8" max="8" width="12.140625" style="71" customWidth="1" outlineLevel="1"/>
    <col min="9" max="9" width="6" style="71" bestFit="1" customWidth="1"/>
    <col min="10" max="10" width="4.85546875" style="74" customWidth="1"/>
    <col min="11" max="12" width="6" style="75" bestFit="1" customWidth="1"/>
    <col min="13" max="13" width="6.7109375" style="71" bestFit="1" customWidth="1" outlineLevel="1"/>
    <col min="14" max="14" width="6.85546875" style="71" bestFit="1" customWidth="1" outlineLevel="1"/>
    <col min="15" max="16" width="7.42578125" style="71" bestFit="1" customWidth="1" outlineLevel="1"/>
    <col min="17" max="17" width="6" style="71" bestFit="1" customWidth="1"/>
    <col min="18" max="18" width="11.140625" style="75" bestFit="1" customWidth="1"/>
    <col min="19" max="19" width="8.42578125" style="71" customWidth="1"/>
    <col min="20" max="20" width="8.28515625" style="71" bestFit="1" customWidth="1"/>
    <col min="21" max="21" width="7.85546875" style="71" bestFit="1" customWidth="1"/>
    <col min="22" max="22" width="9.85546875" style="71" bestFit="1" customWidth="1"/>
    <col min="23" max="23" width="9.28515625" style="71" bestFit="1" customWidth="1"/>
    <col min="24" max="24" width="17.42578125" style="71" customWidth="1"/>
    <col min="25" max="16384" width="9.140625" style="71"/>
  </cols>
  <sheetData>
    <row r="1" spans="1:24" x14ac:dyDescent="0.25">
      <c r="B1" s="71">
        <v>2</v>
      </c>
      <c r="C1" s="72">
        <v>3</v>
      </c>
      <c r="D1" s="71">
        <v>4</v>
      </c>
      <c r="E1" s="71">
        <v>14</v>
      </c>
      <c r="F1" s="71">
        <v>5</v>
      </c>
      <c r="G1" s="71">
        <v>10</v>
      </c>
      <c r="H1" s="73">
        <f>COUNT($W:$W,Торг!$Z:$Z)/COUNT($A:$A,Торг!$B:$B)</f>
        <v>0.39373297002724794</v>
      </c>
      <c r="I1" s="31">
        <f>M1</f>
        <v>8</v>
      </c>
      <c r="K1" s="31">
        <f>N1</f>
        <v>9</v>
      </c>
      <c r="L1" s="31">
        <f>N1</f>
        <v>9</v>
      </c>
      <c r="M1" s="71">
        <v>8</v>
      </c>
      <c r="N1" s="71">
        <v>9</v>
      </c>
      <c r="O1" s="75"/>
      <c r="P1" s="75"/>
      <c r="T1" s="76" t="str">
        <f>_xlfn.CONCAT(ROUND(MIN(T3:T8971)*100,0),"-",ROUND(MAX(T3:T8971)*100,0),"%")</f>
        <v>11-272%</v>
      </c>
      <c r="U1" s="76" t="str">
        <f>_xlfn.CONCAT(ROUND(SUBTOTAL(5,U3:U8971)*100,0)," - ",ROUND(SUBTOTAL(4,U3:U8971)*100,0),"%")</f>
        <v>-51 - 7%</v>
      </c>
      <c r="V1" s="76" t="str">
        <f>_xlfn.CONCAT(ROUND(SUBTOTAL(5,V3:V89971)*100,0)," - ",ROUND(SUBTOTAL(4,V3:V89971)*100,0),"%")</f>
        <v>-10 - 296%</v>
      </c>
      <c r="W1" s="77"/>
    </row>
    <row r="2" spans="1:24" x14ac:dyDescent="0.25">
      <c r="A2" s="2" t="s">
        <v>0</v>
      </c>
      <c r="B2" s="24" t="s">
        <v>1145</v>
      </c>
      <c r="C2" s="24" t="s">
        <v>454</v>
      </c>
      <c r="D2" s="24"/>
      <c r="E2" s="24"/>
      <c r="F2" s="24" t="s">
        <v>455</v>
      </c>
      <c r="G2" s="24" t="s">
        <v>1534</v>
      </c>
      <c r="H2" s="2" t="s">
        <v>1</v>
      </c>
      <c r="I2" s="39" t="s">
        <v>1533</v>
      </c>
      <c r="J2" s="5"/>
      <c r="K2" s="34"/>
      <c r="L2" s="39" t="s">
        <v>1532</v>
      </c>
      <c r="M2" s="24" t="s">
        <v>1147</v>
      </c>
      <c r="N2" s="24" t="s">
        <v>1148</v>
      </c>
      <c r="O2" s="28" t="s">
        <v>451</v>
      </c>
      <c r="P2" s="28" t="s">
        <v>451</v>
      </c>
      <c r="Q2" s="29">
        <v>7.0000000000000007E-2</v>
      </c>
      <c r="R2" s="38" t="s">
        <v>816</v>
      </c>
      <c r="S2" s="30" t="s">
        <v>1149</v>
      </c>
      <c r="T2" s="78" t="s">
        <v>453</v>
      </c>
      <c r="U2" s="78" t="s">
        <v>896</v>
      </c>
      <c r="V2" s="78" t="s">
        <v>452</v>
      </c>
      <c r="W2" s="79" t="s">
        <v>1144</v>
      </c>
    </row>
    <row r="3" spans="1:24" ht="30" x14ac:dyDescent="0.25">
      <c r="A3" s="80">
        <v>218502</v>
      </c>
      <c r="B3" s="80">
        <f>VLOOKUP($A3,'Выгр Кат'!$A:$R,B$1,0)</f>
        <v>17752</v>
      </c>
      <c r="C3" s="81" t="str">
        <f>VLOOKUP($A3,'Выгр Кат'!$A:$R,C$1,0)</f>
        <v>Стробоскопные лампы с блоком 2шт</v>
      </c>
      <c r="D3" s="80" t="str">
        <f>VLOOKUP($A3,'Выгр Кат'!$A:$R,D$1,0)</f>
        <v>Y</v>
      </c>
      <c r="E3" s="80" t="str">
        <f>VLOOKUP($A3,'Выгр Кат'!$A:$R,E$1,0)</f>
        <v>1ск6</v>
      </c>
      <c r="F3" s="80">
        <f>VLOOKUP($A3,'Выгр Кат'!$A:$R,F$1,0)</f>
        <v>0</v>
      </c>
      <c r="G3" s="80">
        <f>VLOOKUP($A3,'Выгр Кат'!$A:$R,G$1,0)</f>
        <v>0</v>
      </c>
      <c r="H3" s="67" t="s">
        <v>3</v>
      </c>
      <c r="I3" s="82">
        <v>0</v>
      </c>
      <c r="J3" s="5" t="e">
        <f>VLOOKUP(I3,Наценка!$A$1:$G$8,2,1)</f>
        <v>#N/A</v>
      </c>
      <c r="K3" s="31">
        <f>N3</f>
        <v>319</v>
      </c>
      <c r="L3" s="70">
        <f>IF(K3&lt;=1000,(ROUNDUP(K3,-1)-1),(ROUNDUP(K3,-2)-10))</f>
        <v>319</v>
      </c>
      <c r="M3" s="80">
        <f>VLOOKUP($A3,'Выгр Кат'!$A:$R,M$1,0)</f>
        <v>0</v>
      </c>
      <c r="N3" s="80">
        <f>VLOOKUP($A3,'Выгр Кат'!$A:$R,N$1,0)</f>
        <v>319</v>
      </c>
      <c r="O3" s="28">
        <f>M3-I3</f>
        <v>0</v>
      </c>
      <c r="P3" s="28">
        <f>N3-L3</f>
        <v>0</v>
      </c>
      <c r="Q3" s="36">
        <f>IFERROR(L3*(1-$Q$2),"")</f>
        <v>296.66999999999996</v>
      </c>
      <c r="R3" s="38" t="str">
        <f>IFERROR(VLOOKUP($A3,'Из Гугла'!$B:$G,6,0)*S3,VLOOKUP($A3,'Из Гугла'!$B:$G,6,0))</f>
        <v/>
      </c>
      <c r="S3" s="14">
        <v>1</v>
      </c>
      <c r="T3" s="83" t="str">
        <f>IFERROR(Q3/I3-1,"")</f>
        <v/>
      </c>
      <c r="U3" s="83" t="str">
        <f>IFERROR((W3-Q3)/W3,"")</f>
        <v/>
      </c>
      <c r="V3" s="83" t="str">
        <f>IFERROR(IF(W3="","",W3/I3-1),"")</f>
        <v/>
      </c>
      <c r="W3" s="84" t="s">
        <v>1269</v>
      </c>
    </row>
    <row r="4" spans="1:24" ht="45" x14ac:dyDescent="0.25">
      <c r="A4" s="80">
        <v>145535</v>
      </c>
      <c r="B4" s="80">
        <f>VLOOKUP($A4,'Выгр Кат'!$A:$R,B$1,0)</f>
        <v>140632</v>
      </c>
      <c r="C4" s="81" t="str">
        <f>VLOOKUP($A4,'Выгр Кат'!$A:$R,C$1,0)</f>
        <v>Задние фонари "Орлиный Глаз" без тонировки для ВАЗ 2108-21099, 2113, 2114</v>
      </c>
      <c r="D4" s="80" t="str">
        <f>VLOOKUP($A4,'Выгр Кат'!$A:$R,D$1,0)</f>
        <v>Y</v>
      </c>
      <c r="E4" s="80" t="str">
        <f>VLOOKUP($A4,'Выгр Кат'!$A:$R,E$1,0)</f>
        <v>1</v>
      </c>
      <c r="F4" s="80" t="str">
        <f>VLOOKUP($A4,'Выгр Кат'!$A:$R,F$1,0)</f>
        <v>DH-417WHITE</v>
      </c>
      <c r="G4" s="80" t="str">
        <f>VLOOKUP($A4,'Выгр Кат'!$A:$R,G$1,0)</f>
        <v>https://motorring.ru/product/32728-zadnie-diodnye-fonari-orlinyy-glaz-belyue-vaz</v>
      </c>
      <c r="H4" s="67" t="s">
        <v>3</v>
      </c>
      <c r="I4" s="82">
        <v>0</v>
      </c>
      <c r="J4" s="5" t="e">
        <f>VLOOKUP(I4,Наценка!$A$1:$G$8,2,1)</f>
        <v>#N/A</v>
      </c>
      <c r="K4" s="90">
        <f>W4*1.04</f>
        <v>3733.6</v>
      </c>
      <c r="L4" s="70">
        <f>IF(K4&lt;=1000,(ROUNDUP(K4,-1)-1),(ROUNDUP(K4,-2)-10))</f>
        <v>3790</v>
      </c>
      <c r="M4" s="80">
        <f>VLOOKUP($A4,'Выгр Кат'!$A:$R,M$1,0)</f>
        <v>0</v>
      </c>
      <c r="N4" s="80">
        <f>VLOOKUP($A4,'Выгр Кат'!$A:$R,N$1,0)</f>
        <v>3790</v>
      </c>
      <c r="O4" s="28">
        <f>M4-I4</f>
        <v>0</v>
      </c>
      <c r="P4" s="28">
        <f>N4-L4</f>
        <v>0</v>
      </c>
      <c r="Q4" s="36">
        <f>IFERROR(L4*(1-$Q$2),"")</f>
        <v>3524.7</v>
      </c>
      <c r="R4" s="38">
        <f>IFERROR(VLOOKUP($A4,'Из Гугла'!$B:$G,6,0)*S4,VLOOKUP($A4,'Из Гугла'!$B:$G,6,0))</f>
        <v>3590</v>
      </c>
      <c r="S4" s="14">
        <v>1</v>
      </c>
      <c r="T4" s="83" t="str">
        <f>IFERROR(Q4/I4-1,"")</f>
        <v/>
      </c>
      <c r="U4" s="83">
        <f>IFERROR((W4-Q4)/W4,"")</f>
        <v>1.8189415041782779E-2</v>
      </c>
      <c r="V4" s="83" t="str">
        <f>IFERROR(IF(W4="","",W4/I4-1),"")</f>
        <v/>
      </c>
      <c r="W4" s="93">
        <v>3590</v>
      </c>
      <c r="X4" s="71" t="s">
        <v>1271</v>
      </c>
    </row>
    <row r="5" spans="1:24" ht="45" x14ac:dyDescent="0.25">
      <c r="A5" s="80">
        <v>274103</v>
      </c>
      <c r="B5" s="80">
        <f>VLOOKUP($A5,'Выгр Кат'!$A:$R,B$1,0)</f>
        <v>220667</v>
      </c>
      <c r="C5" s="81" t="str">
        <f>VLOOKUP($A5,'Выгр Кат'!$A:$R,C$1,0)</f>
        <v>Светодиодные лампы "The Best Partner" Canbus F5 H7 6500K с вентилятором охлаждения</v>
      </c>
      <c r="D5" s="80" t="str">
        <f>VLOOKUP($A5,'Выгр Кат'!$A:$R,D$1,0)</f>
        <v>Y</v>
      </c>
      <c r="E5" s="80" t="str">
        <f>VLOOKUP($A5,'Выгр Кат'!$A:$R,E$1,0)</f>
        <v>0ск1</v>
      </c>
      <c r="F5" s="80" t="str">
        <f>VLOOKUP($A5,'Выгр Кат'!$A:$R,F$1,0)</f>
        <v>F501-65K-H7 / F5-H7-CN</v>
      </c>
      <c r="G5" s="80">
        <f>VLOOKUP($A5,'Выгр Кат'!$A:$R,G$1,0)</f>
        <v>0</v>
      </c>
      <c r="H5" s="67" t="s">
        <v>3</v>
      </c>
      <c r="I5" s="82">
        <v>0</v>
      </c>
      <c r="J5" s="5" t="e">
        <f>VLOOKUP(I5,Наценка!$A$1:$G$8,2,1)</f>
        <v>#N/A</v>
      </c>
      <c r="K5" s="86">
        <f>N5</f>
        <v>0</v>
      </c>
      <c r="L5" s="86">
        <f>N5</f>
        <v>0</v>
      </c>
      <c r="M5" s="80">
        <f>VLOOKUP($A5,'Выгр Кат'!$A:$R,M$1,0)</f>
        <v>0</v>
      </c>
      <c r="N5" s="80">
        <f>VLOOKUP($A5,'Выгр Кат'!$A:$R,N$1,0)</f>
        <v>0</v>
      </c>
      <c r="O5" s="28">
        <f>M5-I5</f>
        <v>0</v>
      </c>
      <c r="P5" s="28">
        <f>N5-L5</f>
        <v>0</v>
      </c>
      <c r="Q5" s="36">
        <f>IFERROR(L5*(1-$Q$2),"")</f>
        <v>0</v>
      </c>
      <c r="R5" s="38" t="str">
        <f>IFERROR(VLOOKUP($A5,'Из Гугла'!$B:$G,6,0)*S5,VLOOKUP($A5,'Из Гугла'!$B:$G,6,0))</f>
        <v/>
      </c>
      <c r="S5" s="14">
        <v>1</v>
      </c>
      <c r="T5" s="83" t="str">
        <f>IFERROR(Q5/I5-1,"")</f>
        <v/>
      </c>
      <c r="U5" s="83" t="str">
        <f>IFERROR((W5-Q5)/W5,"")</f>
        <v/>
      </c>
      <c r="V5" s="83" t="str">
        <f>IFERROR(IF(W5="","",W5/I5-1),"")</f>
        <v/>
      </c>
      <c r="W5" s="84" t="s">
        <v>1269</v>
      </c>
    </row>
    <row r="6" spans="1:24" ht="45" x14ac:dyDescent="0.25">
      <c r="A6" s="80">
        <v>203963</v>
      </c>
      <c r="B6" s="80">
        <f>VLOOKUP($A6,'Выгр Кат'!$A:$R,B$1,0)</f>
        <v>14072</v>
      </c>
      <c r="C6" s="81" t="str">
        <f>VLOOKUP($A6,'Выгр Кат'!$A:$R,C$1,0)</f>
        <v>Реле повторителей для диодных подфарников и фонарей, Лада Нива 4х4</v>
      </c>
      <c r="D6" s="80" t="str">
        <f>VLOOKUP($A6,'Выгр Кат'!$A:$R,D$1,0)</f>
        <v>Y</v>
      </c>
      <c r="E6" s="80" t="str">
        <f>VLOOKUP($A6,'Выгр Кат'!$A:$R,E$1,0)</f>
        <v>1</v>
      </c>
      <c r="F6" s="80">
        <f>VLOOKUP($A6,'Выгр Кат'!$A:$R,F$1,0)</f>
        <v>0</v>
      </c>
      <c r="G6" s="80" t="str">
        <f>VLOOKUP($A6,'Выгр Кат'!$A:$R,G$1,0)</f>
        <v>https://motorring.ru/product/16590-rele-povtoriteley-dlya-diodnyh-podfarnikov-dho</v>
      </c>
      <c r="H6" s="67" t="s">
        <v>3</v>
      </c>
      <c r="I6" s="82">
        <v>150</v>
      </c>
      <c r="J6" s="5">
        <f>VLOOKUP(I6,Наценка!$A$1:$G$8,2,1)</f>
        <v>2.1</v>
      </c>
      <c r="K6" s="90">
        <f>W6*1.04</f>
        <v>238.16</v>
      </c>
      <c r="L6" s="70">
        <f>IF(K6&lt;=1000,(ROUNDUP(K6,-1)-1),(ROUNDUP(K6,-2)-10))</f>
        <v>239</v>
      </c>
      <c r="M6" s="80">
        <f>VLOOKUP($A6,'Выгр Кат'!$A:$R,M$1,0)</f>
        <v>150</v>
      </c>
      <c r="N6" s="80">
        <f>VLOOKUP($A6,'Выгр Кат'!$A:$R,N$1,0)</f>
        <v>239</v>
      </c>
      <c r="O6" s="28">
        <f>M6-I6</f>
        <v>0</v>
      </c>
      <c r="P6" s="28">
        <f>N6-L6</f>
        <v>0</v>
      </c>
      <c r="Q6" s="36">
        <f>IFERROR(L6*(1-$Q$2),"")</f>
        <v>222.26999999999998</v>
      </c>
      <c r="R6" s="38">
        <f>IFERROR(VLOOKUP($A6,'Из Гугла'!$B:$G,6,0)*S6,VLOOKUP($A6,'Из Гугла'!$B:$G,6,0))</f>
        <v>229</v>
      </c>
      <c r="S6" s="14">
        <v>1</v>
      </c>
      <c r="T6" s="83">
        <f>IFERROR(Q6/I6-1,"")</f>
        <v>0.48179999999999978</v>
      </c>
      <c r="U6" s="83">
        <f>IFERROR((W6-Q6)/W6,"")</f>
        <v>2.9388646288209686E-2</v>
      </c>
      <c r="V6" s="83">
        <f>IFERROR(IF(W6="","",W6/I6-1),"")</f>
        <v>0.52666666666666662</v>
      </c>
      <c r="W6" s="84">
        <v>229</v>
      </c>
      <c r="X6" s="71" t="s">
        <v>1458</v>
      </c>
    </row>
    <row r="7" spans="1:24" ht="30.75" thickBot="1" x14ac:dyDescent="0.3">
      <c r="A7" s="80">
        <v>224466</v>
      </c>
      <c r="B7" s="80">
        <f>VLOOKUP($A7,'Выгр Кат'!$A:$R,B$1,0)</f>
        <v>8135</v>
      </c>
      <c r="C7" s="81" t="str">
        <f>VLOOKUP($A7,'Выгр Кат'!$A:$R,C$1,0)</f>
        <v>Ходовые огни 17 (L-18)</v>
      </c>
      <c r="D7" s="80" t="str">
        <f>VLOOKUP($A7,'Выгр Кат'!$A:$R,D$1,0)</f>
        <v>Y</v>
      </c>
      <c r="E7" s="80" t="str">
        <f>VLOOKUP($A7,'Выгр Кат'!$A:$R,E$1,0)</f>
        <v>1</v>
      </c>
      <c r="F7" s="80" t="str">
        <f>VLOOKUP($A7,'Выгр Кат'!$A:$R,F$1,0)</f>
        <v>17</v>
      </c>
      <c r="G7" s="80">
        <f>VLOOKUP($A7,'Выгр Кат'!$A:$R,G$1,0)</f>
        <v>0</v>
      </c>
      <c r="H7" s="67" t="s">
        <v>3</v>
      </c>
      <c r="I7" s="82">
        <v>150</v>
      </c>
      <c r="J7" s="5">
        <f>VLOOKUP(I7,Наценка!$A$1:$G$8,2,1)</f>
        <v>2.1</v>
      </c>
      <c r="K7" s="88">
        <f>I7*J7</f>
        <v>315</v>
      </c>
      <c r="L7" s="70">
        <f>IF(K7&lt;=1000,(ROUNDUP(K7,-1)-1),(ROUNDUP(K7,-2)-10))</f>
        <v>319</v>
      </c>
      <c r="M7" s="80">
        <f>VLOOKUP($A7,'Выгр Кат'!$A:$R,M$1,0)</f>
        <v>150</v>
      </c>
      <c r="N7" s="80">
        <f>VLOOKUP($A7,'Выгр Кат'!$A:$R,N$1,0)</f>
        <v>319</v>
      </c>
      <c r="O7" s="28">
        <f>M7-I7</f>
        <v>0</v>
      </c>
      <c r="P7" s="28">
        <f>N7-L7</f>
        <v>0</v>
      </c>
      <c r="Q7" s="36">
        <f>IFERROR(L7*(1-$Q$2),"")</f>
        <v>296.66999999999996</v>
      </c>
      <c r="R7" s="38" t="str">
        <f>IFERROR(VLOOKUP($A7,'Из Гугла'!$B:$G,6,0)*S7,VLOOKUP($A7,'Из Гугла'!$B:$G,6,0))</f>
        <v/>
      </c>
      <c r="S7" s="14">
        <v>1</v>
      </c>
      <c r="T7" s="83">
        <f>IFERROR(Q7/I7-1,"")</f>
        <v>0.97779999999999978</v>
      </c>
      <c r="U7" s="83" t="str">
        <f>IFERROR((W7-Q7)/W7,"")</f>
        <v/>
      </c>
      <c r="V7" s="83" t="str">
        <f>IFERROR(IF(W7="","",W7/I7-1),"")</f>
        <v/>
      </c>
      <c r="W7" s="94" t="s">
        <v>1269</v>
      </c>
    </row>
    <row r="8" spans="1:24" ht="30.75" thickBot="1" x14ac:dyDescent="0.3">
      <c r="A8" s="80">
        <v>224465</v>
      </c>
      <c r="B8" s="80">
        <f>VLOOKUP($A8,'Выгр Кат'!$A:$R,B$1,0)</f>
        <v>8142</v>
      </c>
      <c r="C8" s="81" t="str">
        <f>VLOOKUP($A8,'Выгр Кат'!$A:$R,C$1,0)</f>
        <v>Ходовые огни 034 (L-15)</v>
      </c>
      <c r="D8" s="80" t="str">
        <f>VLOOKUP($A8,'Выгр Кат'!$A:$R,D$1,0)</f>
        <v>Y</v>
      </c>
      <c r="E8" s="80" t="str">
        <f>VLOOKUP($A8,'Выгр Кат'!$A:$R,E$1,0)</f>
        <v>1</v>
      </c>
      <c r="F8" s="80" t="str">
        <f>VLOOKUP($A8,'Выгр Кат'!$A:$R,F$1,0)</f>
        <v>034</v>
      </c>
      <c r="G8" s="80">
        <f>VLOOKUP($A8,'Выгр Кат'!$A:$R,G$1,0)</f>
        <v>0</v>
      </c>
      <c r="H8" s="67" t="s">
        <v>3</v>
      </c>
      <c r="I8" s="82">
        <v>150</v>
      </c>
      <c r="J8" s="5">
        <f>VLOOKUP(I8,Наценка!$A$1:$G$8,2,1)</f>
        <v>2.1</v>
      </c>
      <c r="K8" s="88">
        <f>I8*J8</f>
        <v>315</v>
      </c>
      <c r="L8" s="70">
        <f>IF(K8&lt;=1000,(ROUNDUP(K8,-1)-1),(ROUNDUP(K8,-2)-10))</f>
        <v>319</v>
      </c>
      <c r="M8" s="80">
        <f>VLOOKUP($A8,'Выгр Кат'!$A:$R,M$1,0)</f>
        <v>150</v>
      </c>
      <c r="N8" s="80">
        <f>VLOOKUP($A8,'Выгр Кат'!$A:$R,N$1,0)</f>
        <v>319</v>
      </c>
      <c r="O8" s="28">
        <f>M8-I8</f>
        <v>0</v>
      </c>
      <c r="P8" s="28">
        <f>N8-L8</f>
        <v>0</v>
      </c>
      <c r="Q8" s="36">
        <f>IFERROR(L8*(1-$Q$2),"")</f>
        <v>296.66999999999996</v>
      </c>
      <c r="R8" s="38" t="str">
        <f>IFERROR(VLOOKUP($A8,'Из Гугла'!$B:$G,6,0)*S8,VLOOKUP($A8,'Из Гугла'!$B:$G,6,0))</f>
        <v/>
      </c>
      <c r="S8" s="14">
        <v>1</v>
      </c>
      <c r="T8" s="83">
        <f>IFERROR(Q8/I8-1,"")</f>
        <v>0.97779999999999978</v>
      </c>
      <c r="U8" s="83" t="str">
        <f>IFERROR((W8-Q8)/W8,"")</f>
        <v/>
      </c>
      <c r="V8" s="83" t="str">
        <f>IFERROR(IF(W8="","",W8/I8-1),"")</f>
        <v/>
      </c>
      <c r="W8" s="94" t="s">
        <v>1269</v>
      </c>
    </row>
    <row r="9" spans="1:24" ht="30.75" thickBot="1" x14ac:dyDescent="0.3">
      <c r="A9" s="80">
        <v>194545</v>
      </c>
      <c r="B9" s="80">
        <f>VLOOKUP($A9,'Выгр Кат'!$A:$R,B$1,0)</f>
        <v>10069</v>
      </c>
      <c r="C9" s="81" t="str">
        <f>VLOOKUP($A9,'Выгр Кат'!$A:$R,C$1,0)</f>
        <v>Подсветка салона (с кнопкой)</v>
      </c>
      <c r="D9" s="80" t="str">
        <f>VLOOKUP($A9,'Выгр Кат'!$A:$R,D$1,0)</f>
        <v>Y</v>
      </c>
      <c r="E9" s="80" t="str">
        <f>VLOOKUP($A9,'Выгр Кат'!$A:$R,E$1,0)</f>
        <v>1</v>
      </c>
      <c r="F9" s="80" t="str">
        <f>VLOOKUP($A9,'Выгр Кат'!$A:$R,F$1,0)</f>
        <v>A-10</v>
      </c>
      <c r="G9" s="80" t="str">
        <f>VLOOKUP($A9,'Выгр Кат'!$A:$R,G$1,0)</f>
        <v>https://motorring.ru/product/11903-podsvetka-salona-knopkoy-a-10</v>
      </c>
      <c r="H9" s="67" t="s">
        <v>3</v>
      </c>
      <c r="I9" s="82">
        <v>150</v>
      </c>
      <c r="J9" s="5">
        <f>VLOOKUP(I9,Наценка!$A$1:$G$8,2,1)</f>
        <v>2.1</v>
      </c>
      <c r="K9" s="55">
        <f>W9*1.04</f>
        <v>570.96</v>
      </c>
      <c r="L9" s="70">
        <f>IF(K9&lt;=1000,(ROUNDUP(K9,-1)-1),(ROUNDUP(K9,-2)-10))</f>
        <v>579</v>
      </c>
      <c r="M9" s="80">
        <f>VLOOKUP($A9,'Выгр Кат'!$A:$R,M$1,0)</f>
        <v>150</v>
      </c>
      <c r="N9" s="80">
        <f>VLOOKUP($A9,'Выгр Кат'!$A:$R,N$1,0)</f>
        <v>579</v>
      </c>
      <c r="O9" s="28">
        <f>M9-I9</f>
        <v>0</v>
      </c>
      <c r="P9" s="28">
        <f>N9-L9</f>
        <v>0</v>
      </c>
      <c r="Q9" s="36">
        <f>IFERROR(L9*(1-$Q$2),"")</f>
        <v>538.46999999999991</v>
      </c>
      <c r="R9" s="38">
        <f>IFERROR(VLOOKUP($A9,'Из Гугла'!$B:$G,6,0)*S9,VLOOKUP($A9,'Из Гугла'!$B:$G,6,0))</f>
        <v>549</v>
      </c>
      <c r="S9" s="14">
        <v>1</v>
      </c>
      <c r="T9" s="83">
        <f>IFERROR(Q9/I9-1,"")</f>
        <v>2.5897999999999994</v>
      </c>
      <c r="U9" s="83">
        <f>IFERROR((W9-Q9)/W9,"")</f>
        <v>1.9180327868852615E-2</v>
      </c>
      <c r="V9" s="83">
        <f>IFERROR(IF(W9="","",W9/I9-1),"")</f>
        <v>2.66</v>
      </c>
      <c r="W9" s="95">
        <v>549</v>
      </c>
      <c r="X9" s="71" t="s">
        <v>907</v>
      </c>
    </row>
    <row r="10" spans="1:24" ht="30" x14ac:dyDescent="0.25">
      <c r="A10" s="80">
        <v>224474</v>
      </c>
      <c r="B10" s="80">
        <f>VLOOKUP($A10,'Выгр Кат'!$A:$R,B$1,0)</f>
        <v>33179</v>
      </c>
      <c r="C10" s="81" t="str">
        <f>VLOOKUP($A10,'Выгр Кат'!$A:$R,C$1,0)</f>
        <v>Ходовые огни диодные (8 диодов)</v>
      </c>
      <c r="D10" s="80" t="str">
        <f>VLOOKUP($A10,'Выгр Кат'!$A:$R,D$1,0)</f>
        <v>Y</v>
      </c>
      <c r="E10" s="80" t="str">
        <f>VLOOKUP($A10,'Выгр Кат'!$A:$R,E$1,0)</f>
        <v>1</v>
      </c>
      <c r="F10" s="80" t="str">
        <f>VLOOKUP($A10,'Выгр Кат'!$A:$R,F$1,0)</f>
        <v>0018л</v>
      </c>
      <c r="G10" s="80">
        <f>VLOOKUP($A10,'Выгр Кат'!$A:$R,G$1,0)</f>
        <v>0</v>
      </c>
      <c r="H10" s="67" t="s">
        <v>3</v>
      </c>
      <c r="I10" s="82">
        <v>150</v>
      </c>
      <c r="J10" s="5">
        <f>VLOOKUP(I10,Наценка!$A$1:$G$8,2,1)</f>
        <v>2.1</v>
      </c>
      <c r="K10" s="34">
        <f>I10*J10</f>
        <v>315</v>
      </c>
      <c r="L10" s="70">
        <f>IF(K10&lt;=1000,(ROUNDUP(K10,-1)-1),(ROUNDUP(K10,-2)-10))</f>
        <v>319</v>
      </c>
      <c r="M10" s="80">
        <f>VLOOKUP($A10,'Выгр Кат'!$A:$R,M$1,0)</f>
        <v>150</v>
      </c>
      <c r="N10" s="80">
        <f>VLOOKUP($A10,'Выгр Кат'!$A:$R,N$1,0)</f>
        <v>319</v>
      </c>
      <c r="O10" s="28">
        <f>M10-I10</f>
        <v>0</v>
      </c>
      <c r="P10" s="28">
        <f>N10-L10</f>
        <v>0</v>
      </c>
      <c r="Q10" s="36">
        <f>IFERROR(L10*(1-$Q$2),"")</f>
        <v>296.66999999999996</v>
      </c>
      <c r="R10" s="38" t="str">
        <f>IFERROR(VLOOKUP($A10,'Из Гугла'!$B:$G,6,0)*S10,VLOOKUP($A10,'Из Гугла'!$B:$G,6,0))</f>
        <v/>
      </c>
      <c r="S10" s="14">
        <v>1</v>
      </c>
      <c r="T10" s="83">
        <f>IFERROR(Q10/I10-1,"")</f>
        <v>0.97779999999999978</v>
      </c>
      <c r="U10" s="83" t="str">
        <f>IFERROR((W10-Q10)/W10,"")</f>
        <v/>
      </c>
      <c r="V10" s="83" t="str">
        <f>IFERROR(IF(W10="","",W10/I10-1),"")</f>
        <v/>
      </c>
      <c r="W10" s="84" t="s">
        <v>1269</v>
      </c>
    </row>
    <row r="11" spans="1:24" ht="30.75" thickBot="1" x14ac:dyDescent="0.3">
      <c r="A11" s="80">
        <v>133308</v>
      </c>
      <c r="B11" s="80">
        <f>VLOOKUP($A11,'Выгр Кат'!$A:$R,B$1,0)</f>
        <v>8082</v>
      </c>
      <c r="C11" s="81" t="str">
        <f>VLOOKUP($A11,'Выгр Кат'!$A:$R,C$1,0)</f>
        <v>Балка освещения 10W*1LED, D-5,5 см (10W-A ближний)</v>
      </c>
      <c r="D11" s="80" t="str">
        <f>VLOOKUP($A11,'Выгр Кат'!$A:$R,D$1,0)</f>
        <v>Y</v>
      </c>
      <c r="E11" s="80" t="str">
        <f>VLOOKUP($A11,'Выгр Кат'!$A:$R,E$1,0)</f>
        <v>1</v>
      </c>
      <c r="F11" s="80" t="str">
        <f>VLOOKUP($A11,'Выгр Кат'!$A:$R,F$1,0)</f>
        <v>10W-A ближний</v>
      </c>
      <c r="G11" s="80" t="str">
        <f>VLOOKUP($A11,'Выгр Кат'!$A:$R,G$1,0)</f>
        <v>https://motorring.ru/product/11737-diodnaya-balka-10w-r-blighniy-10vt</v>
      </c>
      <c r="H11" s="67" t="s">
        <v>3</v>
      </c>
      <c r="I11" s="82">
        <v>250</v>
      </c>
      <c r="J11" s="5">
        <f>VLOOKUP(I11,Наценка!$A$1:$G$8,2,1)</f>
        <v>2.1</v>
      </c>
      <c r="K11" s="56">
        <f>W11*1.06</f>
        <v>687.94</v>
      </c>
      <c r="L11" s="70">
        <f>IF(K11&lt;=1000,(ROUNDUP(K11,-1)-1),(ROUNDUP(K11,-2)-10))</f>
        <v>689</v>
      </c>
      <c r="M11" s="80">
        <f>VLOOKUP($A11,'Выгр Кат'!$A:$R,M$1,0)</f>
        <v>250</v>
      </c>
      <c r="N11" s="80">
        <f>VLOOKUP($A11,'Выгр Кат'!$A:$R,N$1,0)</f>
        <v>689</v>
      </c>
      <c r="O11" s="28">
        <f>M11-I11</f>
        <v>0</v>
      </c>
      <c r="P11" s="28">
        <f>N11-L11</f>
        <v>0</v>
      </c>
      <c r="Q11" s="36">
        <f>IFERROR(L11*(1-$Q$2),"")</f>
        <v>640.77</v>
      </c>
      <c r="R11" s="38">
        <f>IFERROR(VLOOKUP($A11,'Из Гугла'!$B:$G,6,0)*S11,VLOOKUP($A11,'Из Гугла'!$B:$G,6,0))</f>
        <v>649</v>
      </c>
      <c r="S11" s="14">
        <v>1</v>
      </c>
      <c r="T11" s="83">
        <f>IFERROR(Q11/I11-1,"")</f>
        <v>1.5630799999999998</v>
      </c>
      <c r="U11" s="83">
        <f>IFERROR((W11-Q11)/W11,"")</f>
        <v>1.2681047765793556E-2</v>
      </c>
      <c r="V11" s="83">
        <f>IFERROR(IF(W11="","",W11/I11-1),"")</f>
        <v>1.5960000000000001</v>
      </c>
      <c r="W11" s="94">
        <v>649</v>
      </c>
      <c r="X11" s="71" t="s">
        <v>1459</v>
      </c>
    </row>
    <row r="12" spans="1:24" ht="30" x14ac:dyDescent="0.25">
      <c r="A12" s="80">
        <v>133309</v>
      </c>
      <c r="B12" s="80">
        <f>VLOOKUP($A12,'Выгр Кат'!$A:$R,B$1,0)</f>
        <v>8083</v>
      </c>
      <c r="C12" s="81" t="str">
        <f>VLOOKUP($A12,'Выгр Кат'!$A:$R,C$1,0)</f>
        <v>Балка освещения 10W*1LED, D-5,5 см (10W-A дальний)</v>
      </c>
      <c r="D12" s="80" t="str">
        <f>VLOOKUP($A12,'Выгр Кат'!$A:$R,D$1,0)</f>
        <v>Y</v>
      </c>
      <c r="E12" s="80" t="str">
        <f>VLOOKUP($A12,'Выгр Кат'!$A:$R,E$1,0)</f>
        <v>1</v>
      </c>
      <c r="F12" s="80" t="str">
        <f>VLOOKUP($A12,'Выгр Кат'!$A:$R,F$1,0)</f>
        <v>10W-A дальний</v>
      </c>
      <c r="G12" s="80" t="str">
        <f>VLOOKUP($A12,'Выгр Кат'!$A:$R,G$1,0)</f>
        <v>https://motorring.ru/product/11738-diodnaya-balka-10w-r-dalyniy-10vt</v>
      </c>
      <c r="H12" s="67" t="s">
        <v>3</v>
      </c>
      <c r="I12" s="82">
        <v>250</v>
      </c>
      <c r="J12" s="5">
        <f>VLOOKUP(I12,Наценка!$A$1:$G$8,2,1)</f>
        <v>2.1</v>
      </c>
      <c r="K12" s="56">
        <f>W12*1.06</f>
        <v>687.94</v>
      </c>
      <c r="L12" s="70">
        <f>IF(K12&lt;=1000,(ROUNDUP(K12,-1)-1),(ROUNDUP(K12,-2)-10))</f>
        <v>689</v>
      </c>
      <c r="M12" s="80">
        <f>VLOOKUP($A12,'Выгр Кат'!$A:$R,M$1,0)</f>
        <v>250</v>
      </c>
      <c r="N12" s="80">
        <f>VLOOKUP($A12,'Выгр Кат'!$A:$R,N$1,0)</f>
        <v>689</v>
      </c>
      <c r="O12" s="28">
        <f>M12-I12</f>
        <v>0</v>
      </c>
      <c r="P12" s="28">
        <f>N12-L12</f>
        <v>0</v>
      </c>
      <c r="Q12" s="36">
        <f>IFERROR(L12*(1-$Q$2),"")</f>
        <v>640.77</v>
      </c>
      <c r="R12" s="38">
        <f>IFERROR(VLOOKUP($A12,'Из Гугла'!$B:$G,6,0)*S12,VLOOKUP($A12,'Из Гугла'!$B:$G,6,0))</f>
        <v>649</v>
      </c>
      <c r="S12" s="14">
        <v>1</v>
      </c>
      <c r="T12" s="83">
        <f>IFERROR(Q12/I12-1,"")</f>
        <v>1.5630799999999998</v>
      </c>
      <c r="U12" s="83">
        <f>IFERROR((W12-Q12)/W12,"")</f>
        <v>1.2681047765793556E-2</v>
      </c>
      <c r="V12" s="83">
        <f>IFERROR(IF(W12="","",W12/I12-1),"")</f>
        <v>1.5960000000000001</v>
      </c>
      <c r="W12" s="84">
        <v>649</v>
      </c>
      <c r="X12" s="71" t="s">
        <v>1460</v>
      </c>
    </row>
    <row r="13" spans="1:24" ht="30" x14ac:dyDescent="0.25">
      <c r="A13" s="80">
        <v>133310</v>
      </c>
      <c r="B13" s="80">
        <f>VLOOKUP($A13,'Выгр Кат'!$A:$R,B$1,0)</f>
        <v>8096</v>
      </c>
      <c r="C13" s="81" t="str">
        <f>VLOOKUP($A13,'Выгр Кат'!$A:$R,C$1,0)</f>
        <v>Балка освещения 3W*16LED 11*11см (48W-A ближний)</v>
      </c>
      <c r="D13" s="80" t="str">
        <f>VLOOKUP($A13,'Выгр Кат'!$A:$R,D$1,0)</f>
        <v>Y</v>
      </c>
      <c r="E13" s="80" t="str">
        <f>VLOOKUP($A13,'Выгр Кат'!$A:$R,E$1,0)</f>
        <v>1</v>
      </c>
      <c r="F13" s="80" t="str">
        <f>VLOOKUP($A13,'Выгр Кат'!$A:$R,F$1,0)</f>
        <v>48W-A ближний</v>
      </c>
      <c r="G13" s="80" t="str">
        <f>VLOOKUP($A13,'Выгр Кат'!$A:$R,G$1,0)</f>
        <v>https://motorring.ru/product/11752-vspyshki-fso-48w-16-svetodiodov</v>
      </c>
      <c r="H13" s="67" t="s">
        <v>3</v>
      </c>
      <c r="I13" s="82">
        <v>250</v>
      </c>
      <c r="J13" s="5">
        <f>VLOOKUP(I13,Наценка!$A$1:$G$8,2,1)</f>
        <v>2.1</v>
      </c>
      <c r="K13" s="87">
        <f>W13*1.06</f>
        <v>625.4</v>
      </c>
      <c r="L13" s="70">
        <f>IF(K13&lt;=1000,(ROUNDUP(K13,-1)-1),(ROUNDUP(K13,-2)-10))</f>
        <v>629</v>
      </c>
      <c r="M13" s="80">
        <f>VLOOKUP($A13,'Выгр Кат'!$A:$R,M$1,0)</f>
        <v>250</v>
      </c>
      <c r="N13" s="80">
        <f>VLOOKUP($A13,'Выгр Кат'!$A:$R,N$1,0)</f>
        <v>629</v>
      </c>
      <c r="O13" s="28">
        <f>M13-I13</f>
        <v>0</v>
      </c>
      <c r="P13" s="28">
        <f>N13-L13</f>
        <v>0</v>
      </c>
      <c r="Q13" s="36">
        <f>IFERROR(L13*(1-$Q$2),"")</f>
        <v>584.96999999999991</v>
      </c>
      <c r="R13" s="38">
        <f>IFERROR(VLOOKUP($A13,'Из Гугла'!$B:$G,6,0)*S13,VLOOKUP($A13,'Из Гугла'!$B:$G,6,0))</f>
        <v>590</v>
      </c>
      <c r="S13" s="14">
        <v>1</v>
      </c>
      <c r="T13" s="83">
        <f>IFERROR(Q13/I13-1,"")</f>
        <v>1.3398799999999995</v>
      </c>
      <c r="U13" s="83">
        <f>IFERROR((W13-Q13)/W13,"")</f>
        <v>8.5254237288137063E-3</v>
      </c>
      <c r="V13" s="83">
        <f>IFERROR(IF(W13="","",W13/I13-1),"")</f>
        <v>1.3599999999999999</v>
      </c>
      <c r="W13" s="93">
        <v>590</v>
      </c>
      <c r="X13" s="71" t="s">
        <v>943</v>
      </c>
    </row>
    <row r="14" spans="1:24" ht="30" x14ac:dyDescent="0.25">
      <c r="A14" s="80">
        <v>133311</v>
      </c>
      <c r="B14" s="80">
        <f>VLOOKUP($A14,'Выгр Кат'!$A:$R,B$1,0)</f>
        <v>8097</v>
      </c>
      <c r="C14" s="81" t="str">
        <f>VLOOKUP($A14,'Выгр Кат'!$A:$R,C$1,0)</f>
        <v>Балка освещения 3W*16LED 11*11см (48W-A дальний)</v>
      </c>
      <c r="D14" s="80" t="str">
        <f>VLOOKUP($A14,'Выгр Кат'!$A:$R,D$1,0)</f>
        <v>Y</v>
      </c>
      <c r="E14" s="80" t="str">
        <f>VLOOKUP($A14,'Выгр Кат'!$A:$R,E$1,0)</f>
        <v>1</v>
      </c>
      <c r="F14" s="80" t="str">
        <f>VLOOKUP($A14,'Выгр Кат'!$A:$R,F$1,0)</f>
        <v>48W-A дальний</v>
      </c>
      <c r="G14" s="80" t="str">
        <f>VLOOKUP($A14,'Выгр Кат'!$A:$R,G$1,0)</f>
        <v>https://motorring.ru/product/11752-vspyshki-fso-48w-16-svetodiodov</v>
      </c>
      <c r="H14" s="67" t="s">
        <v>3</v>
      </c>
      <c r="I14" s="82">
        <v>250</v>
      </c>
      <c r="J14" s="5">
        <f>VLOOKUP(I14,Наценка!$A$1:$G$8,2,1)</f>
        <v>2.1</v>
      </c>
      <c r="K14" s="87">
        <f>W14*1.06</f>
        <v>625.4</v>
      </c>
      <c r="L14" s="70">
        <f>IF(K14&lt;=1000,(ROUNDUP(K14,-1)-1),(ROUNDUP(K14,-2)-10))</f>
        <v>629</v>
      </c>
      <c r="M14" s="80">
        <f>VLOOKUP($A14,'Выгр Кат'!$A:$R,M$1,0)</f>
        <v>250</v>
      </c>
      <c r="N14" s="80">
        <f>VLOOKUP($A14,'Выгр Кат'!$A:$R,N$1,0)</f>
        <v>629</v>
      </c>
      <c r="O14" s="28">
        <f>M14-I14</f>
        <v>0</v>
      </c>
      <c r="P14" s="28">
        <f>N14-L14</f>
        <v>0</v>
      </c>
      <c r="Q14" s="36">
        <f>IFERROR(L14*(1-$Q$2),"")</f>
        <v>584.96999999999991</v>
      </c>
      <c r="R14" s="38">
        <f>IFERROR(VLOOKUP($A14,'Из Гугла'!$B:$G,6,0)*S14,VLOOKUP($A14,'Из Гугла'!$B:$G,6,0))</f>
        <v>590</v>
      </c>
      <c r="S14" s="14">
        <v>1</v>
      </c>
      <c r="T14" s="83">
        <f>IFERROR(Q14/I14-1,"")</f>
        <v>1.3398799999999995</v>
      </c>
      <c r="U14" s="83">
        <f>IFERROR((W14-Q14)/W14,"")</f>
        <v>8.5254237288137063E-3</v>
      </c>
      <c r="V14" s="83">
        <f>IFERROR(IF(W14="","",W14/I14-1),"")</f>
        <v>1.3599999999999999</v>
      </c>
      <c r="W14" s="84">
        <v>590</v>
      </c>
      <c r="X14" s="71" t="s">
        <v>943</v>
      </c>
    </row>
    <row r="15" spans="1:24" ht="30" x14ac:dyDescent="0.25">
      <c r="A15" s="80">
        <v>224472</v>
      </c>
      <c r="B15" s="80">
        <f>VLOOKUP($A15,'Выгр Кат'!$A:$R,B$1,0)</f>
        <v>8126</v>
      </c>
      <c r="C15" s="81" t="str">
        <f>VLOOKUP($A15,'Выгр Кат'!$A:$R,C$1,0)</f>
        <v>Ходовые огни 6 (L-15)</v>
      </c>
      <c r="D15" s="80" t="str">
        <f>VLOOKUP($A15,'Выгр Кат'!$A:$R,D$1,0)</f>
        <v>Y</v>
      </c>
      <c r="E15" s="80" t="str">
        <f>VLOOKUP($A15,'Выгр Кат'!$A:$R,E$1,0)</f>
        <v>1</v>
      </c>
      <c r="F15" s="80" t="str">
        <f>VLOOKUP($A15,'Выгр Кат'!$A:$R,F$1,0)</f>
        <v>6</v>
      </c>
      <c r="G15" s="80">
        <f>VLOOKUP($A15,'Выгр Кат'!$A:$R,G$1,0)</f>
        <v>0</v>
      </c>
      <c r="H15" s="67" t="s">
        <v>3</v>
      </c>
      <c r="I15" s="82">
        <v>250</v>
      </c>
      <c r="J15" s="5">
        <f>VLOOKUP(I15,Наценка!$A$1:$G$8,2,1)</f>
        <v>2.1</v>
      </c>
      <c r="K15" s="34">
        <f>I15*J15</f>
        <v>525</v>
      </c>
      <c r="L15" s="70">
        <f>IF(K15&lt;=1000,(ROUNDUP(K15,-1)-1),(ROUNDUP(K15,-2)-10))</f>
        <v>529</v>
      </c>
      <c r="M15" s="80">
        <f>VLOOKUP($A15,'Выгр Кат'!$A:$R,M$1,0)</f>
        <v>250</v>
      </c>
      <c r="N15" s="80">
        <f>VLOOKUP($A15,'Выгр Кат'!$A:$R,N$1,0)</f>
        <v>529</v>
      </c>
      <c r="O15" s="28">
        <f>M15-I15</f>
        <v>0</v>
      </c>
      <c r="P15" s="28">
        <f>N15-L15</f>
        <v>0</v>
      </c>
      <c r="Q15" s="36">
        <f>IFERROR(L15*(1-$Q$2),"")</f>
        <v>491.96999999999997</v>
      </c>
      <c r="R15" s="38" t="str">
        <f>IFERROR(VLOOKUP($A15,'Из Гугла'!$B:$G,6,0)*S15,VLOOKUP($A15,'Из Гугла'!$B:$G,6,0))</f>
        <v/>
      </c>
      <c r="S15" s="14">
        <v>1</v>
      </c>
      <c r="T15" s="83">
        <f>IFERROR(Q15/I15-1,"")</f>
        <v>0.96787999999999985</v>
      </c>
      <c r="U15" s="83" t="str">
        <f>IFERROR((W15-Q15)/W15,"")</f>
        <v/>
      </c>
      <c r="V15" s="83" t="str">
        <f>IFERROR(IF(W15="","",W15/I15-1),"")</f>
        <v/>
      </c>
      <c r="W15" s="84" t="s">
        <v>1269</v>
      </c>
    </row>
    <row r="16" spans="1:24" ht="45.75" thickBot="1" x14ac:dyDescent="0.3">
      <c r="A16" s="80">
        <v>133220</v>
      </c>
      <c r="B16" s="80">
        <f>VLOOKUP($A16,'Выгр Кат'!$A:$R,B$1,0)</f>
        <v>23962</v>
      </c>
      <c r="C16" s="81" t="str">
        <f>VLOOKUP($A16,'Выгр Кат'!$A:$R,C$1,0)</f>
        <v>Балка дополнительного освещения "18L3" (LED, прямоугольный, белый свет)</v>
      </c>
      <c r="D16" s="80" t="str">
        <f>VLOOKUP($A16,'Выгр Кат'!$A:$R,D$1,0)</f>
        <v>Y</v>
      </c>
      <c r="E16" s="80" t="str">
        <f>VLOOKUP($A16,'Выгр Кат'!$A:$R,E$1,0)</f>
        <v>1</v>
      </c>
      <c r="F16" s="80" t="str">
        <f>VLOOKUP($A16,'Выгр Кат'!$A:$R,F$1,0)</f>
        <v>18L3</v>
      </c>
      <c r="G16" s="80" t="str">
        <f>VLOOKUP($A16,'Выгр Кат'!$A:$R,G$1,0)</f>
        <v>https://motorring.ru/product/18760-diodnaya-balka-18l</v>
      </c>
      <c r="H16" s="67" t="s">
        <v>3</v>
      </c>
      <c r="I16" s="82">
        <v>250</v>
      </c>
      <c r="J16" s="5">
        <f>VLOOKUP(I16,Наценка!$A$1:$G$8,2,1)</f>
        <v>2.1</v>
      </c>
      <c r="K16" s="53">
        <f>W16*1</f>
        <v>990</v>
      </c>
      <c r="L16" s="70">
        <f>IF(K16&lt;=1000,(ROUNDUP(K16,-1)-1),(ROUNDUP(K16,-2)-10))</f>
        <v>989</v>
      </c>
      <c r="M16" s="80">
        <f>VLOOKUP($A16,'Выгр Кат'!$A:$R,M$1,0)</f>
        <v>250</v>
      </c>
      <c r="N16" s="80">
        <f>VLOOKUP($A16,'Выгр Кат'!$A:$R,N$1,0)</f>
        <v>989</v>
      </c>
      <c r="O16" s="28">
        <f>M16-I16</f>
        <v>0</v>
      </c>
      <c r="P16" s="28">
        <f>N16-L16</f>
        <v>0</v>
      </c>
      <c r="Q16" s="36">
        <f>IFERROR(L16*(1-$Q$2),"")</f>
        <v>919.77</v>
      </c>
      <c r="R16" s="38">
        <f>IFERROR(VLOOKUP($A16,'Из Гугла'!$B:$G,6,0)*S16,VLOOKUP($A16,'Из Гугла'!$B:$G,6,0))</f>
        <v>990</v>
      </c>
      <c r="S16" s="14">
        <v>1</v>
      </c>
      <c r="T16" s="83">
        <f>IFERROR(Q16/I16-1,"")</f>
        <v>2.6790799999999999</v>
      </c>
      <c r="U16" s="83">
        <f>IFERROR((W16-Q16)/W16,"")</f>
        <v>7.0939393939393955E-2</v>
      </c>
      <c r="V16" s="83">
        <f>IFERROR(IF(W16="","",W16/I16-1),"")</f>
        <v>2.96</v>
      </c>
      <c r="W16" s="94">
        <v>990</v>
      </c>
      <c r="X16" s="71" t="s">
        <v>1461</v>
      </c>
    </row>
    <row r="17" spans="1:24" ht="30" x14ac:dyDescent="0.25">
      <c r="A17" s="80">
        <v>133229</v>
      </c>
      <c r="B17" s="80">
        <f>VLOOKUP($A17,'Выгр Кат'!$A:$R,B$1,0)</f>
        <v>23979</v>
      </c>
      <c r="C17" s="81" t="str">
        <f>VLOOKUP($A17,'Выгр Кат'!$A:$R,C$1,0)</f>
        <v>Балка дополнительного освещения "27S white" (белый свет, LED)</v>
      </c>
      <c r="D17" s="80" t="str">
        <f>VLOOKUP($A17,'Выгр Кат'!$A:$R,D$1,0)</f>
        <v>Y</v>
      </c>
      <c r="E17" s="80" t="str">
        <f>VLOOKUP($A17,'Выгр Кат'!$A:$R,E$1,0)</f>
        <v>1</v>
      </c>
      <c r="F17" s="80" t="str">
        <f>VLOOKUP($A17,'Выгр Кат'!$A:$R,F$1,0)</f>
        <v>27S white</v>
      </c>
      <c r="G17" s="80" t="str">
        <f>VLOOKUP($A17,'Выгр Кат'!$A:$R,G$1,0)</f>
        <v>https://motorring.ru/product/11748-vspyshki-fso-27w-svetodiod</v>
      </c>
      <c r="H17" s="67" t="s">
        <v>3</v>
      </c>
      <c r="I17" s="82">
        <v>250</v>
      </c>
      <c r="J17" s="5">
        <f>VLOOKUP(I17,Наценка!$A$1:$G$8,2,1)</f>
        <v>2.1</v>
      </c>
      <c r="K17" s="87">
        <f>W17*1.06</f>
        <v>687.94</v>
      </c>
      <c r="L17" s="70">
        <f>IF(K17&lt;=1000,(ROUNDUP(K17,-1)-1),(ROUNDUP(K17,-2)-10))</f>
        <v>689</v>
      </c>
      <c r="M17" s="80">
        <f>VLOOKUP($A17,'Выгр Кат'!$A:$R,M$1,0)</f>
        <v>250</v>
      </c>
      <c r="N17" s="80">
        <f>VLOOKUP($A17,'Выгр Кат'!$A:$R,N$1,0)</f>
        <v>689</v>
      </c>
      <c r="O17" s="28">
        <f>M17-I17</f>
        <v>0</v>
      </c>
      <c r="P17" s="28">
        <f>N17-L17</f>
        <v>0</v>
      </c>
      <c r="Q17" s="36">
        <f>IFERROR(L17*(1-$Q$2),"")</f>
        <v>640.77</v>
      </c>
      <c r="R17" s="38">
        <f>IFERROR(VLOOKUP($A17,'Из Гугла'!$B:$G,6,0)*S17,VLOOKUP($A17,'Из Гугла'!$B:$G,6,0))</f>
        <v>649</v>
      </c>
      <c r="S17" s="14">
        <v>1</v>
      </c>
      <c r="T17" s="83">
        <f>IFERROR(Q17/I17-1,"")</f>
        <v>1.5630799999999998</v>
      </c>
      <c r="U17" s="83">
        <f>IFERROR((W17-Q17)/W17,"")</f>
        <v>1.2681047765793556E-2</v>
      </c>
      <c r="V17" s="83">
        <f>IFERROR(IF(W17="","",W17/I17-1),"")</f>
        <v>1.5960000000000001</v>
      </c>
      <c r="W17" s="84">
        <v>649</v>
      </c>
      <c r="X17" s="71" t="s">
        <v>911</v>
      </c>
    </row>
    <row r="18" spans="1:24" ht="30" x14ac:dyDescent="0.25">
      <c r="A18" s="80">
        <v>133238</v>
      </c>
      <c r="B18" s="80">
        <f>VLOOKUP($A18,'Выгр Кат'!$A:$R,B$1,0)</f>
        <v>23996</v>
      </c>
      <c r="C18" s="81" t="str">
        <f>VLOOKUP($A18,'Выгр Кат'!$A:$R,C$1,0)</f>
        <v>Балка дополнительного освещения "42R" (LED, белый свет)</v>
      </c>
      <c r="D18" s="80" t="str">
        <f>VLOOKUP($A18,'Выгр Кат'!$A:$R,D$1,0)</f>
        <v>Y</v>
      </c>
      <c r="E18" s="80" t="str">
        <f>VLOOKUP($A18,'Выгр Кат'!$A:$R,E$1,0)</f>
        <v>1</v>
      </c>
      <c r="F18" s="80" t="str">
        <f>VLOOKUP($A18,'Выгр Кат'!$A:$R,F$1,0)</f>
        <v>42R white</v>
      </c>
      <c r="G18" s="80" t="str">
        <f>VLOOKUP($A18,'Выгр Кат'!$A:$R,G$1,0)</f>
        <v>https://motorring.ru/product/11781-diodnaya-balka-42-hk-yx</v>
      </c>
      <c r="H18" s="67" t="s">
        <v>3</v>
      </c>
      <c r="I18" s="82">
        <v>250</v>
      </c>
      <c r="J18" s="5">
        <f>VLOOKUP(I18,Наценка!$A$1:$G$8,2,1)</f>
        <v>2.1</v>
      </c>
      <c r="K18" s="53">
        <f>W18*1</f>
        <v>990</v>
      </c>
      <c r="L18" s="70">
        <f>IF(K18&lt;=1000,(ROUNDUP(K18,-1)-1),(ROUNDUP(K18,-2)-10))</f>
        <v>989</v>
      </c>
      <c r="M18" s="80">
        <f>VLOOKUP($A18,'Выгр Кат'!$A:$R,M$1,0)</f>
        <v>250</v>
      </c>
      <c r="N18" s="80">
        <f>VLOOKUP($A18,'Выгр Кат'!$A:$R,N$1,0)</f>
        <v>989</v>
      </c>
      <c r="O18" s="28">
        <f>M18-I18</f>
        <v>0</v>
      </c>
      <c r="P18" s="28">
        <f>N18-L18</f>
        <v>0</v>
      </c>
      <c r="Q18" s="36">
        <f>IFERROR(L18*(1-$Q$2),"")</f>
        <v>919.77</v>
      </c>
      <c r="R18" s="38">
        <f>IFERROR(VLOOKUP($A18,'Из Гугла'!$B:$G,6,0)*S18,VLOOKUP($A18,'Из Гугла'!$B:$G,6,0))</f>
        <v>990</v>
      </c>
      <c r="S18" s="14">
        <v>1</v>
      </c>
      <c r="T18" s="83">
        <f>IFERROR(Q18/I18-1,"")</f>
        <v>2.6790799999999999</v>
      </c>
      <c r="U18" s="83">
        <f>IFERROR((W18-Q18)/W18,"")</f>
        <v>7.0939393939393955E-2</v>
      </c>
      <c r="V18" s="83">
        <f>IFERROR(IF(W18="","",W18/I18-1),"")</f>
        <v>2.96</v>
      </c>
      <c r="W18" s="93">
        <v>990</v>
      </c>
      <c r="X18" s="71" t="s">
        <v>749</v>
      </c>
    </row>
    <row r="19" spans="1:24" ht="30" x14ac:dyDescent="0.25">
      <c r="A19" s="80">
        <v>133237</v>
      </c>
      <c r="B19" s="80">
        <f>VLOOKUP($A19,'Выгр Кат'!$A:$R,B$1,0)</f>
        <v>37939</v>
      </c>
      <c r="C19" s="81" t="str">
        <f>VLOOKUP($A19,'Выгр Кат'!$A:$R,C$1,0)</f>
        <v>Балка дополнительного освещения "42R mini" (LED, белый свет)</v>
      </c>
      <c r="D19" s="80" t="str">
        <f>VLOOKUP($A19,'Выгр Кат'!$A:$R,D$1,0)</f>
        <v>Y</v>
      </c>
      <c r="E19" s="80" t="str">
        <f>VLOOKUP($A19,'Выгр Кат'!$A:$R,E$1,0)</f>
        <v>1</v>
      </c>
      <c r="F19" s="80" t="str">
        <f>VLOOKUP($A19,'Выгр Кат'!$A:$R,F$1,0)</f>
        <v>FL-42R MINI</v>
      </c>
      <c r="G19" s="80">
        <f>VLOOKUP($A19,'Выгр Кат'!$A:$R,G$1,0)</f>
        <v>0</v>
      </c>
      <c r="H19" s="67" t="s">
        <v>3</v>
      </c>
      <c r="I19" s="82">
        <v>250</v>
      </c>
      <c r="J19" s="5">
        <f>VLOOKUP(I19,Наценка!$A$1:$G$8,2,1)</f>
        <v>2.1</v>
      </c>
      <c r="K19" s="88">
        <f>I19*J19</f>
        <v>525</v>
      </c>
      <c r="L19" s="70">
        <f>IF(K19&lt;=1000,(ROUNDUP(K19,-1)-1),(ROUNDUP(K19,-2)-10))</f>
        <v>529</v>
      </c>
      <c r="M19" s="80">
        <f>VLOOKUP($A19,'Выгр Кат'!$A:$R,M$1,0)</f>
        <v>250</v>
      </c>
      <c r="N19" s="80">
        <f>VLOOKUP($A19,'Выгр Кат'!$A:$R,N$1,0)</f>
        <v>529</v>
      </c>
      <c r="O19" s="28">
        <f>M19-I19</f>
        <v>0</v>
      </c>
      <c r="P19" s="28">
        <f>N19-L19</f>
        <v>0</v>
      </c>
      <c r="Q19" s="36">
        <f>IFERROR(L19*(1-$Q$2),"")</f>
        <v>491.96999999999997</v>
      </c>
      <c r="R19" s="38" t="str">
        <f>IFERROR(VLOOKUP($A19,'Из Гугла'!$B:$G,6,0)*S19,VLOOKUP($A19,'Из Гугла'!$B:$G,6,0))</f>
        <v/>
      </c>
      <c r="S19" s="14">
        <v>1</v>
      </c>
      <c r="T19" s="83">
        <f>IFERROR(Q19/I19-1,"")</f>
        <v>0.96787999999999985</v>
      </c>
      <c r="U19" s="83" t="str">
        <f>IFERROR((W19-Q19)/W19,"")</f>
        <v/>
      </c>
      <c r="V19" s="83" t="str">
        <f>IFERROR(IF(W19="","",W19/I19-1),"")</f>
        <v/>
      </c>
      <c r="W19" s="84" t="s">
        <v>1269</v>
      </c>
    </row>
    <row r="20" spans="1:24" ht="30" x14ac:dyDescent="0.25">
      <c r="A20" s="80">
        <v>256974</v>
      </c>
      <c r="B20" s="80">
        <f>VLOOKUP($A20,'Выгр Кат'!$A:$R,B$1,0)</f>
        <v>204088</v>
      </c>
      <c r="C20" s="81" t="str">
        <f>VLOOKUP($A20,'Выгр Кат'!$A:$R,C$1,0)</f>
        <v>Антенна для Лада Нива Travel, Шевроле Нива</v>
      </c>
      <c r="D20" s="80" t="str">
        <f>VLOOKUP($A20,'Выгр Кат'!$A:$R,D$1,0)</f>
        <v>Y</v>
      </c>
      <c r="E20" s="80" t="str">
        <f>VLOOKUP($A20,'Выгр Кат'!$A:$R,E$1,0)</f>
        <v>1</v>
      </c>
      <c r="F20" s="80" t="str">
        <f>VLOOKUP($A20,'Выгр Кат'!$A:$R,F$1,0)</f>
        <v>2123-7903020</v>
      </c>
      <c r="G20" s="80" t="str">
        <f>VLOOKUP($A20,'Выгр Кат'!$A:$R,G$1,0)</f>
        <v>https://motorring.ru/product/18765-antenna-shtatnaya-shevrole-niva</v>
      </c>
      <c r="H20" s="67" t="s">
        <v>3</v>
      </c>
      <c r="I20" s="82">
        <v>280</v>
      </c>
      <c r="J20" s="5">
        <f>VLOOKUP(I20,Наценка!$A$1:$G$8,2,1)</f>
        <v>2.1</v>
      </c>
      <c r="K20" s="56">
        <f>W20*1.06</f>
        <v>625.4</v>
      </c>
      <c r="L20" s="70">
        <f>IF(K20&lt;=1000,(ROUNDUP(K20,-1)-1),(ROUNDUP(K20,-2)-10))</f>
        <v>629</v>
      </c>
      <c r="M20" s="80">
        <f>VLOOKUP($A20,'Выгр Кат'!$A:$R,M$1,0)</f>
        <v>280</v>
      </c>
      <c r="N20" s="80">
        <f>VLOOKUP($A20,'Выгр Кат'!$A:$R,N$1,0)</f>
        <v>629</v>
      </c>
      <c r="O20" s="28">
        <f>M20-I20</f>
        <v>0</v>
      </c>
      <c r="P20" s="28">
        <f>N20-L20</f>
        <v>0</v>
      </c>
      <c r="Q20" s="36">
        <f>IFERROR(L20*(1-$Q$2),"")</f>
        <v>584.96999999999991</v>
      </c>
      <c r="R20" s="38">
        <f>IFERROR(VLOOKUP($A20,'Из Гугла'!$B:$G,6,0)*S20,VLOOKUP($A20,'Из Гугла'!$B:$G,6,0))</f>
        <v>590</v>
      </c>
      <c r="S20" s="14">
        <v>1</v>
      </c>
      <c r="T20" s="83">
        <f>IFERROR(Q20/I20-1,"")</f>
        <v>1.0891785714285711</v>
      </c>
      <c r="U20" s="83">
        <f>IFERROR((W20-Q20)/W20,"")</f>
        <v>8.5254237288137063E-3</v>
      </c>
      <c r="V20" s="83">
        <f>IFERROR(IF(W20="","",W20/I20-1),"")</f>
        <v>1.1071428571428572</v>
      </c>
      <c r="W20" s="84">
        <v>590</v>
      </c>
      <c r="X20" s="71" t="s">
        <v>1354</v>
      </c>
    </row>
    <row r="21" spans="1:24" ht="30" x14ac:dyDescent="0.25">
      <c r="A21" s="80">
        <v>139539</v>
      </c>
      <c r="B21" s="80">
        <f>VLOOKUP($A21,'Выгр Кат'!$A:$R,B$1,0)</f>
        <v>18611</v>
      </c>
      <c r="C21" s="81" t="str">
        <f>VLOOKUP($A21,'Выгр Кат'!$A:$R,C$1,0)</f>
        <v>Вспышка ФСО 27W (9 светодиодов по 3 Вт)</v>
      </c>
      <c r="D21" s="80" t="str">
        <f>VLOOKUP($A21,'Выгр Кат'!$A:$R,D$1,0)</f>
        <v>Y</v>
      </c>
      <c r="E21" s="80" t="str">
        <f>VLOOKUP($A21,'Выгр Кат'!$A:$R,E$1,0)</f>
        <v>1</v>
      </c>
      <c r="F21" s="80" t="str">
        <f>VLOOKUP($A21,'Выгр Кат'!$A:$R,F$1,0)</f>
        <v>27W-B (S) дальний</v>
      </c>
      <c r="G21" s="80" t="str">
        <f>VLOOKUP($A21,'Выгр Кат'!$A:$R,G$1,0)</f>
        <v>https://motorring.ru/product/11748-vspyshki-fso-27w-svetodiod</v>
      </c>
      <c r="H21" s="67" t="s">
        <v>3</v>
      </c>
      <c r="I21" s="82">
        <v>300</v>
      </c>
      <c r="J21" s="5">
        <f>VLOOKUP(I21,Наценка!$A$1:$G$8,2,1)</f>
        <v>1.75</v>
      </c>
      <c r="K21" s="56">
        <f>W21*1.06</f>
        <v>687.94</v>
      </c>
      <c r="L21" s="70">
        <f>IF(K21&lt;=1000,(ROUNDUP(K21,-1)-1),(ROUNDUP(K21,-2)-10))</f>
        <v>689</v>
      </c>
      <c r="M21" s="80">
        <f>VLOOKUP($A21,'Выгр Кат'!$A:$R,M$1,0)</f>
        <v>300</v>
      </c>
      <c r="N21" s="80">
        <f>VLOOKUP($A21,'Выгр Кат'!$A:$R,N$1,0)</f>
        <v>689</v>
      </c>
      <c r="O21" s="28">
        <f>M21-I21</f>
        <v>0</v>
      </c>
      <c r="P21" s="28">
        <f>N21-L21</f>
        <v>0</v>
      </c>
      <c r="Q21" s="36">
        <f>IFERROR(L21*(1-$Q$2),"")</f>
        <v>640.77</v>
      </c>
      <c r="R21" s="38">
        <f>IFERROR(VLOOKUP($A21,'Из Гугла'!$B:$G,6,0)*S21,VLOOKUP($A21,'Из Гугла'!$B:$G,6,0))</f>
        <v>649</v>
      </c>
      <c r="S21" s="14">
        <v>1</v>
      </c>
      <c r="T21" s="83">
        <f>IFERROR(Q21/I21-1,"")</f>
        <v>1.1358999999999999</v>
      </c>
      <c r="U21" s="83">
        <f>IFERROR((W21-Q21)/W21,"")</f>
        <v>1.2681047765793556E-2</v>
      </c>
      <c r="V21" s="83">
        <f>IFERROR(IF(W21="","",W21/I21-1),"")</f>
        <v>1.1633333333333336</v>
      </c>
      <c r="W21" s="93">
        <v>649</v>
      </c>
      <c r="X21" s="71" t="s">
        <v>911</v>
      </c>
    </row>
    <row r="22" spans="1:24" ht="30" x14ac:dyDescent="0.25">
      <c r="A22" s="80">
        <v>224471</v>
      </c>
      <c r="B22" s="80">
        <f>VLOOKUP($A22,'Выгр Кат'!$A:$R,B$1,0)</f>
        <v>34598</v>
      </c>
      <c r="C22" s="81" t="str">
        <f>VLOOKUP($A22,'Выгр Кат'!$A:$R,C$1,0)</f>
        <v>Ходовые огни 36 LED, 12V, 180 мм, белый (гибкий резиновый корпус)</v>
      </c>
      <c r="D22" s="80" t="str">
        <f>VLOOKUP($A22,'Выгр Кат'!$A:$R,D$1,0)</f>
        <v>Y</v>
      </c>
      <c r="E22" s="80" t="str">
        <f>VLOOKUP($A22,'Выгр Кат'!$A:$R,E$1,0)</f>
        <v>1</v>
      </c>
      <c r="F22" s="80">
        <f>VLOOKUP($A22,'Выгр Кат'!$A:$R,F$1,0)</f>
        <v>0</v>
      </c>
      <c r="G22" s="80">
        <f>VLOOKUP($A22,'Выгр Кат'!$A:$R,G$1,0)</f>
        <v>0</v>
      </c>
      <c r="H22" s="67" t="s">
        <v>3</v>
      </c>
      <c r="I22" s="82">
        <v>300</v>
      </c>
      <c r="J22" s="5">
        <f>VLOOKUP(I22,Наценка!$A$1:$G$8,2,1)</f>
        <v>1.75</v>
      </c>
      <c r="K22" s="88">
        <f>I22*J22</f>
        <v>525</v>
      </c>
      <c r="L22" s="70">
        <f>IF(K22&lt;=1000,(ROUNDUP(K22,-1)-1),(ROUNDUP(K22,-2)-10))</f>
        <v>529</v>
      </c>
      <c r="M22" s="80">
        <f>VLOOKUP($A22,'Выгр Кат'!$A:$R,M$1,0)</f>
        <v>300</v>
      </c>
      <c r="N22" s="80">
        <f>VLOOKUP($A22,'Выгр Кат'!$A:$R,N$1,0)</f>
        <v>529</v>
      </c>
      <c r="O22" s="28">
        <f>M22-I22</f>
        <v>0</v>
      </c>
      <c r="P22" s="28">
        <f>N22-L22</f>
        <v>0</v>
      </c>
      <c r="Q22" s="36">
        <f>IFERROR(L22*(1-$Q$2),"")</f>
        <v>491.96999999999997</v>
      </c>
      <c r="R22" s="38" t="str">
        <f>IFERROR(VLOOKUP($A22,'Из Гугла'!$B:$G,6,0)*S22,VLOOKUP($A22,'Из Гугла'!$B:$G,6,0))</f>
        <v/>
      </c>
      <c r="S22" s="14">
        <v>1</v>
      </c>
      <c r="T22" s="83">
        <f>IFERROR(Q22/I22-1,"")</f>
        <v>0.63989999999999991</v>
      </c>
      <c r="U22" s="83" t="str">
        <f>IFERROR((W22-Q22)/W22,"")</f>
        <v/>
      </c>
      <c r="V22" s="83" t="str">
        <f>IFERROR(IF(W22="","",W22/I22-1),"")</f>
        <v/>
      </c>
      <c r="W22" s="84" t="s">
        <v>1269</v>
      </c>
    </row>
    <row r="23" spans="1:24" ht="30" x14ac:dyDescent="0.25">
      <c r="A23" s="80">
        <v>133273</v>
      </c>
      <c r="B23" s="80">
        <f>VLOOKUP($A23,'Выгр Кат'!$A:$R,B$1,0)</f>
        <v>37946</v>
      </c>
      <c r="C23" s="81" t="str">
        <f>VLOOKUP($A23,'Выгр Кат'!$A:$R,C$1,0)</f>
        <v>Балка дополнительного освещения "HP-GZD-021-24" (LED, жёлтый свет)</v>
      </c>
      <c r="D23" s="80" t="str">
        <f>VLOOKUP($A23,'Выгр Кат'!$A:$R,D$1,0)</f>
        <v>Y</v>
      </c>
      <c r="E23" s="80" t="str">
        <f>VLOOKUP($A23,'Выгр Кат'!$A:$R,E$1,0)</f>
        <v>1</v>
      </c>
      <c r="F23" s="80" t="str">
        <f>VLOOKUP($A23,'Выгр Кат'!$A:$R,F$1,0)</f>
        <v>HP-GZD-021-24 желтый</v>
      </c>
      <c r="G23" s="80">
        <f>VLOOKUP($A23,'Выгр Кат'!$A:$R,G$1,0)</f>
        <v>0</v>
      </c>
      <c r="H23" s="67" t="s">
        <v>3</v>
      </c>
      <c r="I23" s="82">
        <v>300</v>
      </c>
      <c r="J23" s="5">
        <f>VLOOKUP(I23,Наценка!$A$1:$G$8,2,1)</f>
        <v>1.75</v>
      </c>
      <c r="K23" s="88">
        <f>I23*J23</f>
        <v>525</v>
      </c>
      <c r="L23" s="70">
        <f>IF(K23&lt;=1000,(ROUNDUP(K23,-1)-1),(ROUNDUP(K23,-2)-10))</f>
        <v>529</v>
      </c>
      <c r="M23" s="80">
        <f>VLOOKUP($A23,'Выгр Кат'!$A:$R,M$1,0)</f>
        <v>300</v>
      </c>
      <c r="N23" s="80">
        <f>VLOOKUP($A23,'Выгр Кат'!$A:$R,N$1,0)</f>
        <v>529</v>
      </c>
      <c r="O23" s="28">
        <f>M23-I23</f>
        <v>0</v>
      </c>
      <c r="P23" s="28">
        <f>N23-L23</f>
        <v>0</v>
      </c>
      <c r="Q23" s="36">
        <f>IFERROR(L23*(1-$Q$2),"")</f>
        <v>491.96999999999997</v>
      </c>
      <c r="R23" s="38" t="str">
        <f>IFERROR(VLOOKUP($A23,'Из Гугла'!$B:$G,6,0)*S23,VLOOKUP($A23,'Из Гугла'!$B:$G,6,0))</f>
        <v/>
      </c>
      <c r="S23" s="14">
        <v>1</v>
      </c>
      <c r="T23" s="83">
        <f>IFERROR(Q23/I23-1,"")</f>
        <v>0.63989999999999991</v>
      </c>
      <c r="U23" s="83" t="str">
        <f>IFERROR((W23-Q23)/W23,"")</f>
        <v/>
      </c>
      <c r="V23" s="83" t="str">
        <f>IFERROR(IF(W23="","",W23/I23-1),"")</f>
        <v/>
      </c>
      <c r="W23" s="84" t="s">
        <v>1269</v>
      </c>
    </row>
    <row r="24" spans="1:24" ht="30.75" thickBot="1" x14ac:dyDescent="0.3">
      <c r="A24" s="80">
        <v>133242</v>
      </c>
      <c r="B24" s="80">
        <f>VLOOKUP($A24,'Выгр Кат'!$A:$R,B$1,0)</f>
        <v>37937</v>
      </c>
      <c r="C24" s="81" t="str">
        <f>VLOOKUP($A24,'Выгр Кат'!$A:$R,C$1,0)</f>
        <v>Балка дополнительного освещения "48S mini" (LED)</v>
      </c>
      <c r="D24" s="80" t="str">
        <f>VLOOKUP($A24,'Выгр Кат'!$A:$R,D$1,0)</f>
        <v>Y</v>
      </c>
      <c r="E24" s="80" t="str">
        <f>VLOOKUP($A24,'Выгр Кат'!$A:$R,E$1,0)</f>
        <v>1</v>
      </c>
      <c r="F24" s="80" t="str">
        <f>VLOOKUP($A24,'Выгр Кат'!$A:$R,F$1,0)</f>
        <v>FL-48S MINI</v>
      </c>
      <c r="G24" s="80">
        <f>VLOOKUP($A24,'Выгр Кат'!$A:$R,G$1,0)</f>
        <v>0</v>
      </c>
      <c r="H24" s="67" t="s">
        <v>3</v>
      </c>
      <c r="I24" s="82">
        <v>300</v>
      </c>
      <c r="J24" s="5">
        <f>VLOOKUP(I24,Наценка!$A$1:$G$8,2,1)</f>
        <v>1.75</v>
      </c>
      <c r="K24" s="88">
        <f>I24*J24</f>
        <v>525</v>
      </c>
      <c r="L24" s="70">
        <f>IF(K24&lt;=1000,(ROUNDUP(K24,-1)-1),(ROUNDUP(K24,-2)-10))</f>
        <v>529</v>
      </c>
      <c r="M24" s="80">
        <f>VLOOKUP($A24,'Выгр Кат'!$A:$R,M$1,0)</f>
        <v>300</v>
      </c>
      <c r="N24" s="80">
        <f>VLOOKUP($A24,'Выгр Кат'!$A:$R,N$1,0)</f>
        <v>529</v>
      </c>
      <c r="O24" s="28">
        <f>M24-I24</f>
        <v>0</v>
      </c>
      <c r="P24" s="28">
        <f>N24-L24</f>
        <v>0</v>
      </c>
      <c r="Q24" s="36">
        <f>IFERROR(L24*(1-$Q$2),"")</f>
        <v>491.96999999999997</v>
      </c>
      <c r="R24" s="38" t="str">
        <f>IFERROR(VLOOKUP($A24,'Из Гугла'!$B:$G,6,0)*S24,VLOOKUP($A24,'Из Гугла'!$B:$G,6,0))</f>
        <v/>
      </c>
      <c r="S24" s="14">
        <v>1</v>
      </c>
      <c r="T24" s="83">
        <f>IFERROR(Q24/I24-1,"")</f>
        <v>0.63989999999999991</v>
      </c>
      <c r="U24" s="83" t="str">
        <f>IFERROR((W24-Q24)/W24,"")</f>
        <v/>
      </c>
      <c r="V24" s="83" t="str">
        <f>IFERROR(IF(W24="","",W24/I24-1),"")</f>
        <v/>
      </c>
      <c r="W24" s="94" t="s">
        <v>1269</v>
      </c>
    </row>
    <row r="25" spans="1:24" ht="30" x14ac:dyDescent="0.25">
      <c r="A25" s="80">
        <v>139538</v>
      </c>
      <c r="B25" s="80">
        <f>VLOOKUP($A25,'Выгр Кат'!$A:$R,B$1,0)</f>
        <v>23572</v>
      </c>
      <c r="C25" s="81" t="str">
        <f>VLOOKUP($A25,'Выгр Кат'!$A:$R,C$1,0)</f>
        <v>Вспышка 16 линз ФСО, ФСБ</v>
      </c>
      <c r="D25" s="80" t="str">
        <f>VLOOKUP($A25,'Выгр Кат'!$A:$R,D$1,0)</f>
        <v>Y</v>
      </c>
      <c r="E25" s="80" t="str">
        <f>VLOOKUP($A25,'Выгр Кат'!$A:$R,E$1,0)</f>
        <v>1</v>
      </c>
      <c r="F25" s="80" t="str">
        <f>VLOOKUP($A25,'Выгр Кат'!$A:$R,F$1,0)</f>
        <v>G0002-25BS</v>
      </c>
      <c r="G25" s="80" t="str">
        <f>VLOOKUP($A25,'Выгр Кат'!$A:$R,G$1,0)</f>
        <v>https://motorring.ru/product/11751-diodnaya-balka-48w-a-blighniy-3vt</v>
      </c>
      <c r="H25" s="67" t="s">
        <v>3</v>
      </c>
      <c r="I25" s="82">
        <v>300</v>
      </c>
      <c r="J25" s="5">
        <f>VLOOKUP(I25,Наценка!$A$1:$G$8,2,1)</f>
        <v>1.75</v>
      </c>
      <c r="K25" s="56">
        <f>W25*1.06</f>
        <v>625.4</v>
      </c>
      <c r="L25" s="70">
        <f>IF(K25&lt;=1000,(ROUNDUP(K25,-1)-1),(ROUNDUP(K25,-2)-10))</f>
        <v>629</v>
      </c>
      <c r="M25" s="80">
        <f>VLOOKUP($A25,'Выгр Кат'!$A:$R,M$1,0)</f>
        <v>300</v>
      </c>
      <c r="N25" s="80">
        <f>VLOOKUP($A25,'Выгр Кат'!$A:$R,N$1,0)</f>
        <v>629</v>
      </c>
      <c r="O25" s="28">
        <f>M25-I25</f>
        <v>0</v>
      </c>
      <c r="P25" s="28">
        <f>N25-L25</f>
        <v>0</v>
      </c>
      <c r="Q25" s="36">
        <f>IFERROR(L25*(1-$Q$2),"")</f>
        <v>584.96999999999991</v>
      </c>
      <c r="R25" s="38">
        <f>IFERROR(VLOOKUP($A25,'Из Гугла'!$B:$G,6,0)*S25,VLOOKUP($A25,'Из Гугла'!$B:$G,6,0))</f>
        <v>590</v>
      </c>
      <c r="S25" s="14">
        <v>1</v>
      </c>
      <c r="T25" s="83">
        <f>IFERROR(Q25/I25-1,"")</f>
        <v>0.94989999999999974</v>
      </c>
      <c r="U25" s="83">
        <f>IFERROR((W25-Q25)/W25,"")</f>
        <v>8.5254237288137063E-3</v>
      </c>
      <c r="V25" s="83">
        <f>IFERROR(IF(W25="","",W25/I25-1),"")</f>
        <v>0.96666666666666656</v>
      </c>
      <c r="W25" s="93">
        <v>590</v>
      </c>
      <c r="X25" s="71" t="s">
        <v>751</v>
      </c>
    </row>
    <row r="26" spans="1:24" ht="30" x14ac:dyDescent="0.25">
      <c r="A26" s="80">
        <v>133313</v>
      </c>
      <c r="B26" s="80">
        <f>VLOOKUP($A26,'Выгр Кат'!$A:$R,B$1,0)</f>
        <v>8087</v>
      </c>
      <c r="C26" s="81" t="str">
        <f>VLOOKUP($A26,'Выгр Кат'!$A:$R,C$1,0)</f>
        <v>Балка освещения 3W*6LED 7*9,5см (18W-C дальний)</v>
      </c>
      <c r="D26" s="80" t="str">
        <f>VLOOKUP($A26,'Выгр Кат'!$A:$R,D$1,0)</f>
        <v>Y</v>
      </c>
      <c r="E26" s="80" t="str">
        <f>VLOOKUP($A26,'Выгр Кат'!$A:$R,E$1,0)</f>
        <v>1</v>
      </c>
      <c r="F26" s="80" t="str">
        <f>VLOOKUP($A26,'Выгр Кат'!$A:$R,F$1,0)</f>
        <v>18W-C дальний</v>
      </c>
      <c r="G26" s="80" t="str">
        <f>VLOOKUP($A26,'Выгр Кат'!$A:$R,G$1,0)</f>
        <v>https://motorring.ru/product/11742-diodnaya-balka-18w-c-dalyniy-3vt</v>
      </c>
      <c r="H26" s="67" t="s">
        <v>3</v>
      </c>
      <c r="I26" s="82">
        <v>350</v>
      </c>
      <c r="J26" s="5">
        <f>VLOOKUP(I26,Наценка!$A$1:$G$8,2,1)</f>
        <v>1.75</v>
      </c>
      <c r="K26" s="87">
        <f>W26*1.06</f>
        <v>899.94</v>
      </c>
      <c r="L26" s="70">
        <f>IF(K26&lt;=1000,(ROUNDUP(K26,-1)-1),(ROUNDUP(K26,-2)-10))</f>
        <v>899</v>
      </c>
      <c r="M26" s="80">
        <f>VLOOKUP($A26,'Выгр Кат'!$A:$R,M$1,0)</f>
        <v>350</v>
      </c>
      <c r="N26" s="80">
        <f>VLOOKUP($A26,'Выгр Кат'!$A:$R,N$1,0)</f>
        <v>899</v>
      </c>
      <c r="O26" s="28">
        <f>M26-I26</f>
        <v>0</v>
      </c>
      <c r="P26" s="28">
        <f>N26-L26</f>
        <v>0</v>
      </c>
      <c r="Q26" s="36">
        <f>IFERROR(L26*(1-$Q$2),"")</f>
        <v>836.06999999999994</v>
      </c>
      <c r="R26" s="38">
        <f>IFERROR(VLOOKUP($A26,'Из Гугла'!$B:$G,6,0)*S26,VLOOKUP($A26,'Из Гугла'!$B:$G,6,0))</f>
        <v>849</v>
      </c>
      <c r="S26" s="14">
        <v>1</v>
      </c>
      <c r="T26" s="83">
        <f>IFERROR(Q26/I26-1,"")</f>
        <v>1.3887714285714283</v>
      </c>
      <c r="U26" s="83">
        <f>IFERROR((W26-Q26)/W26,"")</f>
        <v>1.5229681978798662E-2</v>
      </c>
      <c r="V26" s="83">
        <f>IFERROR(IF(W26="","",W26/I26-1),"")</f>
        <v>1.4257142857142857</v>
      </c>
      <c r="W26" s="84">
        <v>849</v>
      </c>
      <c r="X26" s="71" t="s">
        <v>1456</v>
      </c>
    </row>
    <row r="27" spans="1:24" ht="30" x14ac:dyDescent="0.25">
      <c r="A27" s="80">
        <v>224468</v>
      </c>
      <c r="B27" s="80">
        <f>VLOOKUP($A27,'Выгр Кат'!$A:$R,B$1,0)</f>
        <v>8149</v>
      </c>
      <c r="C27" s="81" t="str">
        <f>VLOOKUP($A27,'Выгр Кат'!$A:$R,C$1,0)</f>
        <v>Ходовые огни 316 (L-15,5)</v>
      </c>
      <c r="D27" s="80" t="str">
        <f>VLOOKUP($A27,'Выгр Кат'!$A:$R,D$1,0)</f>
        <v>Y</v>
      </c>
      <c r="E27" s="80" t="str">
        <f>VLOOKUP($A27,'Выгр Кат'!$A:$R,E$1,0)</f>
        <v>1</v>
      </c>
      <c r="F27" s="80" t="str">
        <f>VLOOKUP($A27,'Выгр Кат'!$A:$R,F$1,0)</f>
        <v>316</v>
      </c>
      <c r="G27" s="80">
        <f>VLOOKUP($A27,'Выгр Кат'!$A:$R,G$1,0)</f>
        <v>0</v>
      </c>
      <c r="H27" s="67" t="s">
        <v>3</v>
      </c>
      <c r="I27" s="82">
        <v>350</v>
      </c>
      <c r="J27" s="5">
        <f>VLOOKUP(I27,Наценка!$A$1:$G$8,2,1)</f>
        <v>1.75</v>
      </c>
      <c r="K27" s="88">
        <f>I27*J27</f>
        <v>612.5</v>
      </c>
      <c r="L27" s="70">
        <f>IF(K27&lt;=1000,(ROUNDUP(K27,-1)-1),(ROUNDUP(K27,-2)-10))</f>
        <v>619</v>
      </c>
      <c r="M27" s="80">
        <f>VLOOKUP($A27,'Выгр Кат'!$A:$R,M$1,0)</f>
        <v>350</v>
      </c>
      <c r="N27" s="80">
        <f>VLOOKUP($A27,'Выгр Кат'!$A:$R,N$1,0)</f>
        <v>619</v>
      </c>
      <c r="O27" s="28">
        <f>M27-I27</f>
        <v>0</v>
      </c>
      <c r="P27" s="28">
        <f>N27-L27</f>
        <v>0</v>
      </c>
      <c r="Q27" s="36">
        <f>IFERROR(L27*(1-$Q$2),"")</f>
        <v>575.66999999999996</v>
      </c>
      <c r="R27" s="38" t="str">
        <f>IFERROR(VLOOKUP($A27,'Из Гугла'!$B:$G,6,0)*S27,VLOOKUP($A27,'Из Гугла'!$B:$G,6,0))</f>
        <v/>
      </c>
      <c r="S27" s="14">
        <v>1</v>
      </c>
      <c r="T27" s="83">
        <f>IFERROR(Q27/I27-1,"")</f>
        <v>0.64477142857142855</v>
      </c>
      <c r="U27" s="83" t="str">
        <f>IFERROR((W27-Q27)/W27,"")</f>
        <v/>
      </c>
      <c r="V27" s="83" t="str">
        <f>IFERROR(IF(W27="","",W27/I27-1),"")</f>
        <v/>
      </c>
      <c r="W27" s="84" t="s">
        <v>1269</v>
      </c>
    </row>
    <row r="28" spans="1:24" ht="45" x14ac:dyDescent="0.25">
      <c r="A28" s="80">
        <v>194063</v>
      </c>
      <c r="B28" s="80">
        <f>VLOOKUP($A28,'Выгр Кат'!$A:$R,B$1,0)</f>
        <v>18329</v>
      </c>
      <c r="C28" s="81" t="str">
        <f>VLOOKUP($A28,'Выгр Кат'!$A:$R,C$1,0)</f>
        <v>Повторители боковые с надписью PRIORA (белая подсветка) для Лада Приора, Приора 2</v>
      </c>
      <c r="D28" s="80" t="str">
        <f>VLOOKUP($A28,'Выгр Кат'!$A:$R,D$1,0)</f>
        <v>Y</v>
      </c>
      <c r="E28" s="80" t="str">
        <f>VLOOKUP($A28,'Выгр Кат'!$A:$R,E$1,0)</f>
        <v>1ск1</v>
      </c>
      <c r="F28" s="80">
        <f>VLOOKUP($A28,'Выгр Кат'!$A:$R,F$1,0)</f>
        <v>0</v>
      </c>
      <c r="G28" s="80" t="str">
        <f>VLOOKUP($A28,'Выгр Кат'!$A:$R,G$1,0)</f>
        <v>https://motorring.ru/product/21208-povtoriteli-povorotov-led-nadpisyyu-priora-lada-priora</v>
      </c>
      <c r="H28" s="67" t="s">
        <v>3</v>
      </c>
      <c r="I28" s="82">
        <v>350</v>
      </c>
      <c r="J28" s="5">
        <f>VLOOKUP(I28,Наценка!$A$1:$G$8,2,1)</f>
        <v>1.75</v>
      </c>
      <c r="K28" s="55">
        <f>W28*1.04</f>
        <v>717.6</v>
      </c>
      <c r="L28" s="70">
        <f>IF(K28&lt;=1000,(ROUNDUP(K28,-1)-1),(ROUNDUP(K28,-2)-10))</f>
        <v>719</v>
      </c>
      <c r="M28" s="80">
        <f>VLOOKUP($A28,'Выгр Кат'!$A:$R,M$1,0)</f>
        <v>350</v>
      </c>
      <c r="N28" s="80">
        <f>VLOOKUP($A28,'Выгр Кат'!$A:$R,N$1,0)</f>
        <v>719</v>
      </c>
      <c r="O28" s="28">
        <f>M28-I28</f>
        <v>0</v>
      </c>
      <c r="P28" s="28">
        <f>N28-L28</f>
        <v>0</v>
      </c>
      <c r="Q28" s="36">
        <f>IFERROR(L28*(1-$Q$2),"")</f>
        <v>668.67</v>
      </c>
      <c r="R28" s="38">
        <f>IFERROR(VLOOKUP($A28,'Из Гугла'!$B:$G,6,0)*S28,VLOOKUP($A28,'Из Гугла'!$B:$G,6,0))</f>
        <v>690</v>
      </c>
      <c r="S28" s="14">
        <v>1</v>
      </c>
      <c r="T28" s="83">
        <f>IFERROR(Q28/I28-1,"")</f>
        <v>0.91048571428571412</v>
      </c>
      <c r="U28" s="83">
        <f>IFERROR((W28-Q28)/W28,"")</f>
        <v>3.0913043478260929E-2</v>
      </c>
      <c r="V28" s="83">
        <f>IFERROR(IF(W28="","",W28/I28-1),"")</f>
        <v>0.97142857142857153</v>
      </c>
      <c r="W28" s="93">
        <v>690</v>
      </c>
      <c r="X28" s="71" t="s">
        <v>912</v>
      </c>
    </row>
    <row r="29" spans="1:24" ht="30.75" thickBot="1" x14ac:dyDescent="0.3">
      <c r="A29" s="80">
        <v>194056</v>
      </c>
      <c r="B29" s="80">
        <f>VLOOKUP($A29,'Выгр Кат'!$A:$R,B$1,0)</f>
        <v>18496</v>
      </c>
      <c r="C29" s="81" t="str">
        <f>VLOOKUP($A29,'Выгр Кат'!$A:$R,C$1,0)</f>
        <v>Повторители боковые (белые) с надписью "GRANTA" для Лада Гранта</v>
      </c>
      <c r="D29" s="80" t="str">
        <f>VLOOKUP($A29,'Выгр Кат'!$A:$R,D$1,0)</f>
        <v>Y</v>
      </c>
      <c r="E29" s="80" t="str">
        <f>VLOOKUP($A29,'Выгр Кат'!$A:$R,E$1,0)</f>
        <v>1ск1</v>
      </c>
      <c r="F29" s="80">
        <f>VLOOKUP($A29,'Выгр Кат'!$A:$R,F$1,0)</f>
        <v>0</v>
      </c>
      <c r="G29" s="80" t="str">
        <f>VLOOKUP($A29,'Выгр Кат'!$A:$R,G$1,0)</f>
        <v>https://motorring.ru/product/21211-povtoriteli-povorotov-led-nadpisyyu-granta-lada-granta</v>
      </c>
      <c r="H29" s="67" t="s">
        <v>3</v>
      </c>
      <c r="I29" s="82">
        <v>350</v>
      </c>
      <c r="J29" s="5">
        <f>VLOOKUP(I29,Наценка!$A$1:$G$8,2,1)</f>
        <v>1.75</v>
      </c>
      <c r="K29" s="55">
        <f>W29*1.04</f>
        <v>717.6</v>
      </c>
      <c r="L29" s="70">
        <f>IF(K29&lt;=1000,(ROUNDUP(K29,-1)-1),(ROUNDUP(K29,-2)-10))</f>
        <v>719</v>
      </c>
      <c r="M29" s="80">
        <f>VLOOKUP($A29,'Выгр Кат'!$A:$R,M$1,0)</f>
        <v>350</v>
      </c>
      <c r="N29" s="80">
        <f>VLOOKUP($A29,'Выгр Кат'!$A:$R,N$1,0)</f>
        <v>719</v>
      </c>
      <c r="O29" s="28">
        <f>M29-I29</f>
        <v>0</v>
      </c>
      <c r="P29" s="28">
        <f>N29-L29</f>
        <v>0</v>
      </c>
      <c r="Q29" s="36">
        <f>IFERROR(L29*(1-$Q$2),"")</f>
        <v>668.67</v>
      </c>
      <c r="R29" s="38">
        <f>IFERROR(VLOOKUP($A29,'Из Гугла'!$B:$G,6,0)*S29,VLOOKUP($A29,'Из Гугла'!$B:$G,6,0))</f>
        <v>690</v>
      </c>
      <c r="S29" s="14">
        <v>1</v>
      </c>
      <c r="T29" s="83">
        <f>IFERROR(Q29/I29-1,"")</f>
        <v>0.91048571428571412</v>
      </c>
      <c r="U29" s="83">
        <f>IFERROR((W29-Q29)/W29,"")</f>
        <v>3.0913043478260929E-2</v>
      </c>
      <c r="V29" s="83">
        <f>IFERROR(IF(W29="","",W29/I29-1),"")</f>
        <v>0.97142857142857153</v>
      </c>
      <c r="W29" s="95">
        <v>690</v>
      </c>
      <c r="X29" s="71" t="s">
        <v>913</v>
      </c>
    </row>
    <row r="30" spans="1:24" ht="75" x14ac:dyDescent="0.25">
      <c r="A30" s="80">
        <v>194073</v>
      </c>
      <c r="B30" s="80">
        <f>VLOOKUP($A30,'Выгр Кат'!$A:$R,B$1,0)</f>
        <v>18967</v>
      </c>
      <c r="C30" s="81" t="str">
        <f>VLOOKUP($A30,'Выгр Кат'!$A:$R,C$1,0)</f>
        <v>Повторители поворота боковые с гербом белая подсветка для автомобилей ВАЗ (2108-21099, 2110-2112, 2113-2115), Лада (Калина, Приора, Приора 2, Гранта)</v>
      </c>
      <c r="D30" s="80" t="str">
        <f>VLOOKUP($A30,'Выгр Кат'!$A:$R,D$1,0)</f>
        <v>Y</v>
      </c>
      <c r="E30" s="80" t="str">
        <f>VLOOKUP($A30,'Выгр Кат'!$A:$R,E$1,0)</f>
        <v>1ск1</v>
      </c>
      <c r="F30" s="80">
        <f>VLOOKUP($A30,'Выгр Кат'!$A:$R,F$1,0)</f>
        <v>0</v>
      </c>
      <c r="G30" s="80" t="str">
        <f>VLOOKUP($A30,'Выгр Кат'!$A:$R,G$1,0)</f>
        <v>https://motorring.ru/product/21669-led-povtoriteli-povorotnika-belye-gerbom-dvuglavyy-orel-vaz</v>
      </c>
      <c r="H30" s="67" t="s">
        <v>3</v>
      </c>
      <c r="I30" s="82">
        <v>350</v>
      </c>
      <c r="J30" s="5">
        <f>VLOOKUP(I30,Наценка!$A$1:$G$8,2,1)</f>
        <v>1.75</v>
      </c>
      <c r="K30" s="87">
        <f>W30*1.06</f>
        <v>625.4</v>
      </c>
      <c r="L30" s="70">
        <f>IF(K30&lt;=1000,(ROUNDUP(K30,-1)-1),(ROUNDUP(K30,-2)-10))</f>
        <v>629</v>
      </c>
      <c r="M30" s="80">
        <f>VLOOKUP($A30,'Выгр Кат'!$A:$R,M$1,0)</f>
        <v>350</v>
      </c>
      <c r="N30" s="80">
        <f>VLOOKUP($A30,'Выгр Кат'!$A:$R,N$1,0)</f>
        <v>629</v>
      </c>
      <c r="O30" s="28">
        <f>M30-I30</f>
        <v>0</v>
      </c>
      <c r="P30" s="28">
        <f>N30-L30</f>
        <v>0</v>
      </c>
      <c r="Q30" s="36">
        <f>IFERROR(L30*(1-$Q$2),"")</f>
        <v>584.96999999999991</v>
      </c>
      <c r="R30" s="38">
        <f>IFERROR(VLOOKUP($A30,'Из Гугла'!$B:$G,6,0)*S30,VLOOKUP($A30,'Из Гугла'!$B:$G,6,0))</f>
        <v>590</v>
      </c>
      <c r="S30" s="14">
        <v>1</v>
      </c>
      <c r="T30" s="83">
        <f>IFERROR(Q30/I30-1,"")</f>
        <v>0.6713428571428568</v>
      </c>
      <c r="U30" s="83">
        <f>IFERROR((W30-Q30)/W30,"")</f>
        <v>8.5254237288137063E-3</v>
      </c>
      <c r="V30" s="83">
        <f>IFERROR(IF(W30="","",W30/I30-1),"")</f>
        <v>0.68571428571428572</v>
      </c>
      <c r="W30" s="93">
        <v>590</v>
      </c>
      <c r="X30" s="71" t="s">
        <v>914</v>
      </c>
    </row>
    <row r="31" spans="1:24" ht="75.75" thickBot="1" x14ac:dyDescent="0.3">
      <c r="A31" s="80">
        <v>194074</v>
      </c>
      <c r="B31" s="80">
        <f>VLOOKUP($A31,'Выгр Кат'!$A:$R,B$1,0)</f>
        <v>18971</v>
      </c>
      <c r="C31" s="81" t="str">
        <f>VLOOKUP($A31,'Выгр Кат'!$A:$R,C$1,0)</f>
        <v>Повторители поворота боковые с гербом желтая подсветка для ВАЗ (2108-21099, 2110-2112, 2113-2115), Лада (Калина, Приора, Приора 2, Гранта)</v>
      </c>
      <c r="D31" s="80" t="str">
        <f>VLOOKUP($A31,'Выгр Кат'!$A:$R,D$1,0)</f>
        <v>Y</v>
      </c>
      <c r="E31" s="80" t="str">
        <f>VLOOKUP($A31,'Выгр Кат'!$A:$R,E$1,0)</f>
        <v>1ск1</v>
      </c>
      <c r="F31" s="80">
        <f>VLOOKUP($A31,'Выгр Кат'!$A:$R,F$1,0)</f>
        <v>0</v>
      </c>
      <c r="G31" s="80" t="str">
        <f>VLOOKUP($A31,'Выгр Кат'!$A:$R,G$1,0)</f>
        <v>https://motorring.ru/product/21668-led-povtoriteli-povorotnika-oranghevye-gerbom-dvuglavyy</v>
      </c>
      <c r="H31" s="67" t="s">
        <v>3</v>
      </c>
      <c r="I31" s="82">
        <v>350</v>
      </c>
      <c r="J31" s="5">
        <f>VLOOKUP(I31,Наценка!$A$1:$G$8,2,1)</f>
        <v>1.75</v>
      </c>
      <c r="K31" s="56">
        <f>W31*1.06</f>
        <v>666.74</v>
      </c>
      <c r="L31" s="70">
        <f>IF(K31&lt;=1000,(ROUNDUP(K31,-1)-1),(ROUNDUP(K31,-2)-10))</f>
        <v>669</v>
      </c>
      <c r="M31" s="80">
        <f>VLOOKUP($A31,'Выгр Кат'!$A:$R,M$1,0)</f>
        <v>350</v>
      </c>
      <c r="N31" s="80">
        <f>VLOOKUP($A31,'Выгр Кат'!$A:$R,N$1,0)</f>
        <v>669</v>
      </c>
      <c r="O31" s="28">
        <f>M31-I31</f>
        <v>0</v>
      </c>
      <c r="P31" s="28">
        <f>N31-L31</f>
        <v>0</v>
      </c>
      <c r="Q31" s="36">
        <f>IFERROR(L31*(1-$Q$2),"")</f>
        <v>622.16999999999996</v>
      </c>
      <c r="R31" s="38">
        <f>IFERROR(VLOOKUP($A31,'Из Гугла'!$B:$G,6,0)*S31,VLOOKUP($A31,'Из Гугла'!$B:$G,6,0))</f>
        <v>629</v>
      </c>
      <c r="S31" s="14">
        <v>1</v>
      </c>
      <c r="T31" s="83">
        <f>IFERROR(Q31/I31-1,"")</f>
        <v>0.77762857142857134</v>
      </c>
      <c r="U31" s="83">
        <f>IFERROR((W31-Q31)/W31,"")</f>
        <v>1.0858505564387982E-2</v>
      </c>
      <c r="V31" s="83">
        <f>IFERROR(IF(W31="","",W31/I31-1),"")</f>
        <v>0.79714285714285715</v>
      </c>
      <c r="W31" s="95">
        <v>629</v>
      </c>
      <c r="X31" s="71" t="s">
        <v>915</v>
      </c>
    </row>
    <row r="32" spans="1:24" ht="45" x14ac:dyDescent="0.25">
      <c r="A32" s="80">
        <v>133227</v>
      </c>
      <c r="B32" s="80">
        <f>VLOOKUP($A32,'Выгр Кат'!$A:$R,B$1,0)</f>
        <v>23933</v>
      </c>
      <c r="C32" s="81" t="str">
        <f>VLOOKUP($A32,'Выгр Кат'!$A:$R,C$1,0)</f>
        <v>Балка дополнительного освещения "27S amber" (LED, квадрат, янтарный свет)</v>
      </c>
      <c r="D32" s="80" t="str">
        <f>VLOOKUP($A32,'Выгр Кат'!$A:$R,D$1,0)</f>
        <v>Y</v>
      </c>
      <c r="E32" s="80" t="str">
        <f>VLOOKUP($A32,'Выгр Кат'!$A:$R,E$1,0)</f>
        <v>1</v>
      </c>
      <c r="F32" s="80" t="str">
        <f>VLOOKUP($A32,'Выгр Кат'!$A:$R,F$1,0)</f>
        <v>27SAmber</v>
      </c>
      <c r="G32" s="80">
        <f>VLOOKUP($A32,'Выгр Кат'!$A:$R,G$1,0)</f>
        <v>0</v>
      </c>
      <c r="H32" s="67" t="s">
        <v>3</v>
      </c>
      <c r="I32" s="82">
        <v>350</v>
      </c>
      <c r="J32" s="5">
        <f>VLOOKUP(I32,Наценка!$A$1:$G$8,2,1)</f>
        <v>1.75</v>
      </c>
      <c r="K32" s="34">
        <f>I32*J32</f>
        <v>612.5</v>
      </c>
      <c r="L32" s="70">
        <f>IF(K32&lt;=1000,(ROUNDUP(K32,-1)-1),(ROUNDUP(K32,-2)-10))</f>
        <v>619</v>
      </c>
      <c r="M32" s="80">
        <f>VLOOKUP($A32,'Выгр Кат'!$A:$R,M$1,0)</f>
        <v>350</v>
      </c>
      <c r="N32" s="80">
        <f>VLOOKUP($A32,'Выгр Кат'!$A:$R,N$1,0)</f>
        <v>619</v>
      </c>
      <c r="O32" s="28">
        <f>M32-I32</f>
        <v>0</v>
      </c>
      <c r="P32" s="28">
        <f>N32-L32</f>
        <v>0</v>
      </c>
      <c r="Q32" s="36">
        <f>IFERROR(L32*(1-$Q$2),"")</f>
        <v>575.66999999999996</v>
      </c>
      <c r="R32" s="38" t="str">
        <f>IFERROR(VLOOKUP($A32,'Из Гугла'!$B:$G,6,0)*S32,VLOOKUP($A32,'Из Гугла'!$B:$G,6,0))</f>
        <v/>
      </c>
      <c r="S32" s="14">
        <v>1</v>
      </c>
      <c r="T32" s="83">
        <f>IFERROR(Q32/I32-1,"")</f>
        <v>0.64477142857142855</v>
      </c>
      <c r="U32" s="83" t="str">
        <f>IFERROR((W32-Q32)/W32,"")</f>
        <v/>
      </c>
      <c r="V32" s="83" t="str">
        <f>IFERROR(IF(W32="","",W32/I32-1),"")</f>
        <v/>
      </c>
      <c r="W32" s="84" t="s">
        <v>1269</v>
      </c>
    </row>
    <row r="33" spans="1:24" ht="45" x14ac:dyDescent="0.25">
      <c r="A33" s="80">
        <v>133224</v>
      </c>
      <c r="B33" s="80">
        <f>VLOOKUP($A33,'Выгр Кат'!$A:$R,B$1,0)</f>
        <v>23948</v>
      </c>
      <c r="C33" s="81" t="str">
        <f>VLOOKUP($A33,'Выгр Кат'!$A:$R,C$1,0)</f>
        <v>Балка дополнительного освещения "27R Amber" (LED, круг, янтарный свет)</v>
      </c>
      <c r="D33" s="80" t="str">
        <f>VLOOKUP($A33,'Выгр Кат'!$A:$R,D$1,0)</f>
        <v>Y</v>
      </c>
      <c r="E33" s="80" t="str">
        <f>VLOOKUP($A33,'Выгр Кат'!$A:$R,E$1,0)</f>
        <v>1</v>
      </c>
      <c r="F33" s="80" t="str">
        <f>VLOOKUP($A33,'Выгр Кат'!$A:$R,F$1,0)</f>
        <v>27RAmber</v>
      </c>
      <c r="G33" s="80">
        <f>VLOOKUP($A33,'Выгр Кат'!$A:$R,G$1,0)</f>
        <v>0</v>
      </c>
      <c r="H33" s="67" t="s">
        <v>3</v>
      </c>
      <c r="I33" s="82">
        <v>350</v>
      </c>
      <c r="J33" s="5">
        <f>VLOOKUP(I33,Наценка!$A$1:$G$8,2,1)</f>
        <v>1.75</v>
      </c>
      <c r="K33" s="34">
        <f>I33*J33</f>
        <v>612.5</v>
      </c>
      <c r="L33" s="70">
        <f>IF(K33&lt;=1000,(ROUNDUP(K33,-1)-1),(ROUNDUP(K33,-2)-10))</f>
        <v>619</v>
      </c>
      <c r="M33" s="80">
        <f>VLOOKUP($A33,'Выгр Кат'!$A:$R,M$1,0)</f>
        <v>350</v>
      </c>
      <c r="N33" s="80">
        <f>VLOOKUP($A33,'Выгр Кат'!$A:$R,N$1,0)</f>
        <v>619</v>
      </c>
      <c r="O33" s="28">
        <f>M33-I33</f>
        <v>0</v>
      </c>
      <c r="P33" s="28">
        <f>N33-L33</f>
        <v>0</v>
      </c>
      <c r="Q33" s="36">
        <f>IFERROR(L33*(1-$Q$2),"")</f>
        <v>575.66999999999996</v>
      </c>
      <c r="R33" s="38" t="str">
        <f>IFERROR(VLOOKUP($A33,'Из Гугла'!$B:$G,6,0)*S33,VLOOKUP($A33,'Из Гугла'!$B:$G,6,0))</f>
        <v/>
      </c>
      <c r="S33" s="14">
        <v>1</v>
      </c>
      <c r="T33" s="83">
        <f>IFERROR(Q33/I33-1,"")</f>
        <v>0.64477142857142855</v>
      </c>
      <c r="U33" s="83" t="str">
        <f>IFERROR((W33-Q33)/W33,"")</f>
        <v/>
      </c>
      <c r="V33" s="83" t="str">
        <f>IFERROR(IF(W33="","",W33/I33-1),"")</f>
        <v/>
      </c>
      <c r="W33" s="84" t="s">
        <v>1269</v>
      </c>
    </row>
    <row r="34" spans="1:24" ht="30" x14ac:dyDescent="0.25">
      <c r="A34" s="80">
        <v>194061</v>
      </c>
      <c r="B34" s="80">
        <f>VLOOKUP($A34,'Выгр Кат'!$A:$R,B$1,0)</f>
        <v>24665</v>
      </c>
      <c r="C34" s="81" t="str">
        <f>VLOOKUP($A34,'Выгр Кат'!$A:$R,C$1,0)</f>
        <v>Повторители боковые (жёлтые) с надписью "GRANTA" для Лада Гранта</v>
      </c>
      <c r="D34" s="80" t="str">
        <f>VLOOKUP($A34,'Выгр Кат'!$A:$R,D$1,0)</f>
        <v>Y</v>
      </c>
      <c r="E34" s="80" t="str">
        <f>VLOOKUP($A34,'Выгр Кат'!$A:$R,E$1,0)</f>
        <v>1ск1</v>
      </c>
      <c r="F34" s="80">
        <f>VLOOKUP($A34,'Выгр Кат'!$A:$R,F$1,0)</f>
        <v>0</v>
      </c>
      <c r="G34" s="80" t="str">
        <f>VLOOKUP($A34,'Выгр Кат'!$A:$R,G$1,0)</f>
        <v>https://motorring.ru/product/6424-diodnye-povtoriteli-nadpisyyu-granta-dlya-lada-granta</v>
      </c>
      <c r="H34" s="67" t="s">
        <v>3</v>
      </c>
      <c r="I34" s="82">
        <v>350</v>
      </c>
      <c r="J34" s="5">
        <f>VLOOKUP(I34,Наценка!$A$1:$G$8,2,1)</f>
        <v>1.75</v>
      </c>
      <c r="K34" s="87">
        <f>W34*1.06</f>
        <v>625.4</v>
      </c>
      <c r="L34" s="70">
        <f>IF(K34&lt;=1000,(ROUNDUP(K34,-1)-1),(ROUNDUP(K34,-2)-10))</f>
        <v>629</v>
      </c>
      <c r="M34" s="80">
        <f>VLOOKUP($A34,'Выгр Кат'!$A:$R,M$1,0)</f>
        <v>350</v>
      </c>
      <c r="N34" s="80">
        <f>VLOOKUP($A34,'Выгр Кат'!$A:$R,N$1,0)</f>
        <v>629</v>
      </c>
      <c r="O34" s="28">
        <f>M34-I34</f>
        <v>0</v>
      </c>
      <c r="P34" s="28">
        <f>N34-L34</f>
        <v>0</v>
      </c>
      <c r="Q34" s="36">
        <f>IFERROR(L34*(1-$Q$2),"")</f>
        <v>584.96999999999991</v>
      </c>
      <c r="R34" s="38">
        <f>IFERROR(VLOOKUP($A34,'Из Гугла'!$B:$G,6,0)*S34,VLOOKUP($A34,'Из Гугла'!$B:$G,6,0))</f>
        <v>590</v>
      </c>
      <c r="S34" s="14">
        <v>1</v>
      </c>
      <c r="T34" s="83">
        <f>IFERROR(Q34/I34-1,"")</f>
        <v>0.6713428571428568</v>
      </c>
      <c r="U34" s="83">
        <f>IFERROR((W34-Q34)/W34,"")</f>
        <v>8.5254237288137063E-3</v>
      </c>
      <c r="V34" s="83">
        <f>IFERROR(IF(W34="","",W34/I34-1),"")</f>
        <v>0.68571428571428572</v>
      </c>
      <c r="W34" s="93">
        <v>590</v>
      </c>
      <c r="X34" s="71" t="s">
        <v>916</v>
      </c>
    </row>
    <row r="35" spans="1:24" ht="45" x14ac:dyDescent="0.25">
      <c r="A35" s="80">
        <v>194064</v>
      </c>
      <c r="B35" s="80">
        <f>VLOOKUP($A35,'Выгр Кат'!$A:$R,B$1,0)</f>
        <v>33405</v>
      </c>
      <c r="C35" s="81" t="str">
        <f>VLOOKUP($A35,'Выгр Кат'!$A:$R,C$1,0)</f>
        <v>Повторители боковые с надписью PRIORA (жёлтая подсветка) для Лада Приора, Приора 2</v>
      </c>
      <c r="D35" s="80" t="str">
        <f>VLOOKUP($A35,'Выгр Кат'!$A:$R,D$1,0)</f>
        <v>Y</v>
      </c>
      <c r="E35" s="80" t="str">
        <f>VLOOKUP($A35,'Выгр Кат'!$A:$R,E$1,0)</f>
        <v>1ск1</v>
      </c>
      <c r="F35" s="80">
        <f>VLOOKUP($A35,'Выгр Кат'!$A:$R,F$1,0)</f>
        <v>0</v>
      </c>
      <c r="G35" s="80" t="str">
        <f>VLOOKUP($A35,'Выгр Кат'!$A:$R,G$1,0)</f>
        <v>https://motorring.ru/product/6425-diodnye-povtoriteli-nadpisyyu-priora-dlya-lada-priora</v>
      </c>
      <c r="H35" s="67" t="s">
        <v>3</v>
      </c>
      <c r="I35" s="82">
        <v>350</v>
      </c>
      <c r="J35" s="5">
        <f>VLOOKUP(I35,Наценка!$A$1:$G$8,2,1)</f>
        <v>1.75</v>
      </c>
      <c r="K35" s="53">
        <f>W35*1</f>
        <v>990</v>
      </c>
      <c r="L35" s="70">
        <f>IF(K35&lt;=1000,(ROUNDUP(K35,-1)-1),(ROUNDUP(K35,-2)-10))</f>
        <v>989</v>
      </c>
      <c r="M35" s="80">
        <f>VLOOKUP($A35,'Выгр Кат'!$A:$R,M$1,0)</f>
        <v>350</v>
      </c>
      <c r="N35" s="80">
        <f>VLOOKUP($A35,'Выгр Кат'!$A:$R,N$1,0)</f>
        <v>989</v>
      </c>
      <c r="O35" s="28">
        <f>M35-I35</f>
        <v>0</v>
      </c>
      <c r="P35" s="28">
        <f>N35-L35</f>
        <v>0</v>
      </c>
      <c r="Q35" s="36">
        <f>IFERROR(L35*(1-$Q$2),"")</f>
        <v>919.77</v>
      </c>
      <c r="R35" s="38">
        <f>IFERROR(VLOOKUP($A35,'Из Гугла'!$B:$G,6,0)*S35,VLOOKUP($A35,'Из Гугла'!$B:$G,6,0))</f>
        <v>990</v>
      </c>
      <c r="S35" s="14">
        <v>1</v>
      </c>
      <c r="T35" s="83">
        <f>IFERROR(Q35/I35-1,"")</f>
        <v>1.6279142857142856</v>
      </c>
      <c r="U35" s="83">
        <f>IFERROR((W35-Q35)/W35,"")</f>
        <v>7.0939393939393955E-2</v>
      </c>
      <c r="V35" s="83">
        <f>IFERROR(IF(W35="","",W35/I35-1),"")</f>
        <v>1.8285714285714287</v>
      </c>
      <c r="W35" s="93">
        <v>990</v>
      </c>
      <c r="X35" s="71" t="s">
        <v>917</v>
      </c>
    </row>
    <row r="36" spans="1:24" ht="30" x14ac:dyDescent="0.25">
      <c r="A36" s="80">
        <v>224467</v>
      </c>
      <c r="B36" s="80">
        <f>VLOOKUP($A36,'Выгр Кат'!$A:$R,B$1,0)</f>
        <v>34599</v>
      </c>
      <c r="C36" s="81" t="str">
        <f>VLOOKUP($A36,'Выгр Кат'!$A:$R,C$1,0)</f>
        <v>Ходовые огни 18 LED, 12V, 192 мм (металлический корпус)</v>
      </c>
      <c r="D36" s="80" t="str">
        <f>VLOOKUP($A36,'Выгр Кат'!$A:$R,D$1,0)</f>
        <v>Y</v>
      </c>
      <c r="E36" s="80" t="str">
        <f>VLOOKUP($A36,'Выгр Кат'!$A:$R,E$1,0)</f>
        <v>1</v>
      </c>
      <c r="F36" s="80">
        <f>VLOOKUP($A36,'Выгр Кат'!$A:$R,F$1,0)</f>
        <v>0</v>
      </c>
      <c r="G36" s="80">
        <f>VLOOKUP($A36,'Выгр Кат'!$A:$R,G$1,0)</f>
        <v>0</v>
      </c>
      <c r="H36" s="67" t="s">
        <v>3</v>
      </c>
      <c r="I36" s="82">
        <v>350</v>
      </c>
      <c r="J36" s="5">
        <f>VLOOKUP(I36,Наценка!$A$1:$G$8,2,1)</f>
        <v>1.75</v>
      </c>
      <c r="K36" s="34">
        <f>I36*J36</f>
        <v>612.5</v>
      </c>
      <c r="L36" s="70">
        <f>IF(K36&lt;=1000,(ROUNDUP(K36,-1)-1),(ROUNDUP(K36,-2)-10))</f>
        <v>619</v>
      </c>
      <c r="M36" s="80">
        <f>VLOOKUP($A36,'Выгр Кат'!$A:$R,M$1,0)</f>
        <v>350</v>
      </c>
      <c r="N36" s="80">
        <f>VLOOKUP($A36,'Выгр Кат'!$A:$R,N$1,0)</f>
        <v>619</v>
      </c>
      <c r="O36" s="28">
        <f>M36-I36</f>
        <v>0</v>
      </c>
      <c r="P36" s="28">
        <f>N36-L36</f>
        <v>0</v>
      </c>
      <c r="Q36" s="36">
        <f>IFERROR(L36*(1-$Q$2),"")</f>
        <v>575.66999999999996</v>
      </c>
      <c r="R36" s="38" t="str">
        <f>IFERROR(VLOOKUP($A36,'Из Гугла'!$B:$G,6,0)*S36,VLOOKUP($A36,'Из Гугла'!$B:$G,6,0))</f>
        <v/>
      </c>
      <c r="S36" s="14">
        <v>1</v>
      </c>
      <c r="T36" s="83">
        <f>IFERROR(Q36/I36-1,"")</f>
        <v>0.64477142857142855</v>
      </c>
      <c r="U36" s="83" t="str">
        <f>IFERROR((W36-Q36)/W36,"")</f>
        <v/>
      </c>
      <c r="V36" s="83" t="str">
        <f>IFERROR(IF(W36="","",W36/I36-1),"")</f>
        <v/>
      </c>
      <c r="W36" s="84" t="s">
        <v>1269</v>
      </c>
    </row>
    <row r="37" spans="1:24" ht="30.75" thickBot="1" x14ac:dyDescent="0.3">
      <c r="A37" s="80">
        <v>133241</v>
      </c>
      <c r="B37" s="80">
        <f>VLOOKUP($A37,'Выгр Кат'!$A:$R,B$1,0)</f>
        <v>37943</v>
      </c>
      <c r="C37" s="81" t="str">
        <f>VLOOKUP($A37,'Выгр Кат'!$A:$R,C$1,0)</f>
        <v>Балка дополнительного освещения "48S mini flash" (LED)</v>
      </c>
      <c r="D37" s="80" t="str">
        <f>VLOOKUP($A37,'Выгр Кат'!$A:$R,D$1,0)</f>
        <v>Y</v>
      </c>
      <c r="E37" s="80" t="str">
        <f>VLOOKUP($A37,'Выгр Кат'!$A:$R,E$1,0)</f>
        <v>1</v>
      </c>
      <c r="F37" s="80" t="str">
        <f>VLOOKUP($A37,'Выгр Кат'!$A:$R,F$1,0)</f>
        <v>FL-48S MINI</v>
      </c>
      <c r="G37" s="80">
        <f>VLOOKUP($A37,'Выгр Кат'!$A:$R,G$1,0)</f>
        <v>0</v>
      </c>
      <c r="H37" s="67" t="s">
        <v>3</v>
      </c>
      <c r="I37" s="82">
        <v>350</v>
      </c>
      <c r="J37" s="5">
        <f>VLOOKUP(I37,Наценка!$A$1:$G$8,2,1)</f>
        <v>1.75</v>
      </c>
      <c r="K37" s="88">
        <f>I37*J37</f>
        <v>612.5</v>
      </c>
      <c r="L37" s="70">
        <f>IF(K37&lt;=1000,(ROUNDUP(K37,-1)-1),(ROUNDUP(K37,-2)-10))</f>
        <v>619</v>
      </c>
      <c r="M37" s="80">
        <f>VLOOKUP($A37,'Выгр Кат'!$A:$R,M$1,0)</f>
        <v>350</v>
      </c>
      <c r="N37" s="80">
        <f>VLOOKUP($A37,'Выгр Кат'!$A:$R,N$1,0)</f>
        <v>619</v>
      </c>
      <c r="O37" s="28">
        <f>M37-I37</f>
        <v>0</v>
      </c>
      <c r="P37" s="28">
        <f>N37-L37</f>
        <v>0</v>
      </c>
      <c r="Q37" s="36">
        <f>IFERROR(L37*(1-$Q$2),"")</f>
        <v>575.66999999999996</v>
      </c>
      <c r="R37" s="38" t="str">
        <f>IFERROR(VLOOKUP($A37,'Из Гугла'!$B:$G,6,0)*S37,VLOOKUP($A37,'Из Гугла'!$B:$G,6,0))</f>
        <v/>
      </c>
      <c r="S37" s="14">
        <v>1</v>
      </c>
      <c r="T37" s="83">
        <f>IFERROR(Q37/I37-1,"")</f>
        <v>0.64477142857142855</v>
      </c>
      <c r="U37" s="83" t="str">
        <f>IFERROR((W37-Q37)/W37,"")</f>
        <v/>
      </c>
      <c r="V37" s="83" t="str">
        <f>IFERROR(IF(W37="","",W37/I37-1),"")</f>
        <v/>
      </c>
      <c r="W37" s="94" t="s">
        <v>1269</v>
      </c>
    </row>
    <row r="38" spans="1:24" ht="30.75" thickBot="1" x14ac:dyDescent="0.3">
      <c r="A38" s="80">
        <v>133236</v>
      </c>
      <c r="B38" s="80">
        <f>VLOOKUP($A38,'Выгр Кат'!$A:$R,B$1,0)</f>
        <v>37941</v>
      </c>
      <c r="C38" s="81" t="str">
        <f>VLOOKUP($A38,'Выгр Кат'!$A:$R,C$1,0)</f>
        <v>Балка дополнительного освещения "42R mini WWF" (LED)</v>
      </c>
      <c r="D38" s="80" t="str">
        <f>VLOOKUP($A38,'Выгр Кат'!$A:$R,D$1,0)</f>
        <v>Y</v>
      </c>
      <c r="E38" s="80" t="str">
        <f>VLOOKUP($A38,'Выгр Кат'!$A:$R,E$1,0)</f>
        <v>1</v>
      </c>
      <c r="F38" s="80" t="str">
        <f>VLOOKUP($A38,'Выгр Кат'!$A:$R,F$1,0)</f>
        <v>FL-42R MINI WWF</v>
      </c>
      <c r="G38" s="80">
        <f>VLOOKUP($A38,'Выгр Кат'!$A:$R,G$1,0)</f>
        <v>0</v>
      </c>
      <c r="H38" s="67" t="s">
        <v>3</v>
      </c>
      <c r="I38" s="82">
        <v>350</v>
      </c>
      <c r="J38" s="5">
        <f>VLOOKUP(I38,Наценка!$A$1:$G$8,2,1)</f>
        <v>1.75</v>
      </c>
      <c r="K38" s="88">
        <f>I38*J38</f>
        <v>612.5</v>
      </c>
      <c r="L38" s="70">
        <f>IF(K38&lt;=1000,(ROUNDUP(K38,-1)-1),(ROUNDUP(K38,-2)-10))</f>
        <v>619</v>
      </c>
      <c r="M38" s="80">
        <f>VLOOKUP($A38,'Выгр Кат'!$A:$R,M$1,0)</f>
        <v>350</v>
      </c>
      <c r="N38" s="80">
        <f>VLOOKUP($A38,'Выгр Кат'!$A:$R,N$1,0)</f>
        <v>619</v>
      </c>
      <c r="O38" s="28">
        <f>M38-I38</f>
        <v>0</v>
      </c>
      <c r="P38" s="28">
        <f>N38-L38</f>
        <v>0</v>
      </c>
      <c r="Q38" s="36">
        <f>IFERROR(L38*(1-$Q$2),"")</f>
        <v>575.66999999999996</v>
      </c>
      <c r="R38" s="38" t="str">
        <f>IFERROR(VLOOKUP($A38,'Из Гугла'!$B:$G,6,0)*S38,VLOOKUP($A38,'Из Гугла'!$B:$G,6,0))</f>
        <v/>
      </c>
      <c r="S38" s="14">
        <v>1</v>
      </c>
      <c r="T38" s="83">
        <f>IFERROR(Q38/I38-1,"")</f>
        <v>0.64477142857142855</v>
      </c>
      <c r="U38" s="83" t="str">
        <f>IFERROR((W38-Q38)/W38,"")</f>
        <v/>
      </c>
      <c r="V38" s="83" t="str">
        <f>IFERROR(IF(W38="","",W38/I38-1),"")</f>
        <v/>
      </c>
      <c r="W38" s="94" t="s">
        <v>1269</v>
      </c>
    </row>
    <row r="39" spans="1:24" ht="45.75" thickBot="1" x14ac:dyDescent="0.3">
      <c r="A39" s="80">
        <v>133275</v>
      </c>
      <c r="B39" s="80">
        <f>VLOOKUP($A39,'Выгр Кат'!$A:$R,B$1,0)</f>
        <v>23950</v>
      </c>
      <c r="C39" s="81" t="str">
        <f>VLOOKUP($A39,'Выгр Кат'!$A:$R,C$1,0)</f>
        <v>Балка дополнительного освещения "I-90" (противотуманная, LED, комбинированный свет)</v>
      </c>
      <c r="D39" s="80" t="str">
        <f>VLOOKUP($A39,'Выгр Кат'!$A:$R,D$1,0)</f>
        <v>Y</v>
      </c>
      <c r="E39" s="80" t="str">
        <f>VLOOKUP($A39,'Выгр Кат'!$A:$R,E$1,0)</f>
        <v>1</v>
      </c>
      <c r="F39" s="80" t="str">
        <f>VLOOKUP($A39,'Выгр Кат'!$A:$R,F$1,0)</f>
        <v>I-90</v>
      </c>
      <c r="G39" s="80">
        <f>VLOOKUP($A39,'Выгр Кат'!$A:$R,G$1,0)</f>
        <v>0</v>
      </c>
      <c r="H39" s="67" t="s">
        <v>3</v>
      </c>
      <c r="I39" s="82">
        <v>400</v>
      </c>
      <c r="J39" s="5">
        <f>VLOOKUP(I39,Наценка!$A$1:$G$8,2,1)</f>
        <v>1.75</v>
      </c>
      <c r="K39" s="88">
        <f>I39*J39</f>
        <v>700</v>
      </c>
      <c r="L39" s="70">
        <f>IF(K39&lt;=1000,(ROUNDUP(K39,-1)-1),(ROUNDUP(K39,-2)-10))</f>
        <v>699</v>
      </c>
      <c r="M39" s="80">
        <f>VLOOKUP($A39,'Выгр Кат'!$A:$R,M$1,0)</f>
        <v>400</v>
      </c>
      <c r="N39" s="80">
        <f>VLOOKUP($A39,'Выгр Кат'!$A:$R,N$1,0)</f>
        <v>699</v>
      </c>
      <c r="O39" s="28">
        <f>M39-I39</f>
        <v>0</v>
      </c>
      <c r="P39" s="28">
        <f>N39-L39</f>
        <v>0</v>
      </c>
      <c r="Q39" s="36">
        <f>IFERROR(L39*(1-$Q$2),"")</f>
        <v>650.06999999999994</v>
      </c>
      <c r="R39" s="38" t="str">
        <f>IFERROR(VLOOKUP($A39,'Из Гугла'!$B:$G,6,0)*S39,VLOOKUP($A39,'Из Гугла'!$B:$G,6,0))</f>
        <v/>
      </c>
      <c r="S39" s="14">
        <v>1</v>
      </c>
      <c r="T39" s="83">
        <f>IFERROR(Q39/I39-1,"")</f>
        <v>0.62517499999999981</v>
      </c>
      <c r="U39" s="83" t="str">
        <f>IFERROR((W39-Q39)/W39,"")</f>
        <v/>
      </c>
      <c r="V39" s="83" t="str">
        <f>IFERROR(IF(W39="","",W39/I39-1),"")</f>
        <v/>
      </c>
      <c r="W39" s="94" t="s">
        <v>1269</v>
      </c>
    </row>
    <row r="40" spans="1:24" ht="45.75" thickBot="1" x14ac:dyDescent="0.3">
      <c r="A40" s="80">
        <v>133239</v>
      </c>
      <c r="B40" s="80">
        <f>VLOOKUP($A40,'Выгр Кат'!$A:$R,B$1,0)</f>
        <v>23952</v>
      </c>
      <c r="C40" s="81" t="str">
        <f>VLOOKUP($A40,'Выгр Кат'!$A:$R,C$1,0)</f>
        <v>Балка дополнительного освещения "42R1" (LED, комбинированный свет, круг)</v>
      </c>
      <c r="D40" s="80" t="str">
        <f>VLOOKUP($A40,'Выгр Кат'!$A:$R,D$1,0)</f>
        <v>Y</v>
      </c>
      <c r="E40" s="80" t="str">
        <f>VLOOKUP($A40,'Выгр Кат'!$A:$R,E$1,0)</f>
        <v>1</v>
      </c>
      <c r="F40" s="80" t="str">
        <f>VLOOKUP($A40,'Выгр Кат'!$A:$R,F$1,0)</f>
        <v>42R1</v>
      </c>
      <c r="G40" s="80">
        <f>VLOOKUP($A40,'Выгр Кат'!$A:$R,G$1,0)</f>
        <v>0</v>
      </c>
      <c r="H40" s="67" t="s">
        <v>3</v>
      </c>
      <c r="I40" s="82">
        <v>400</v>
      </c>
      <c r="J40" s="5">
        <f>VLOOKUP(I40,Наценка!$A$1:$G$8,2,1)</f>
        <v>1.75</v>
      </c>
      <c r="K40" s="88">
        <f>I40*J40</f>
        <v>700</v>
      </c>
      <c r="L40" s="70">
        <f>IF(K40&lt;=1000,(ROUNDUP(K40,-1)-1),(ROUNDUP(K40,-2)-10))</f>
        <v>699</v>
      </c>
      <c r="M40" s="80">
        <f>VLOOKUP($A40,'Выгр Кат'!$A:$R,M$1,0)</f>
        <v>400</v>
      </c>
      <c r="N40" s="80">
        <f>VLOOKUP($A40,'Выгр Кат'!$A:$R,N$1,0)</f>
        <v>699</v>
      </c>
      <c r="O40" s="28">
        <f>M40-I40</f>
        <v>0</v>
      </c>
      <c r="P40" s="28">
        <f>N40-L40</f>
        <v>0</v>
      </c>
      <c r="Q40" s="36">
        <f>IFERROR(L40*(1-$Q$2),"")</f>
        <v>650.06999999999994</v>
      </c>
      <c r="R40" s="38" t="str">
        <f>IFERROR(VLOOKUP($A40,'Из Гугла'!$B:$G,6,0)*S40,VLOOKUP($A40,'Из Гугла'!$B:$G,6,0))</f>
        <v/>
      </c>
      <c r="S40" s="14">
        <v>1</v>
      </c>
      <c r="T40" s="83">
        <f>IFERROR(Q40/I40-1,"")</f>
        <v>0.62517499999999981</v>
      </c>
      <c r="U40" s="83" t="str">
        <f>IFERROR((W40-Q40)/W40,"")</f>
        <v/>
      </c>
      <c r="V40" s="83" t="str">
        <f>IFERROR(IF(W40="","",W40/I40-1),"")</f>
        <v/>
      </c>
      <c r="W40" s="94" t="s">
        <v>1269</v>
      </c>
    </row>
    <row r="41" spans="1:24" ht="30" x14ac:dyDescent="0.25">
      <c r="A41" s="80">
        <v>133226</v>
      </c>
      <c r="B41" s="80">
        <f>VLOOKUP($A41,'Выгр Кат'!$A:$R,B$1,0)</f>
        <v>23968</v>
      </c>
      <c r="C41" s="81" t="str">
        <f>VLOOKUP($A41,'Выгр Кат'!$A:$R,C$1,0)</f>
        <v>Балка дополнительного освещения "27R" (белый свет, LED)</v>
      </c>
      <c r="D41" s="80" t="str">
        <f>VLOOKUP($A41,'Выгр Кат'!$A:$R,D$1,0)</f>
        <v>Y</v>
      </c>
      <c r="E41" s="80" t="str">
        <f>VLOOKUP($A41,'Выгр Кат'!$A:$R,E$1,0)</f>
        <v>1</v>
      </c>
      <c r="F41" s="80" t="str">
        <f>VLOOKUP($A41,'Выгр Кат'!$A:$R,F$1,0)</f>
        <v>27R white</v>
      </c>
      <c r="G41" s="80" t="str">
        <f>VLOOKUP($A41,'Выгр Кат'!$A:$R,G$1,0)</f>
        <v>https://motorring.ru/product/11746-diodnaya-balka-27w-b-dalyniy-3vt</v>
      </c>
      <c r="H41" s="67" t="s">
        <v>3</v>
      </c>
      <c r="I41" s="82">
        <v>400</v>
      </c>
      <c r="J41" s="5">
        <f>VLOOKUP(I41,Наценка!$A$1:$G$8,2,1)</f>
        <v>1.75</v>
      </c>
      <c r="K41" s="87">
        <f>W41*1.06</f>
        <v>793.94</v>
      </c>
      <c r="L41" s="70">
        <f>IF(K41&lt;=1000,(ROUNDUP(K41,-1)-1),(ROUNDUP(K41,-2)-10))</f>
        <v>799</v>
      </c>
      <c r="M41" s="80">
        <f>VLOOKUP($A41,'Выгр Кат'!$A:$R,M$1,0)</f>
        <v>400</v>
      </c>
      <c r="N41" s="80">
        <f>VLOOKUP($A41,'Выгр Кат'!$A:$R,N$1,0)</f>
        <v>799</v>
      </c>
      <c r="O41" s="28">
        <f>M41-I41</f>
        <v>0</v>
      </c>
      <c r="P41" s="28">
        <f>N41-L41</f>
        <v>0</v>
      </c>
      <c r="Q41" s="36">
        <f>IFERROR(L41*(1-$Q$2),"")</f>
        <v>743.06999999999994</v>
      </c>
      <c r="R41" s="38">
        <f>IFERROR(VLOOKUP($A41,'Из Гугла'!$B:$G,6,0)*S41,VLOOKUP($A41,'Из Гугла'!$B:$G,6,0))</f>
        <v>749</v>
      </c>
      <c r="S41" s="14">
        <v>1</v>
      </c>
      <c r="T41" s="83">
        <f>IFERROR(Q41/I41-1,"")</f>
        <v>0.85767499999999974</v>
      </c>
      <c r="U41" s="83">
        <f>IFERROR((W41-Q41)/W41,"")</f>
        <v>7.9172229639520204E-3</v>
      </c>
      <c r="V41" s="83">
        <f>IFERROR(IF(W41="","",W41/I41-1),"")</f>
        <v>0.87250000000000005</v>
      </c>
      <c r="W41" s="93">
        <v>749</v>
      </c>
      <c r="X41" s="71" t="s">
        <v>919</v>
      </c>
    </row>
    <row r="42" spans="1:24" ht="45" x14ac:dyDescent="0.25">
      <c r="A42" s="80">
        <v>133230</v>
      </c>
      <c r="B42" s="80">
        <f>VLOOKUP($A42,'Выгр Кат'!$A:$R,B$1,0)</f>
        <v>23992</v>
      </c>
      <c r="C42" s="81" t="str">
        <f>VLOOKUP($A42,'Выгр Кат'!$A:$R,C$1,0)</f>
        <v>Балка дополнительного освещения "30L2" (противотуманная, LED, прямоугольный, белый свет)</v>
      </c>
      <c r="D42" s="80" t="str">
        <f>VLOOKUP($A42,'Выгр Кат'!$A:$R,D$1,0)</f>
        <v>Y</v>
      </c>
      <c r="E42" s="80" t="str">
        <f>VLOOKUP($A42,'Выгр Кат'!$A:$R,E$1,0)</f>
        <v>1</v>
      </c>
      <c r="F42" s="80" t="str">
        <f>VLOOKUP($A42,'Выгр Кат'!$A:$R,F$1,0)</f>
        <v>30L2</v>
      </c>
      <c r="G42" s="80">
        <f>VLOOKUP($A42,'Выгр Кат'!$A:$R,G$1,0)</f>
        <v>0</v>
      </c>
      <c r="H42" s="67" t="s">
        <v>3</v>
      </c>
      <c r="I42" s="82">
        <v>400</v>
      </c>
      <c r="J42" s="5">
        <f>VLOOKUP(I42,Наценка!$A$1:$G$8,2,1)</f>
        <v>1.75</v>
      </c>
      <c r="K42" s="34">
        <f>I42*J42</f>
        <v>700</v>
      </c>
      <c r="L42" s="70">
        <f>IF(K42&lt;=1000,(ROUNDUP(K42,-1)-1),(ROUNDUP(K42,-2)-10))</f>
        <v>699</v>
      </c>
      <c r="M42" s="80">
        <f>VLOOKUP($A42,'Выгр Кат'!$A:$R,M$1,0)</f>
        <v>400</v>
      </c>
      <c r="N42" s="80">
        <f>VLOOKUP($A42,'Выгр Кат'!$A:$R,N$1,0)</f>
        <v>699</v>
      </c>
      <c r="O42" s="28">
        <f>M42-I42</f>
        <v>0</v>
      </c>
      <c r="P42" s="28">
        <f>N42-L42</f>
        <v>0</v>
      </c>
      <c r="Q42" s="36">
        <f>IFERROR(L42*(1-$Q$2),"")</f>
        <v>650.06999999999994</v>
      </c>
      <c r="R42" s="38" t="str">
        <f>IFERROR(VLOOKUP($A42,'Из Гугла'!$B:$G,6,0)*S42,VLOOKUP($A42,'Из Гугла'!$B:$G,6,0))</f>
        <v/>
      </c>
      <c r="S42" s="14">
        <v>1</v>
      </c>
      <c r="T42" s="83">
        <f>IFERROR(Q42/I42-1,"")</f>
        <v>0.62517499999999981</v>
      </c>
      <c r="U42" s="83" t="str">
        <f>IFERROR((W42-Q42)/W42,"")</f>
        <v/>
      </c>
      <c r="V42" s="83" t="str">
        <f>IFERROR(IF(W42="","",W42/I42-1),"")</f>
        <v/>
      </c>
      <c r="W42" s="84" t="s">
        <v>1269</v>
      </c>
    </row>
    <row r="43" spans="1:24" ht="45.75" thickBot="1" x14ac:dyDescent="0.3">
      <c r="A43" s="80">
        <v>133231</v>
      </c>
      <c r="B43" s="80">
        <f>VLOOKUP($A43,'Выгр Кат'!$A:$R,B$1,0)</f>
        <v>23993</v>
      </c>
      <c r="C43" s="81" t="str">
        <f>VLOOKUP($A43,'Выгр Кат'!$A:$R,C$1,0)</f>
        <v>Балка дополнительного освещения "30R1" (противотуманная, LED, прямоугольный, белый свет)</v>
      </c>
      <c r="D43" s="80" t="str">
        <f>VLOOKUP($A43,'Выгр Кат'!$A:$R,D$1,0)</f>
        <v>Y</v>
      </c>
      <c r="E43" s="80" t="str">
        <f>VLOOKUP($A43,'Выгр Кат'!$A:$R,E$1,0)</f>
        <v>1</v>
      </c>
      <c r="F43" s="80" t="str">
        <f>VLOOKUP($A43,'Выгр Кат'!$A:$R,F$1,0)</f>
        <v>30R1</v>
      </c>
      <c r="G43" s="80">
        <f>VLOOKUP($A43,'Выгр Кат'!$A:$R,G$1,0)</f>
        <v>0</v>
      </c>
      <c r="H43" s="67" t="s">
        <v>3</v>
      </c>
      <c r="I43" s="82">
        <v>400</v>
      </c>
      <c r="J43" s="5">
        <f>VLOOKUP(I43,Наценка!$A$1:$G$8,2,1)</f>
        <v>1.75</v>
      </c>
      <c r="K43" s="88">
        <f>I43*J43</f>
        <v>700</v>
      </c>
      <c r="L43" s="70">
        <f>IF(K43&lt;=1000,(ROUNDUP(K43,-1)-1),(ROUNDUP(K43,-2)-10))</f>
        <v>699</v>
      </c>
      <c r="M43" s="80">
        <f>VLOOKUP($A43,'Выгр Кат'!$A:$R,M$1,0)</f>
        <v>400</v>
      </c>
      <c r="N43" s="80">
        <f>VLOOKUP($A43,'Выгр Кат'!$A:$R,N$1,0)</f>
        <v>699</v>
      </c>
      <c r="O43" s="28">
        <f>M43-I43</f>
        <v>0</v>
      </c>
      <c r="P43" s="28">
        <f>N43-L43</f>
        <v>0</v>
      </c>
      <c r="Q43" s="36">
        <f>IFERROR(L43*(1-$Q$2),"")</f>
        <v>650.06999999999994</v>
      </c>
      <c r="R43" s="38" t="str">
        <f>IFERROR(VLOOKUP($A43,'Из Гугла'!$B:$G,6,0)*S43,VLOOKUP($A43,'Из Гугла'!$B:$G,6,0))</f>
        <v/>
      </c>
      <c r="S43" s="14">
        <v>1</v>
      </c>
      <c r="T43" s="83">
        <f>IFERROR(Q43/I43-1,"")</f>
        <v>0.62517499999999981</v>
      </c>
      <c r="U43" s="83" t="str">
        <f>IFERROR((W43-Q43)/W43,"")</f>
        <v/>
      </c>
      <c r="V43" s="83" t="str">
        <f>IFERROR(IF(W43="","",W43/I43-1),"")</f>
        <v/>
      </c>
      <c r="W43" s="94" t="s">
        <v>1269</v>
      </c>
    </row>
    <row r="44" spans="1:24" ht="45.75" thickBot="1" x14ac:dyDescent="0.3">
      <c r="A44" s="80">
        <v>133234</v>
      </c>
      <c r="B44" s="80">
        <f>VLOOKUP($A44,'Выгр Кат'!$A:$R,B$1,0)</f>
        <v>23995</v>
      </c>
      <c r="C44" s="81" t="str">
        <f>VLOOKUP($A44,'Выгр Кат'!$A:$R,C$1,0)</f>
        <v>Балка дополнительного освещения "327S" (LED, комбинированный свет, квадрат)</v>
      </c>
      <c r="D44" s="80" t="str">
        <f>VLOOKUP($A44,'Выгр Кат'!$A:$R,D$1,0)</f>
        <v>Y</v>
      </c>
      <c r="E44" s="80" t="str">
        <f>VLOOKUP($A44,'Выгр Кат'!$A:$R,E$1,0)</f>
        <v>1</v>
      </c>
      <c r="F44" s="80" t="str">
        <f>VLOOKUP($A44,'Выгр Кат'!$A:$R,F$1,0)</f>
        <v>327S</v>
      </c>
      <c r="G44" s="80" t="str">
        <f>VLOOKUP($A44,'Выгр Кат'!$A:$R,G$1,0)</f>
        <v>https://motorring.ru/product/19339-diodnaya-balka-327s</v>
      </c>
      <c r="H44" s="67" t="s">
        <v>3</v>
      </c>
      <c r="I44" s="82">
        <v>400</v>
      </c>
      <c r="J44" s="5">
        <f>VLOOKUP(I44,Наценка!$A$1:$G$8,2,1)</f>
        <v>1.75</v>
      </c>
      <c r="K44" s="56">
        <f>W44*1.06</f>
        <v>789.7</v>
      </c>
      <c r="L44" s="70">
        <f>IF(K44&lt;=1000,(ROUNDUP(K44,-1)-1),(ROUNDUP(K44,-2)-10))</f>
        <v>789</v>
      </c>
      <c r="M44" s="80">
        <f>VLOOKUP($A44,'Выгр Кат'!$A:$R,M$1,0)</f>
        <v>400</v>
      </c>
      <c r="N44" s="80">
        <f>VLOOKUP($A44,'Выгр Кат'!$A:$R,N$1,0)</f>
        <v>789</v>
      </c>
      <c r="O44" s="28">
        <f>M44-I44</f>
        <v>0</v>
      </c>
      <c r="P44" s="28">
        <f>N44-L44</f>
        <v>0</v>
      </c>
      <c r="Q44" s="36">
        <f>IFERROR(L44*(1-$Q$2),"")</f>
        <v>733.77</v>
      </c>
      <c r="R44" s="38">
        <f>IFERROR(VLOOKUP($A44,'Из Гугла'!$B:$G,6,0)*S44,VLOOKUP($A44,'Из Гугла'!$B:$G,6,0))</f>
        <v>745</v>
      </c>
      <c r="S44" s="14">
        <v>0.5</v>
      </c>
      <c r="T44" s="83">
        <f>IFERROR(Q44/I44-1,"")</f>
        <v>0.83442499999999997</v>
      </c>
      <c r="U44" s="83">
        <f>IFERROR((W44-Q44)/W44,"")</f>
        <v>1.5073825503355729E-2</v>
      </c>
      <c r="V44" s="83">
        <f>IFERROR(IF(W44="","",W44/I44-1),"")</f>
        <v>0.86250000000000004</v>
      </c>
      <c r="W44" s="94">
        <f>1490/2</f>
        <v>745</v>
      </c>
      <c r="X44" s="71" t="s">
        <v>1462</v>
      </c>
    </row>
    <row r="45" spans="1:24" ht="45" x14ac:dyDescent="0.25">
      <c r="A45" s="80">
        <v>133235</v>
      </c>
      <c r="B45" s="80">
        <f>VLOOKUP($A45,'Выгр Кат'!$A:$R,B$1,0)</f>
        <v>23997</v>
      </c>
      <c r="C45" s="81" t="str">
        <f>VLOOKUP($A45,'Выгр Кат'!$A:$R,C$1,0)</f>
        <v>Балка дополнительного освещения "42R Amber" (LED, круг, янтарный свет)</v>
      </c>
      <c r="D45" s="80" t="str">
        <f>VLOOKUP($A45,'Выгр Кат'!$A:$R,D$1,0)</f>
        <v>Y</v>
      </c>
      <c r="E45" s="80" t="str">
        <f>VLOOKUP($A45,'Выгр Кат'!$A:$R,E$1,0)</f>
        <v>1</v>
      </c>
      <c r="F45" s="80" t="str">
        <f>VLOOKUP($A45,'Выгр Кат'!$A:$R,F$1,0)</f>
        <v>42RAmber</v>
      </c>
      <c r="G45" s="80">
        <f>VLOOKUP($A45,'Выгр Кат'!$A:$R,G$1,0)</f>
        <v>0</v>
      </c>
      <c r="H45" s="67" t="s">
        <v>3</v>
      </c>
      <c r="I45" s="82">
        <v>400</v>
      </c>
      <c r="J45" s="5">
        <f>VLOOKUP(I45,Наценка!$A$1:$G$8,2,1)</f>
        <v>1.75</v>
      </c>
      <c r="K45" s="34">
        <f>I45*J45</f>
        <v>700</v>
      </c>
      <c r="L45" s="70">
        <f>IF(K45&lt;=1000,(ROUNDUP(K45,-1)-1),(ROUNDUP(K45,-2)-10))</f>
        <v>699</v>
      </c>
      <c r="M45" s="80">
        <f>VLOOKUP($A45,'Выгр Кат'!$A:$R,M$1,0)</f>
        <v>400</v>
      </c>
      <c r="N45" s="80">
        <f>VLOOKUP($A45,'Выгр Кат'!$A:$R,N$1,0)</f>
        <v>699</v>
      </c>
      <c r="O45" s="28">
        <f>M45-I45</f>
        <v>0</v>
      </c>
      <c r="P45" s="28">
        <f>N45-L45</f>
        <v>0</v>
      </c>
      <c r="Q45" s="36">
        <f>IFERROR(L45*(1-$Q$2),"")</f>
        <v>650.06999999999994</v>
      </c>
      <c r="R45" s="38" t="str">
        <f>IFERROR(VLOOKUP($A45,'Из Гугла'!$B:$G,6,0)*S45,VLOOKUP($A45,'Из Гугла'!$B:$G,6,0))</f>
        <v/>
      </c>
      <c r="S45" s="14">
        <v>1</v>
      </c>
      <c r="T45" s="83">
        <f>IFERROR(Q45/I45-1,"")</f>
        <v>0.62517499999999981</v>
      </c>
      <c r="U45" s="83" t="str">
        <f>IFERROR((W45-Q45)/W45,"")</f>
        <v/>
      </c>
      <c r="V45" s="83" t="str">
        <f>IFERROR(IF(W45="","",W45/I45-1),"")</f>
        <v/>
      </c>
      <c r="W45" s="84" t="s">
        <v>1269</v>
      </c>
    </row>
    <row r="46" spans="1:24" ht="30" x14ac:dyDescent="0.25">
      <c r="A46" s="80">
        <v>133244</v>
      </c>
      <c r="B46" s="80">
        <f>VLOOKUP($A46,'Выгр Кат'!$A:$R,B$1,0)</f>
        <v>24002</v>
      </c>
      <c r="C46" s="81" t="str">
        <f>VLOOKUP($A46,'Выгр Кат'!$A:$R,C$1,0)</f>
        <v>Балка дополнительного освещения "48s" (янтарный свет, LED)</v>
      </c>
      <c r="D46" s="80" t="str">
        <f>VLOOKUP($A46,'Выгр Кат'!$A:$R,D$1,0)</f>
        <v>Y</v>
      </c>
      <c r="E46" s="80" t="str">
        <f>VLOOKUP($A46,'Выгр Кат'!$A:$R,E$1,0)</f>
        <v>1</v>
      </c>
      <c r="F46" s="80" t="str">
        <f>VLOOKUP($A46,'Выгр Кат'!$A:$R,F$1,0)</f>
        <v>48sAmber</v>
      </c>
      <c r="G46" s="80">
        <f>VLOOKUP($A46,'Выгр Кат'!$A:$R,G$1,0)</f>
        <v>0</v>
      </c>
      <c r="H46" s="67" t="s">
        <v>3</v>
      </c>
      <c r="I46" s="82">
        <v>400</v>
      </c>
      <c r="J46" s="5">
        <f>VLOOKUP(I46,Наценка!$A$1:$G$8,2,1)</f>
        <v>1.75</v>
      </c>
      <c r="K46" s="34">
        <f>I46*J46</f>
        <v>700</v>
      </c>
      <c r="L46" s="70">
        <f>IF(K46&lt;=1000,(ROUNDUP(K46,-1)-1),(ROUNDUP(K46,-2)-10))</f>
        <v>699</v>
      </c>
      <c r="M46" s="80">
        <f>VLOOKUP($A46,'Выгр Кат'!$A:$R,M$1,0)</f>
        <v>400</v>
      </c>
      <c r="N46" s="80">
        <f>VLOOKUP($A46,'Выгр Кат'!$A:$R,N$1,0)</f>
        <v>699</v>
      </c>
      <c r="O46" s="28">
        <f>M46-I46</f>
        <v>0</v>
      </c>
      <c r="P46" s="28">
        <f>N46-L46</f>
        <v>0</v>
      </c>
      <c r="Q46" s="36">
        <f>IFERROR(L46*(1-$Q$2),"")</f>
        <v>650.06999999999994</v>
      </c>
      <c r="R46" s="38" t="str">
        <f>IFERROR(VLOOKUP($A46,'Из Гугла'!$B:$G,6,0)*S46,VLOOKUP($A46,'Из Гугла'!$B:$G,6,0))</f>
        <v/>
      </c>
      <c r="S46" s="14">
        <v>1</v>
      </c>
      <c r="T46" s="83">
        <f>IFERROR(Q46/I46-1,"")</f>
        <v>0.62517499999999981</v>
      </c>
      <c r="U46" s="83" t="str">
        <f>IFERROR((W46-Q46)/W46,"")</f>
        <v/>
      </c>
      <c r="V46" s="83" t="str">
        <f>IFERROR(IF(W46="","",W46/I46-1),"")</f>
        <v/>
      </c>
      <c r="W46" s="84" t="s">
        <v>1269</v>
      </c>
    </row>
    <row r="47" spans="1:24" ht="30" x14ac:dyDescent="0.25">
      <c r="A47" s="80">
        <v>133277</v>
      </c>
      <c r="B47" s="80">
        <f>VLOOKUP($A47,'Выгр Кат'!$A:$R,B$1,0)</f>
        <v>24023</v>
      </c>
      <c r="C47" s="81" t="str">
        <f>VLOOKUP($A47,'Выгр Кат'!$A:$R,C$1,0)</f>
        <v>Балка дополнительного освещения "The Best Partner" C6-72</v>
      </c>
      <c r="D47" s="80" t="str">
        <f>VLOOKUP($A47,'Выгр Кат'!$A:$R,D$1,0)</f>
        <v>Y</v>
      </c>
      <c r="E47" s="80" t="str">
        <f>VLOOKUP($A47,'Выгр Кат'!$A:$R,E$1,0)</f>
        <v>1</v>
      </c>
      <c r="F47" s="80" t="str">
        <f>VLOOKUP($A47,'Выгр Кат'!$A:$R,F$1,0)</f>
        <v>C6-72</v>
      </c>
      <c r="G47" s="80">
        <f>VLOOKUP($A47,'Выгр Кат'!$A:$R,G$1,0)</f>
        <v>0</v>
      </c>
      <c r="H47" s="67" t="s">
        <v>3</v>
      </c>
      <c r="I47" s="82">
        <v>400</v>
      </c>
      <c r="J47" s="5">
        <f>VLOOKUP(I47,Наценка!$A$1:$G$8,2,1)</f>
        <v>1.75</v>
      </c>
      <c r="K47" s="34">
        <f>I47*J47</f>
        <v>700</v>
      </c>
      <c r="L47" s="70">
        <f>IF(K47&lt;=1000,(ROUNDUP(K47,-1)-1),(ROUNDUP(K47,-2)-10))</f>
        <v>699</v>
      </c>
      <c r="M47" s="80">
        <f>VLOOKUP($A47,'Выгр Кат'!$A:$R,M$1,0)</f>
        <v>400</v>
      </c>
      <c r="N47" s="80">
        <f>VLOOKUP($A47,'Выгр Кат'!$A:$R,N$1,0)</f>
        <v>699</v>
      </c>
      <c r="O47" s="28">
        <f>M47-I47</f>
        <v>0</v>
      </c>
      <c r="P47" s="28">
        <f>N47-L47</f>
        <v>0</v>
      </c>
      <c r="Q47" s="36">
        <f>IFERROR(L47*(1-$Q$2),"")</f>
        <v>650.06999999999994</v>
      </c>
      <c r="R47" s="38" t="str">
        <f>IFERROR(VLOOKUP($A47,'Из Гугла'!$B:$G,6,0)*S47,VLOOKUP($A47,'Из Гугла'!$B:$G,6,0))</f>
        <v/>
      </c>
      <c r="S47" s="14">
        <v>1</v>
      </c>
      <c r="T47" s="83">
        <f>IFERROR(Q47/I47-1,"")</f>
        <v>0.62517499999999981</v>
      </c>
      <c r="U47" s="83" t="str">
        <f>IFERROR((W47-Q47)/W47,"")</f>
        <v/>
      </c>
      <c r="V47" s="83" t="str">
        <f>IFERROR(IF(W47="","",W47/I47-1),"")</f>
        <v/>
      </c>
      <c r="W47" s="84" t="s">
        <v>1269</v>
      </c>
    </row>
    <row r="48" spans="1:24" ht="45.75" thickBot="1" x14ac:dyDescent="0.3">
      <c r="A48" s="80">
        <v>133233</v>
      </c>
      <c r="B48" s="80">
        <f>VLOOKUP($A48,'Выгр Кат'!$A:$R,B$1,0)</f>
        <v>37933</v>
      </c>
      <c r="C48" s="81" t="str">
        <f>VLOOKUP($A48,'Выгр Кат'!$A:$R,C$1,0)</f>
        <v>Балка дополнительного освещения "327R" (LED, комбинированный свет, круг)</v>
      </c>
      <c r="D48" s="80" t="str">
        <f>VLOOKUP($A48,'Выгр Кат'!$A:$R,D$1,0)</f>
        <v>Y</v>
      </c>
      <c r="E48" s="80" t="str">
        <f>VLOOKUP($A48,'Выгр Кат'!$A:$R,E$1,0)</f>
        <v>1</v>
      </c>
      <c r="F48" s="80" t="str">
        <f>VLOOKUP($A48,'Выгр Кат'!$A:$R,F$1,0)</f>
        <v>327R</v>
      </c>
      <c r="G48" s="80">
        <f>VLOOKUP($A48,'Выгр Кат'!$A:$R,G$1,0)</f>
        <v>0</v>
      </c>
      <c r="H48" s="67" t="s">
        <v>3</v>
      </c>
      <c r="I48" s="82">
        <v>400</v>
      </c>
      <c r="J48" s="5">
        <f>VLOOKUP(I48,Наценка!$A$1:$G$8,2,1)</f>
        <v>1.75</v>
      </c>
      <c r="K48" s="88">
        <f>I48*J48</f>
        <v>700</v>
      </c>
      <c r="L48" s="70">
        <f>IF(K48&lt;=1000,(ROUNDUP(K48,-1)-1),(ROUNDUP(K48,-2)-10))</f>
        <v>699</v>
      </c>
      <c r="M48" s="80">
        <f>VLOOKUP($A48,'Выгр Кат'!$A:$R,M$1,0)</f>
        <v>400</v>
      </c>
      <c r="N48" s="80">
        <f>VLOOKUP($A48,'Выгр Кат'!$A:$R,N$1,0)</f>
        <v>699</v>
      </c>
      <c r="O48" s="28">
        <f>M48-I48</f>
        <v>0</v>
      </c>
      <c r="P48" s="28">
        <f>N48-L48</f>
        <v>0</v>
      </c>
      <c r="Q48" s="36">
        <f>IFERROR(L48*(1-$Q$2),"")</f>
        <v>650.06999999999994</v>
      </c>
      <c r="R48" s="38" t="str">
        <f>IFERROR(VLOOKUP($A48,'Из Гугла'!$B:$G,6,0)*S48,VLOOKUP($A48,'Из Гугла'!$B:$G,6,0))</f>
        <v/>
      </c>
      <c r="S48" s="14">
        <v>1</v>
      </c>
      <c r="T48" s="83">
        <f>IFERROR(Q48/I48-1,"")</f>
        <v>0.62517499999999981</v>
      </c>
      <c r="U48" s="83" t="str">
        <f>IFERROR((W48-Q48)/W48,"")</f>
        <v/>
      </c>
      <c r="V48" s="83" t="str">
        <f>IFERROR(IF(W48="","",W48/I48-1),"")</f>
        <v/>
      </c>
      <c r="W48" s="94" t="s">
        <v>1269</v>
      </c>
    </row>
    <row r="49" spans="1:24" ht="45" x14ac:dyDescent="0.25">
      <c r="A49" s="80">
        <v>224256</v>
      </c>
      <c r="B49" s="80">
        <f>VLOOKUP($A49,'Выгр Кат'!$A:$R,B$1,0)</f>
        <v>29127</v>
      </c>
      <c r="C49" s="81" t="str">
        <f>VLOOKUP($A49,'Выгр Кат'!$A:$R,C$1,0)</f>
        <v>Фонарь противотуманный (ПТФ) в задний бампер с надписью "Vesta" для Лада Веста</v>
      </c>
      <c r="D49" s="80" t="str">
        <f>VLOOKUP($A49,'Выгр Кат'!$A:$R,D$1,0)</f>
        <v>Y</v>
      </c>
      <c r="E49" s="80" t="str">
        <f>VLOOKUP($A49,'Выгр Кат'!$A:$R,E$1,0)</f>
        <v>1</v>
      </c>
      <c r="F49" s="80" t="str">
        <f>VLOOKUP($A49,'Выгр Кат'!$A:$R,F$1,0)</f>
        <v>ZPTF-110</v>
      </c>
      <c r="G49" s="80" t="str">
        <f>VLOOKUP($A49,'Выгр Кат'!$A:$R,G$1,0)</f>
        <v>https://motorring.ru/product/31230-protivotumannyy-fonary-bamper-dlya-lada-vesta</v>
      </c>
      <c r="H49" s="67" t="s">
        <v>3</v>
      </c>
      <c r="I49" s="82">
        <v>400</v>
      </c>
      <c r="J49" s="5">
        <f>VLOOKUP(I49,Наценка!$A$1:$G$8,2,1)</f>
        <v>1.75</v>
      </c>
      <c r="K49" s="91">
        <f>W49*1</f>
        <v>990</v>
      </c>
      <c r="L49" s="70">
        <f>IF(K49&lt;=1000,(ROUNDUP(K49,-1)-1),(ROUNDUP(K49,-2)-10))</f>
        <v>989</v>
      </c>
      <c r="M49" s="80">
        <f>VLOOKUP($A49,'Выгр Кат'!$A:$R,M$1,0)</f>
        <v>400</v>
      </c>
      <c r="N49" s="80">
        <f>VLOOKUP($A49,'Выгр Кат'!$A:$R,N$1,0)</f>
        <v>989</v>
      </c>
      <c r="O49" s="28">
        <f>M49-I49</f>
        <v>0</v>
      </c>
      <c r="P49" s="28">
        <f>N49-L49</f>
        <v>0</v>
      </c>
      <c r="Q49" s="36">
        <f>IFERROR(L49*(1-$Q$2),"")</f>
        <v>919.77</v>
      </c>
      <c r="R49" s="38">
        <f>IFERROR(VLOOKUP($A49,'Из Гугла'!$B:$G,6,0)*S49,VLOOKUP($A49,'Из Гугла'!$B:$G,6,0))</f>
        <v>990</v>
      </c>
      <c r="S49" s="14">
        <v>1</v>
      </c>
      <c r="T49" s="83">
        <f>IFERROR(Q49/I49-1,"")</f>
        <v>1.2994249999999998</v>
      </c>
      <c r="U49" s="83">
        <f>IFERROR((W49-Q49)/W49,"")</f>
        <v>7.0939393939393955E-2</v>
      </c>
      <c r="V49" s="83">
        <f>IFERROR(IF(W49="","",W49/I49-1),"")</f>
        <v>1.4750000000000001</v>
      </c>
      <c r="W49" s="84">
        <v>990</v>
      </c>
      <c r="X49" s="71" t="s">
        <v>1353</v>
      </c>
    </row>
    <row r="50" spans="1:24" ht="30" x14ac:dyDescent="0.25">
      <c r="A50" s="80">
        <v>201783</v>
      </c>
      <c r="B50" s="80">
        <f>VLOOKUP($A50,'Выгр Кат'!$A:$R,B$1,0)</f>
        <v>4341</v>
      </c>
      <c r="C50" s="81" t="str">
        <f>VLOOKUP($A50,'Выгр Кат'!$A:$R,C$1,0)</f>
        <v>Противотуманные фары (ПТФ) LD-345 для ВАЗ 2110-2112, 2113-2115</v>
      </c>
      <c r="D50" s="80" t="str">
        <f>VLOOKUP($A50,'Выгр Кат'!$A:$R,D$1,0)</f>
        <v>Y</v>
      </c>
      <c r="E50" s="80" t="str">
        <f>VLOOKUP($A50,'Выгр Кат'!$A:$R,E$1,0)</f>
        <v>1</v>
      </c>
      <c r="F50" s="80" t="str">
        <f>VLOOKUP($A50,'Выгр Кат'!$A:$R,F$1,0)</f>
        <v>LD-345</v>
      </c>
      <c r="G50" s="80" t="str">
        <f>VLOOKUP($A50,'Выгр Кат'!$A:$R,G$1,0)</f>
        <v>https://motorring.ru/product/8342-chernye-diodnye-protivotumannye-fary-vaz-2110-2112</v>
      </c>
      <c r="H50" s="67" t="s">
        <v>3</v>
      </c>
      <c r="I50" s="82">
        <v>450</v>
      </c>
      <c r="J50" s="5">
        <f>VLOOKUP(I50,Наценка!$A$1:$G$8,2,1)</f>
        <v>1.75</v>
      </c>
      <c r="K50" s="90">
        <f>W50*1.04</f>
        <v>717.6</v>
      </c>
      <c r="L50" s="70">
        <f>IF(K50&lt;=1000,(ROUNDUP(K50,-1)-1),(ROUNDUP(K50,-2)-10))</f>
        <v>719</v>
      </c>
      <c r="M50" s="80">
        <f>VLOOKUP($A50,'Выгр Кат'!$A:$R,M$1,0)</f>
        <v>450</v>
      </c>
      <c r="N50" s="80">
        <f>VLOOKUP($A50,'Выгр Кат'!$A:$R,N$1,0)</f>
        <v>719</v>
      </c>
      <c r="O50" s="28">
        <f>M50-I50</f>
        <v>0</v>
      </c>
      <c r="P50" s="28">
        <f>N50-L50</f>
        <v>0</v>
      </c>
      <c r="Q50" s="36">
        <f>IFERROR(L50*(1-$Q$2),"")</f>
        <v>668.67</v>
      </c>
      <c r="R50" s="38">
        <f>IFERROR(VLOOKUP($A50,'Из Гугла'!$B:$G,6,0)*S50,VLOOKUP($A50,'Из Гугла'!$B:$G,6,0))</f>
        <v>690</v>
      </c>
      <c r="S50" s="14">
        <v>1</v>
      </c>
      <c r="T50" s="83">
        <f>IFERROR(Q50/I50-1,"")</f>
        <v>0.48593333333333333</v>
      </c>
      <c r="U50" s="83">
        <f>IFERROR((W50-Q50)/W50,"")</f>
        <v>3.0913043478260929E-2</v>
      </c>
      <c r="V50" s="83">
        <f>IFERROR(IF(W50="","",W50/I50-1),"")</f>
        <v>0.53333333333333344</v>
      </c>
      <c r="W50" s="93">
        <v>690</v>
      </c>
      <c r="X50" s="71" t="s">
        <v>739</v>
      </c>
    </row>
    <row r="51" spans="1:24" ht="30.75" thickBot="1" x14ac:dyDescent="0.3">
      <c r="A51" s="80">
        <v>133314</v>
      </c>
      <c r="B51" s="80">
        <f>VLOOKUP($A51,'Выгр Кат'!$A:$R,B$1,0)</f>
        <v>8099</v>
      </c>
      <c r="C51" s="81" t="str">
        <f>VLOOKUP($A51,'Выгр Кат'!$A:$R,C$1,0)</f>
        <v>Балка освещения 3W*8LED, 14*8,5 см (24W-B дальний)</v>
      </c>
      <c r="D51" s="80" t="str">
        <f>VLOOKUP($A51,'Выгр Кат'!$A:$R,D$1,0)</f>
        <v>Y</v>
      </c>
      <c r="E51" s="80" t="str">
        <f>VLOOKUP($A51,'Выгр Кат'!$A:$R,E$1,0)</f>
        <v>1</v>
      </c>
      <c r="F51" s="80" t="str">
        <f>VLOOKUP($A51,'Выгр Кат'!$A:$R,F$1,0)</f>
        <v>24W-B дальний</v>
      </c>
      <c r="G51" s="80" t="str">
        <f>VLOOKUP($A51,'Выгр Кат'!$A:$R,G$1,0)</f>
        <v>https://motorring.ru/product/11754-diodnaya-balka-24w-b-dalyniy-3vt</v>
      </c>
      <c r="H51" s="67" t="s">
        <v>3</v>
      </c>
      <c r="I51" s="82">
        <v>450</v>
      </c>
      <c r="J51" s="5">
        <f>VLOOKUP(I51,Наценка!$A$1:$G$8,2,1)</f>
        <v>1.75</v>
      </c>
      <c r="K51" s="55">
        <f>W51*1.04</f>
        <v>986.96</v>
      </c>
      <c r="L51" s="70">
        <f>IF(K51&lt;=1000,(ROUNDUP(K51,-1)-1),(ROUNDUP(K51,-2)-10))</f>
        <v>989</v>
      </c>
      <c r="M51" s="80">
        <f>VLOOKUP($A51,'Выгр Кат'!$A:$R,M$1,0)</f>
        <v>450</v>
      </c>
      <c r="N51" s="80">
        <f>VLOOKUP($A51,'Выгр Кат'!$A:$R,N$1,0)</f>
        <v>989</v>
      </c>
      <c r="O51" s="28">
        <f>M51-I51</f>
        <v>0</v>
      </c>
      <c r="P51" s="28">
        <f>N51-L51</f>
        <v>0</v>
      </c>
      <c r="Q51" s="36">
        <f>IFERROR(L51*(1-$Q$2),"")</f>
        <v>919.77</v>
      </c>
      <c r="R51" s="38">
        <f>IFERROR(VLOOKUP($A51,'Из Гугла'!$B:$G,6,0)*S51,VLOOKUP($A51,'Из Гугла'!$B:$G,6,0))</f>
        <v>949</v>
      </c>
      <c r="S51" s="14">
        <v>1</v>
      </c>
      <c r="T51" s="83">
        <f>IFERROR(Q51/I51-1,"")</f>
        <v>1.0439333333333334</v>
      </c>
      <c r="U51" s="83">
        <f>IFERROR((W51-Q51)/W51,"")</f>
        <v>3.0800842992623832E-2</v>
      </c>
      <c r="V51" s="83">
        <f>IFERROR(IF(W51="","",W51/I51-1),"")</f>
        <v>1.108888888888889</v>
      </c>
      <c r="W51" s="94">
        <v>949</v>
      </c>
      <c r="X51" s="71" t="s">
        <v>1455</v>
      </c>
    </row>
    <row r="52" spans="1:24" ht="30" x14ac:dyDescent="0.25">
      <c r="A52" s="80">
        <v>223088</v>
      </c>
      <c r="B52" s="80">
        <f>VLOOKUP($A52,'Выгр Кат'!$A:$R,B$1,0)</f>
        <v>8280</v>
      </c>
      <c r="C52" s="81" t="str">
        <f>VLOOKUP($A52,'Выгр Кат'!$A:$R,C$1,0)</f>
        <v>Универсальные ПТФ "DLAA" LA910Y желтые</v>
      </c>
      <c r="D52" s="80" t="str">
        <f>VLOOKUP($A52,'Выгр Кат'!$A:$R,D$1,0)</f>
        <v>Y</v>
      </c>
      <c r="E52" s="80" t="str">
        <f>VLOOKUP($A52,'Выгр Кат'!$A:$R,E$1,0)</f>
        <v>1</v>
      </c>
      <c r="F52" s="80" t="str">
        <f>VLOOKUP($A52,'Выгр Кат'!$A:$R,F$1,0)</f>
        <v>LA910Y</v>
      </c>
      <c r="G52" s="80">
        <f>VLOOKUP($A52,'Выгр Кат'!$A:$R,G$1,0)</f>
        <v>0</v>
      </c>
      <c r="H52" s="67" t="s">
        <v>3</v>
      </c>
      <c r="I52" s="82">
        <v>450</v>
      </c>
      <c r="J52" s="5">
        <f>VLOOKUP(I52,Наценка!$A$1:$G$8,2,1)</f>
        <v>1.75</v>
      </c>
      <c r="K52" s="34">
        <f>I52*J52</f>
        <v>787.5</v>
      </c>
      <c r="L52" s="70">
        <f>IF(K52&lt;=1000,(ROUNDUP(K52,-1)-1),(ROUNDUP(K52,-2)-10))</f>
        <v>789</v>
      </c>
      <c r="M52" s="80">
        <f>VLOOKUP($A52,'Выгр Кат'!$A:$R,M$1,0)</f>
        <v>450</v>
      </c>
      <c r="N52" s="80">
        <f>VLOOKUP($A52,'Выгр Кат'!$A:$R,N$1,0)</f>
        <v>789</v>
      </c>
      <c r="O52" s="28">
        <f>M52-I52</f>
        <v>0</v>
      </c>
      <c r="P52" s="28">
        <f>N52-L52</f>
        <v>0</v>
      </c>
      <c r="Q52" s="36">
        <f>IFERROR(L52*(1-$Q$2),"")</f>
        <v>733.77</v>
      </c>
      <c r="R52" s="38" t="str">
        <f>IFERROR(VLOOKUP($A52,'Из Гугла'!$B:$G,6,0)*S52,VLOOKUP($A52,'Из Гугла'!$B:$G,6,0))</f>
        <v/>
      </c>
      <c r="S52" s="14">
        <v>1</v>
      </c>
      <c r="T52" s="83">
        <f>IFERROR(Q52/I52-1,"")</f>
        <v>0.63060000000000005</v>
      </c>
      <c r="U52" s="83" t="str">
        <f>IFERROR((W52-Q52)/W52,"")</f>
        <v/>
      </c>
      <c r="V52" s="83" t="str">
        <f>IFERROR(IF(W52="","",W52/I52-1),"")</f>
        <v/>
      </c>
      <c r="W52" s="84" t="s">
        <v>1269</v>
      </c>
    </row>
    <row r="53" spans="1:24" ht="30" x14ac:dyDescent="0.25">
      <c r="A53" s="80">
        <v>133253</v>
      </c>
      <c r="B53" s="80">
        <f>VLOOKUP($A53,'Выгр Кат'!$A:$R,B$1,0)</f>
        <v>23931</v>
      </c>
      <c r="C53" s="81" t="str">
        <f>VLOOKUP($A53,'Выгр Кат'!$A:$R,C$1,0)</f>
        <v>Балка дополнительного освещения "c8-84" (LED, белый свет)</v>
      </c>
      <c r="D53" s="80" t="str">
        <f>VLOOKUP($A53,'Выгр Кат'!$A:$R,D$1,0)</f>
        <v>Y</v>
      </c>
      <c r="E53" s="80" t="str">
        <f>VLOOKUP($A53,'Выгр Кат'!$A:$R,E$1,0)</f>
        <v>1</v>
      </c>
      <c r="F53" s="80" t="str">
        <f>VLOOKUP($A53,'Выгр Кат'!$A:$R,F$1,0)</f>
        <v>c8-84</v>
      </c>
      <c r="G53" s="80">
        <f>VLOOKUP($A53,'Выгр Кат'!$A:$R,G$1,0)</f>
        <v>0</v>
      </c>
      <c r="H53" s="67" t="s">
        <v>3</v>
      </c>
      <c r="I53" s="82">
        <v>450</v>
      </c>
      <c r="J53" s="5">
        <f>VLOOKUP(I53,Наценка!$A$1:$G$8,2,1)</f>
        <v>1.75</v>
      </c>
      <c r="K53" s="34">
        <f>I53*J53</f>
        <v>787.5</v>
      </c>
      <c r="L53" s="70">
        <f>IF(K53&lt;=1000,(ROUNDUP(K53,-1)-1),(ROUNDUP(K53,-2)-10))</f>
        <v>789</v>
      </c>
      <c r="M53" s="80">
        <f>VLOOKUP($A53,'Выгр Кат'!$A:$R,M$1,0)</f>
        <v>450</v>
      </c>
      <c r="N53" s="80">
        <f>VLOOKUP($A53,'Выгр Кат'!$A:$R,N$1,0)</f>
        <v>789</v>
      </c>
      <c r="O53" s="28">
        <f>M53-I53</f>
        <v>0</v>
      </c>
      <c r="P53" s="28">
        <f>N53-L53</f>
        <v>0</v>
      </c>
      <c r="Q53" s="36">
        <f>IFERROR(L53*(1-$Q$2),"")</f>
        <v>733.77</v>
      </c>
      <c r="R53" s="38" t="str">
        <f>IFERROR(VLOOKUP($A53,'Из Гугла'!$B:$G,6,0)*S53,VLOOKUP($A53,'Из Гугла'!$B:$G,6,0))</f>
        <v/>
      </c>
      <c r="S53" s="14">
        <v>1</v>
      </c>
      <c r="T53" s="83">
        <f>IFERROR(Q53/I53-1,"")</f>
        <v>0.63060000000000005</v>
      </c>
      <c r="U53" s="83" t="str">
        <f>IFERROR((W53-Q53)/W53,"")</f>
        <v/>
      </c>
      <c r="V53" s="83" t="str">
        <f>IFERROR(IF(W53="","",W53/I53-1),"")</f>
        <v/>
      </c>
      <c r="W53" s="84" t="s">
        <v>1269</v>
      </c>
    </row>
    <row r="54" spans="1:24" ht="30" x14ac:dyDescent="0.25">
      <c r="A54" s="80">
        <v>133245</v>
      </c>
      <c r="B54" s="80">
        <f>VLOOKUP($A54,'Выгр Кат'!$A:$R,B$1,0)</f>
        <v>23942</v>
      </c>
      <c r="C54" s="81" t="str">
        <f>VLOOKUP($A54,'Выгр Кат'!$A:$R,C$1,0)</f>
        <v>Балка дополнительного освещения "48S0" (LED, белый свет)</v>
      </c>
      <c r="D54" s="80" t="str">
        <f>VLOOKUP($A54,'Выгр Кат'!$A:$R,D$1,0)</f>
        <v>Y</v>
      </c>
      <c r="E54" s="80" t="str">
        <f>VLOOKUP($A54,'Выгр Кат'!$A:$R,E$1,0)</f>
        <v>1</v>
      </c>
      <c r="F54" s="80" t="str">
        <f>VLOOKUP($A54,'Выгр Кат'!$A:$R,F$1,0)</f>
        <v>48SO</v>
      </c>
      <c r="G54" s="80">
        <f>VLOOKUP($A54,'Выгр Кат'!$A:$R,G$1,0)</f>
        <v>0</v>
      </c>
      <c r="H54" s="67" t="s">
        <v>3</v>
      </c>
      <c r="I54" s="82">
        <v>450</v>
      </c>
      <c r="J54" s="5">
        <f>VLOOKUP(I54,Наценка!$A$1:$G$8,2,1)</f>
        <v>1.75</v>
      </c>
      <c r="K54" s="88">
        <f>I54*J54</f>
        <v>787.5</v>
      </c>
      <c r="L54" s="70">
        <f>IF(K54&lt;=1000,(ROUNDUP(K54,-1)-1),(ROUNDUP(K54,-2)-10))</f>
        <v>789</v>
      </c>
      <c r="M54" s="80">
        <f>VLOOKUP($A54,'Выгр Кат'!$A:$R,M$1,0)</f>
        <v>450</v>
      </c>
      <c r="N54" s="80">
        <f>VLOOKUP($A54,'Выгр Кат'!$A:$R,N$1,0)</f>
        <v>789</v>
      </c>
      <c r="O54" s="28">
        <f>M54-I54</f>
        <v>0</v>
      </c>
      <c r="P54" s="28">
        <f>N54-L54</f>
        <v>0</v>
      </c>
      <c r="Q54" s="36">
        <f>IFERROR(L54*(1-$Q$2),"")</f>
        <v>733.77</v>
      </c>
      <c r="R54" s="38" t="str">
        <f>IFERROR(VLOOKUP($A54,'Из Гугла'!$B:$G,6,0)*S54,VLOOKUP($A54,'Из Гугла'!$B:$G,6,0))</f>
        <v/>
      </c>
      <c r="S54" s="14">
        <v>1</v>
      </c>
      <c r="T54" s="83">
        <f>IFERROR(Q54/I54-1,"")</f>
        <v>0.63060000000000005</v>
      </c>
      <c r="U54" s="83" t="str">
        <f>IFERROR((W54-Q54)/W54,"")</f>
        <v/>
      </c>
      <c r="V54" s="83" t="str">
        <f>IFERROR(IF(W54="","",W54/I54-1),"")</f>
        <v/>
      </c>
      <c r="W54" s="84" t="s">
        <v>1269</v>
      </c>
    </row>
    <row r="55" spans="1:24" ht="30" x14ac:dyDescent="0.25">
      <c r="A55" s="80">
        <v>133249</v>
      </c>
      <c r="B55" s="80">
        <f>VLOOKUP($A55,'Выгр Кат'!$A:$R,B$1,0)</f>
        <v>24015</v>
      </c>
      <c r="C55" s="81" t="str">
        <f>VLOOKUP($A55,'Выгр Кат'!$A:$R,C$1,0)</f>
        <v>Балка дополнительного освещения "B5D-72" (белый свет, LED)</v>
      </c>
      <c r="D55" s="80" t="str">
        <f>VLOOKUP($A55,'Выгр Кат'!$A:$R,D$1,0)</f>
        <v>Y</v>
      </c>
      <c r="E55" s="80" t="str">
        <f>VLOOKUP($A55,'Выгр Кат'!$A:$R,E$1,0)</f>
        <v>1</v>
      </c>
      <c r="F55" s="80" t="str">
        <f>VLOOKUP($A55,'Выгр Кат'!$A:$R,F$1,0)</f>
        <v>B5D-72 white</v>
      </c>
      <c r="G55" s="80">
        <f>VLOOKUP($A55,'Выгр Кат'!$A:$R,G$1,0)</f>
        <v>0</v>
      </c>
      <c r="H55" s="67" t="s">
        <v>3</v>
      </c>
      <c r="I55" s="82">
        <v>450</v>
      </c>
      <c r="J55" s="5">
        <f>VLOOKUP(I55,Наценка!$A$1:$G$8,2,1)</f>
        <v>1.75</v>
      </c>
      <c r="K55" s="34">
        <f>I55*J55</f>
        <v>787.5</v>
      </c>
      <c r="L55" s="70">
        <f>IF(K55&lt;=1000,(ROUNDUP(K55,-1)-1),(ROUNDUP(K55,-2)-10))</f>
        <v>789</v>
      </c>
      <c r="M55" s="80">
        <f>VLOOKUP($A55,'Выгр Кат'!$A:$R,M$1,0)</f>
        <v>450</v>
      </c>
      <c r="N55" s="80">
        <f>VLOOKUP($A55,'Выгр Кат'!$A:$R,N$1,0)</f>
        <v>789</v>
      </c>
      <c r="O55" s="28">
        <f>M55-I55</f>
        <v>0</v>
      </c>
      <c r="P55" s="28">
        <f>N55-L55</f>
        <v>0</v>
      </c>
      <c r="Q55" s="36">
        <f>IFERROR(L55*(1-$Q$2),"")</f>
        <v>733.77</v>
      </c>
      <c r="R55" s="38" t="str">
        <f>IFERROR(VLOOKUP($A55,'Из Гугла'!$B:$G,6,0)*S55,VLOOKUP($A55,'Из Гугла'!$B:$G,6,0))</f>
        <v/>
      </c>
      <c r="S55" s="14">
        <v>1</v>
      </c>
      <c r="T55" s="83">
        <f>IFERROR(Q55/I55-1,"")</f>
        <v>0.63060000000000005</v>
      </c>
      <c r="U55" s="83" t="str">
        <f>IFERROR((W55-Q55)/W55,"")</f>
        <v/>
      </c>
      <c r="V55" s="83" t="str">
        <f>IFERROR(IF(W55="","",W55/I55-1),"")</f>
        <v/>
      </c>
      <c r="W55" s="84" t="s">
        <v>1269</v>
      </c>
    </row>
    <row r="56" spans="1:24" ht="30" x14ac:dyDescent="0.25">
      <c r="A56" s="80">
        <v>133254</v>
      </c>
      <c r="B56" s="80">
        <f>VLOOKUP($A56,'Выгр Кат'!$A:$R,B$1,0)</f>
        <v>24025</v>
      </c>
      <c r="C56" s="81" t="str">
        <f>VLOOKUP($A56,'Выгр Кат'!$A:$R,C$1,0)</f>
        <v>Балка дополнительного освещения "C9-48" (LED, белый свет)</v>
      </c>
      <c r="D56" s="80" t="str">
        <f>VLOOKUP($A56,'Выгр Кат'!$A:$R,D$1,0)</f>
        <v>Y</v>
      </c>
      <c r="E56" s="80" t="str">
        <f>VLOOKUP($A56,'Выгр Кат'!$A:$R,E$1,0)</f>
        <v>1</v>
      </c>
      <c r="F56" s="80" t="str">
        <f>VLOOKUP($A56,'Выгр Кат'!$A:$R,F$1,0)</f>
        <v>C9-48</v>
      </c>
      <c r="G56" s="80">
        <f>VLOOKUP($A56,'Выгр Кат'!$A:$R,G$1,0)</f>
        <v>0</v>
      </c>
      <c r="H56" s="67" t="s">
        <v>3</v>
      </c>
      <c r="I56" s="82">
        <v>450</v>
      </c>
      <c r="J56" s="5">
        <f>VLOOKUP(I56,Наценка!$A$1:$G$8,2,1)</f>
        <v>1.75</v>
      </c>
      <c r="K56" s="34">
        <f>I56*J56</f>
        <v>787.5</v>
      </c>
      <c r="L56" s="70">
        <f>IF(K56&lt;=1000,(ROUNDUP(K56,-1)-1),(ROUNDUP(K56,-2)-10))</f>
        <v>789</v>
      </c>
      <c r="M56" s="80">
        <f>VLOOKUP($A56,'Выгр Кат'!$A:$R,M$1,0)</f>
        <v>450</v>
      </c>
      <c r="N56" s="80">
        <f>VLOOKUP($A56,'Выгр Кат'!$A:$R,N$1,0)</f>
        <v>789</v>
      </c>
      <c r="O56" s="28">
        <f>M56-I56</f>
        <v>0</v>
      </c>
      <c r="P56" s="28">
        <f>N56-L56</f>
        <v>0</v>
      </c>
      <c r="Q56" s="36">
        <f>IFERROR(L56*(1-$Q$2),"")</f>
        <v>733.77</v>
      </c>
      <c r="R56" s="38" t="str">
        <f>IFERROR(VLOOKUP($A56,'Из Гугла'!$B:$G,6,0)*S56,VLOOKUP($A56,'Из Гугла'!$B:$G,6,0))</f>
        <v/>
      </c>
      <c r="S56" s="14">
        <v>1</v>
      </c>
      <c r="T56" s="83">
        <f>IFERROR(Q56/I56-1,"")</f>
        <v>0.63060000000000005</v>
      </c>
      <c r="U56" s="83" t="str">
        <f>IFERROR((W56-Q56)/W56,"")</f>
        <v/>
      </c>
      <c r="V56" s="83" t="str">
        <f>IFERROR(IF(W56="","",W56/I56-1),"")</f>
        <v/>
      </c>
      <c r="W56" s="84" t="s">
        <v>1269</v>
      </c>
    </row>
    <row r="57" spans="1:24" ht="30" x14ac:dyDescent="0.25">
      <c r="A57" s="80">
        <v>133256</v>
      </c>
      <c r="B57" s="80">
        <f>VLOOKUP($A57,'Выгр Кат'!$A:$R,B$1,0)</f>
        <v>24026</v>
      </c>
      <c r="C57" s="81" t="str">
        <f>VLOOKUP($A57,'Выгр Кат'!$A:$R,C$1,0)</f>
        <v>Балка дополнительного освещения "cm1-18" (LED, белый свет)</v>
      </c>
      <c r="D57" s="80" t="str">
        <f>VLOOKUP($A57,'Выгр Кат'!$A:$R,D$1,0)</f>
        <v>Y</v>
      </c>
      <c r="E57" s="80" t="str">
        <f>VLOOKUP($A57,'Выгр Кат'!$A:$R,E$1,0)</f>
        <v>1</v>
      </c>
      <c r="F57" s="80" t="str">
        <f>VLOOKUP($A57,'Выгр Кат'!$A:$R,F$1,0)</f>
        <v>cm1-18</v>
      </c>
      <c r="G57" s="80">
        <f>VLOOKUP($A57,'Выгр Кат'!$A:$R,G$1,0)</f>
        <v>0</v>
      </c>
      <c r="H57" s="67" t="s">
        <v>3</v>
      </c>
      <c r="I57" s="82">
        <v>450</v>
      </c>
      <c r="J57" s="5">
        <f>VLOOKUP(I57,Наценка!$A$1:$G$8,2,1)</f>
        <v>1.75</v>
      </c>
      <c r="K57" s="34">
        <f>I57*J57</f>
        <v>787.5</v>
      </c>
      <c r="L57" s="70">
        <f>IF(K57&lt;=1000,(ROUNDUP(K57,-1)-1),(ROUNDUP(K57,-2)-10))</f>
        <v>789</v>
      </c>
      <c r="M57" s="80">
        <f>VLOOKUP($A57,'Выгр Кат'!$A:$R,M$1,0)</f>
        <v>450</v>
      </c>
      <c r="N57" s="80">
        <f>VLOOKUP($A57,'Выгр Кат'!$A:$R,N$1,0)</f>
        <v>789</v>
      </c>
      <c r="O57" s="28">
        <f>M57-I57</f>
        <v>0</v>
      </c>
      <c r="P57" s="28">
        <f>N57-L57</f>
        <v>0</v>
      </c>
      <c r="Q57" s="36">
        <f>IFERROR(L57*(1-$Q$2),"")</f>
        <v>733.77</v>
      </c>
      <c r="R57" s="38" t="str">
        <f>IFERROR(VLOOKUP($A57,'Из Гугла'!$B:$G,6,0)*S57,VLOOKUP($A57,'Из Гугла'!$B:$G,6,0))</f>
        <v/>
      </c>
      <c r="S57" s="14">
        <v>1</v>
      </c>
      <c r="T57" s="83">
        <f>IFERROR(Q57/I57-1,"")</f>
        <v>0.63060000000000005</v>
      </c>
      <c r="U57" s="83" t="str">
        <f>IFERROR((W57-Q57)/W57,"")</f>
        <v/>
      </c>
      <c r="V57" s="83" t="str">
        <f>IFERROR(IF(W57="","",W57/I57-1),"")</f>
        <v/>
      </c>
      <c r="W57" s="84" t="s">
        <v>1269</v>
      </c>
    </row>
    <row r="58" spans="1:24" ht="30" x14ac:dyDescent="0.25">
      <c r="A58" s="80">
        <v>133259</v>
      </c>
      <c r="B58" s="80">
        <f>VLOOKUP($A58,'Выгр Кат'!$A:$R,B$1,0)</f>
        <v>24029</v>
      </c>
      <c r="C58" s="81" t="str">
        <f>VLOOKUP($A58,'Выгр Кат'!$A:$R,C$1,0)</f>
        <v>Балка дополнительного освещения "cm2-18" (LED, белый свет)</v>
      </c>
      <c r="D58" s="80" t="str">
        <f>VLOOKUP($A58,'Выгр Кат'!$A:$R,D$1,0)</f>
        <v>Y</v>
      </c>
      <c r="E58" s="80" t="str">
        <f>VLOOKUP($A58,'Выгр Кат'!$A:$R,E$1,0)</f>
        <v>1</v>
      </c>
      <c r="F58" s="80" t="str">
        <f>VLOOKUP($A58,'Выгр Кат'!$A:$R,F$1,0)</f>
        <v>cm2-18</v>
      </c>
      <c r="G58" s="80">
        <f>VLOOKUP($A58,'Выгр Кат'!$A:$R,G$1,0)</f>
        <v>0</v>
      </c>
      <c r="H58" s="67" t="s">
        <v>3</v>
      </c>
      <c r="I58" s="82">
        <v>450</v>
      </c>
      <c r="J58" s="5">
        <f>VLOOKUP(I58,Наценка!$A$1:$G$8,2,1)</f>
        <v>1.75</v>
      </c>
      <c r="K58" s="34">
        <f>I58*J58</f>
        <v>787.5</v>
      </c>
      <c r="L58" s="70">
        <f>IF(K58&lt;=1000,(ROUNDUP(K58,-1)-1),(ROUNDUP(K58,-2)-10))</f>
        <v>789</v>
      </c>
      <c r="M58" s="80">
        <f>VLOOKUP($A58,'Выгр Кат'!$A:$R,M$1,0)</f>
        <v>450</v>
      </c>
      <c r="N58" s="80">
        <f>VLOOKUP($A58,'Выгр Кат'!$A:$R,N$1,0)</f>
        <v>789</v>
      </c>
      <c r="O58" s="28">
        <f>M58-I58</f>
        <v>0</v>
      </c>
      <c r="P58" s="28">
        <f>N58-L58</f>
        <v>0</v>
      </c>
      <c r="Q58" s="36">
        <f>IFERROR(L58*(1-$Q$2),"")</f>
        <v>733.77</v>
      </c>
      <c r="R58" s="38" t="str">
        <f>IFERROR(VLOOKUP($A58,'Из Гугла'!$B:$G,6,0)*S58,VLOOKUP($A58,'Из Гугла'!$B:$G,6,0))</f>
        <v/>
      </c>
      <c r="S58" s="14">
        <v>1</v>
      </c>
      <c r="T58" s="83">
        <f>IFERROR(Q58/I58-1,"")</f>
        <v>0.63060000000000005</v>
      </c>
      <c r="U58" s="83" t="str">
        <f>IFERROR((W58-Q58)/W58,"")</f>
        <v/>
      </c>
      <c r="V58" s="83" t="str">
        <f>IFERROR(IF(W58="","",W58/I58-1),"")</f>
        <v/>
      </c>
      <c r="W58" s="84" t="s">
        <v>1269</v>
      </c>
    </row>
    <row r="59" spans="1:24" ht="30.75" thickBot="1" x14ac:dyDescent="0.3">
      <c r="A59" s="80">
        <v>133261</v>
      </c>
      <c r="B59" s="80">
        <f>VLOOKUP($A59,'Выгр Кат'!$A:$R,B$1,0)</f>
        <v>24030</v>
      </c>
      <c r="C59" s="81" t="str">
        <f>VLOOKUP($A59,'Выгр Кат'!$A:$R,C$1,0)</f>
        <v>Балка дополнительного освещения "cm3-18" (LED, белый свет)</v>
      </c>
      <c r="D59" s="80" t="str">
        <f>VLOOKUP($A59,'Выгр Кат'!$A:$R,D$1,0)</f>
        <v>Y</v>
      </c>
      <c r="E59" s="80" t="str">
        <f>VLOOKUP($A59,'Выгр Кат'!$A:$R,E$1,0)</f>
        <v>1</v>
      </c>
      <c r="F59" s="80" t="str">
        <f>VLOOKUP($A59,'Выгр Кат'!$A:$R,F$1,0)</f>
        <v>cm3-18</v>
      </c>
      <c r="G59" s="80">
        <f>VLOOKUP($A59,'Выгр Кат'!$A:$R,G$1,0)</f>
        <v>0</v>
      </c>
      <c r="H59" s="67" t="s">
        <v>3</v>
      </c>
      <c r="I59" s="82">
        <v>450</v>
      </c>
      <c r="J59" s="5">
        <f>VLOOKUP(I59,Наценка!$A$1:$G$8,2,1)</f>
        <v>1.75</v>
      </c>
      <c r="K59" s="88">
        <f>I59*J59</f>
        <v>787.5</v>
      </c>
      <c r="L59" s="70">
        <f>IF(K59&lt;=1000,(ROUNDUP(K59,-1)-1),(ROUNDUP(K59,-2)-10))</f>
        <v>789</v>
      </c>
      <c r="M59" s="80">
        <f>VLOOKUP($A59,'Выгр Кат'!$A:$R,M$1,0)</f>
        <v>450</v>
      </c>
      <c r="N59" s="80">
        <f>VLOOKUP($A59,'Выгр Кат'!$A:$R,N$1,0)</f>
        <v>789</v>
      </c>
      <c r="O59" s="28">
        <f>M59-I59</f>
        <v>0</v>
      </c>
      <c r="P59" s="28">
        <f>N59-L59</f>
        <v>0</v>
      </c>
      <c r="Q59" s="36">
        <f>IFERROR(L59*(1-$Q$2),"")</f>
        <v>733.77</v>
      </c>
      <c r="R59" s="38" t="str">
        <f>IFERROR(VLOOKUP($A59,'Из Гугла'!$B:$G,6,0)*S59,VLOOKUP($A59,'Из Гугла'!$B:$G,6,0))</f>
        <v/>
      </c>
      <c r="S59" s="14">
        <v>1</v>
      </c>
      <c r="T59" s="83">
        <f>IFERROR(Q59/I59-1,"")</f>
        <v>0.63060000000000005</v>
      </c>
      <c r="U59" s="83" t="str">
        <f>IFERROR((W59-Q59)/W59,"")</f>
        <v/>
      </c>
      <c r="V59" s="83" t="str">
        <f>IFERROR(IF(W59="","",W59/I59-1),"")</f>
        <v/>
      </c>
      <c r="W59" s="94" t="s">
        <v>1269</v>
      </c>
    </row>
    <row r="60" spans="1:24" ht="30.75" thickTop="1" x14ac:dyDescent="0.25">
      <c r="A60" s="80">
        <v>133267</v>
      </c>
      <c r="B60" s="80">
        <f>VLOOKUP($A60,'Выгр Кат'!$A:$R,B$1,0)</f>
        <v>24037</v>
      </c>
      <c r="C60" s="81" t="str">
        <f>VLOOKUP($A60,'Выгр Кат'!$A:$R,C$1,0)</f>
        <v>Балка дополнительного освещения "HP-CTD-011" (LED, белый свет)</v>
      </c>
      <c r="D60" s="80" t="str">
        <f>VLOOKUP($A60,'Выгр Кат'!$A:$R,D$1,0)</f>
        <v>Y</v>
      </c>
      <c r="E60" s="80" t="str">
        <f>VLOOKUP($A60,'Выгр Кат'!$A:$R,E$1,0)</f>
        <v>1</v>
      </c>
      <c r="F60" s="80" t="str">
        <f>VLOOKUP($A60,'Выгр Кат'!$A:$R,F$1,0)</f>
        <v>HP-CTD-011</v>
      </c>
      <c r="G60" s="80">
        <f>VLOOKUP($A60,'Выгр Кат'!$A:$R,G$1,0)</f>
        <v>0</v>
      </c>
      <c r="H60" s="67" t="s">
        <v>3</v>
      </c>
      <c r="I60" s="82">
        <v>450</v>
      </c>
      <c r="J60" s="5">
        <f>VLOOKUP(I60,Наценка!$A$1:$G$8,2,1)</f>
        <v>1.75</v>
      </c>
      <c r="K60" s="88">
        <f>I60*J60</f>
        <v>787.5</v>
      </c>
      <c r="L60" s="70">
        <f>IF(K60&lt;=1000,(ROUNDUP(K60,-1)-1),(ROUNDUP(K60,-2)-10))</f>
        <v>789</v>
      </c>
      <c r="M60" s="80">
        <f>VLOOKUP($A60,'Выгр Кат'!$A:$R,M$1,0)</f>
        <v>450</v>
      </c>
      <c r="N60" s="80">
        <f>VLOOKUP($A60,'Выгр Кат'!$A:$R,N$1,0)</f>
        <v>789</v>
      </c>
      <c r="O60" s="28">
        <f>M60-I60</f>
        <v>0</v>
      </c>
      <c r="P60" s="28">
        <f>N60-L60</f>
        <v>0</v>
      </c>
      <c r="Q60" s="36">
        <f>IFERROR(L60*(1-$Q$2),"")</f>
        <v>733.77</v>
      </c>
      <c r="R60" s="38" t="str">
        <f>IFERROR(VLOOKUP($A60,'Из Гугла'!$B:$G,6,0)*S60,VLOOKUP($A60,'Из Гугла'!$B:$G,6,0))</f>
        <v/>
      </c>
      <c r="S60" s="14">
        <v>1</v>
      </c>
      <c r="T60" s="83">
        <f>IFERROR(Q60/I60-1,"")</f>
        <v>0.63060000000000005</v>
      </c>
      <c r="U60" s="83" t="str">
        <f>IFERROR((W60-Q60)/W60,"")</f>
        <v/>
      </c>
      <c r="V60" s="83" t="str">
        <f>IFERROR(IF(W60="","",W60/I60-1),"")</f>
        <v/>
      </c>
      <c r="W60" s="84" t="s">
        <v>1269</v>
      </c>
    </row>
    <row r="61" spans="1:24" ht="30" x14ac:dyDescent="0.25">
      <c r="A61" s="80">
        <v>133284</v>
      </c>
      <c r="B61" s="80">
        <f>VLOOKUP($A61,'Выгр Кат'!$A:$R,B$1,0)</f>
        <v>24054</v>
      </c>
      <c r="C61" s="81" t="str">
        <f>VLOOKUP($A61,'Выгр Кат'!$A:$R,C$1,0)</f>
        <v>Балка дополнительного освещения "XK-36w" (LED, белый свет)</v>
      </c>
      <c r="D61" s="80" t="str">
        <f>VLOOKUP($A61,'Выгр Кат'!$A:$R,D$1,0)</f>
        <v>Y</v>
      </c>
      <c r="E61" s="80" t="str">
        <f>VLOOKUP($A61,'Выгр Кат'!$A:$R,E$1,0)</f>
        <v>1</v>
      </c>
      <c r="F61" s="80" t="str">
        <f>VLOOKUP($A61,'Выгр Кат'!$A:$R,F$1,0)</f>
        <v>XK-36w</v>
      </c>
      <c r="G61" s="80" t="str">
        <f>VLOOKUP($A61,'Выгр Кат'!$A:$R,G$1,0)</f>
        <v>https://motorring.ru/product/19347-diodnaya-balka-xk-36w</v>
      </c>
      <c r="H61" s="67" t="s">
        <v>3</v>
      </c>
      <c r="I61" s="82">
        <v>450</v>
      </c>
      <c r="J61" s="5">
        <f>VLOOKUP(I61,Наценка!$A$1:$G$8,2,1)</f>
        <v>1.75</v>
      </c>
      <c r="K61" s="87">
        <f>W61*1.06</f>
        <v>899.94</v>
      </c>
      <c r="L61" s="70">
        <f>IF(K61&lt;=1000,(ROUNDUP(K61,-1)-1),(ROUNDUP(K61,-2)-10))</f>
        <v>899</v>
      </c>
      <c r="M61" s="80">
        <f>VLOOKUP($A61,'Выгр Кат'!$A:$R,M$1,0)</f>
        <v>450</v>
      </c>
      <c r="N61" s="80">
        <f>VLOOKUP($A61,'Выгр Кат'!$A:$R,N$1,0)</f>
        <v>899</v>
      </c>
      <c r="O61" s="28">
        <f>M61-I61</f>
        <v>0</v>
      </c>
      <c r="P61" s="28">
        <f>N61-L61</f>
        <v>0</v>
      </c>
      <c r="Q61" s="36">
        <f>IFERROR(L61*(1-$Q$2),"")</f>
        <v>836.06999999999994</v>
      </c>
      <c r="R61" s="38">
        <f>IFERROR(VLOOKUP($A61,'Из Гугла'!$B:$G,6,0)*S61,VLOOKUP($A61,'Из Гугла'!$B:$G,6,0))</f>
        <v>849</v>
      </c>
      <c r="S61" s="14">
        <v>1</v>
      </c>
      <c r="T61" s="83">
        <f>IFERROR(Q61/I61-1,"")</f>
        <v>0.85793333333333321</v>
      </c>
      <c r="U61" s="83">
        <f>IFERROR((W61-Q61)/W61,"")</f>
        <v>1.5229681978798662E-2</v>
      </c>
      <c r="V61" s="83">
        <f>IFERROR(IF(W61="","",W61/I61-1),"")</f>
        <v>0.88666666666666671</v>
      </c>
      <c r="W61" s="84">
        <v>849</v>
      </c>
      <c r="X61" s="71" t="s">
        <v>1469</v>
      </c>
    </row>
    <row r="62" spans="1:24" ht="30" x14ac:dyDescent="0.25">
      <c r="A62" s="80">
        <v>139540</v>
      </c>
      <c r="B62" s="80">
        <f>VLOOKUP($A62,'Выгр Кат'!$A:$R,B$1,0)</f>
        <v>18610</v>
      </c>
      <c r="C62" s="81" t="str">
        <f>VLOOKUP($A62,'Выгр Кат'!$A:$R,C$1,0)</f>
        <v>Вспышка ФСО 48W "48S-50мм" (16 светодиодов по 3 ВТ)</v>
      </c>
      <c r="D62" s="80" t="str">
        <f>VLOOKUP($A62,'Выгр Кат'!$A:$R,D$1,0)</f>
        <v>Y</v>
      </c>
      <c r="E62" s="80" t="str">
        <f>VLOOKUP($A62,'Выгр Кат'!$A:$R,E$1,0)</f>
        <v>1</v>
      </c>
      <c r="F62" s="80" t="str">
        <f>VLOOKUP($A62,'Выгр Кат'!$A:$R,F$1,0)</f>
        <v>HP-GZD-012 / W-03 / FL48S</v>
      </c>
      <c r="G62" s="80" t="str">
        <f>VLOOKUP($A62,'Выгр Кат'!$A:$R,G$1,0)</f>
        <v>https://motorring.ru/product/11752-vspyshki-fso-48w-16-svetodiodov</v>
      </c>
      <c r="H62" s="67" t="s">
        <v>3</v>
      </c>
      <c r="I62" s="82">
        <v>500</v>
      </c>
      <c r="J62" s="5">
        <f>VLOOKUP(I62,Наценка!$A$1:$G$8,2,1)</f>
        <v>1.45</v>
      </c>
      <c r="K62" s="89">
        <f>W62*1.07</f>
        <v>631.30000000000007</v>
      </c>
      <c r="L62" s="70">
        <f>IF(K62&lt;=1000,(ROUNDUP(K62,-1)-1),(ROUNDUP(K62,-2)-10))</f>
        <v>639</v>
      </c>
      <c r="M62" s="80">
        <f>VLOOKUP($A62,'Выгр Кат'!$A:$R,M$1,0)</f>
        <v>500</v>
      </c>
      <c r="N62" s="80">
        <f>VLOOKUP($A62,'Выгр Кат'!$A:$R,N$1,0)</f>
        <v>649</v>
      </c>
      <c r="O62" s="28">
        <f>M62-I62</f>
        <v>0</v>
      </c>
      <c r="P62" s="28">
        <f>N62-L62</f>
        <v>10</v>
      </c>
      <c r="Q62" s="36">
        <f>IFERROR(L62*(1-$Q$2),"")</f>
        <v>594.27</v>
      </c>
      <c r="R62" s="38">
        <f>IFERROR(VLOOKUP($A62,'Из Гугла'!$B:$G,6,0)*S62,VLOOKUP($A62,'Из Гугла'!$B:$G,6,0))</f>
        <v>590</v>
      </c>
      <c r="S62" s="14">
        <v>1</v>
      </c>
      <c r="T62" s="83">
        <f>IFERROR(Q62/I62-1,"")</f>
        <v>0.18853999999999993</v>
      </c>
      <c r="U62" s="83">
        <f>IFERROR((W62-Q62)/W62,"")</f>
        <v>-7.2372881355931892E-3</v>
      </c>
      <c r="V62" s="83">
        <f>IFERROR(IF(W62="","",W62/I62-1),"")</f>
        <v>0.17999999999999994</v>
      </c>
      <c r="W62" s="84">
        <v>590</v>
      </c>
      <c r="X62" s="71" t="s">
        <v>943</v>
      </c>
    </row>
    <row r="63" spans="1:24" ht="30" x14ac:dyDescent="0.25">
      <c r="A63" s="80">
        <v>201781</v>
      </c>
      <c r="B63" s="80">
        <f>VLOOKUP($A63,'Выгр Кат'!$A:$R,B$1,0)</f>
        <v>4340</v>
      </c>
      <c r="C63" s="81" t="str">
        <f>VLOOKUP($A63,'Выгр Кат'!$A:$R,C$1,0)</f>
        <v>Противотуманные фары (ПТФ) LD-094 для ВАЗ 2110-2112, 2113-2115</v>
      </c>
      <c r="D63" s="80" t="str">
        <f>VLOOKUP($A63,'Выгр Кат'!$A:$R,D$1,0)</f>
        <v>Y</v>
      </c>
      <c r="E63" s="80" t="str">
        <f>VLOOKUP($A63,'Выгр Кат'!$A:$R,E$1,0)</f>
        <v>1</v>
      </c>
      <c r="F63" s="80" t="str">
        <f>VLOOKUP($A63,'Выгр Кат'!$A:$R,F$1,0)</f>
        <v>LD-094</v>
      </c>
      <c r="G63" s="80" t="str">
        <f>VLOOKUP($A63,'Выгр Кат'!$A:$R,G$1,0)</f>
        <v>https://motorring.ru/product/8338-protivotumannye-fary-glaz-orla-vaz-2110-2115</v>
      </c>
      <c r="H63" s="67" t="s">
        <v>3</v>
      </c>
      <c r="I63" s="82">
        <v>500</v>
      </c>
      <c r="J63" s="5">
        <f>VLOOKUP(I63,Наценка!$A$1:$G$8,2,1)</f>
        <v>1.45</v>
      </c>
      <c r="K63" s="87">
        <f>W63*1.06</f>
        <v>837.40000000000009</v>
      </c>
      <c r="L63" s="70">
        <f>IF(K63&lt;=1000,(ROUNDUP(K63,-1)-1),(ROUNDUP(K63,-2)-10))</f>
        <v>839</v>
      </c>
      <c r="M63" s="80">
        <f>VLOOKUP($A63,'Выгр Кат'!$A:$R,M$1,0)</f>
        <v>500</v>
      </c>
      <c r="N63" s="80">
        <f>VLOOKUP($A63,'Выгр Кат'!$A:$R,N$1,0)</f>
        <v>839</v>
      </c>
      <c r="O63" s="28">
        <f>M63-I63</f>
        <v>0</v>
      </c>
      <c r="P63" s="28">
        <f>N63-L63</f>
        <v>0</v>
      </c>
      <c r="Q63" s="36">
        <f>IFERROR(L63*(1-$Q$2),"")</f>
        <v>780.27</v>
      </c>
      <c r="R63" s="38">
        <f>IFERROR(VLOOKUP($A63,'Из Гугла'!$B:$G,6,0)*S63,VLOOKUP($A63,'Из Гугла'!$B:$G,6,0))</f>
        <v>790</v>
      </c>
      <c r="S63" s="14">
        <v>1</v>
      </c>
      <c r="T63" s="83">
        <f>IFERROR(Q63/I63-1,"")</f>
        <v>0.56054000000000004</v>
      </c>
      <c r="U63" s="83">
        <f>IFERROR((W63-Q63)/W63,"")</f>
        <v>1.2316455696202554E-2</v>
      </c>
      <c r="V63" s="83">
        <f>IFERROR(IF(W63="","",W63/I63-1),"")</f>
        <v>0.58000000000000007</v>
      </c>
      <c r="W63" s="93">
        <v>790</v>
      </c>
      <c r="X63" s="71" t="s">
        <v>748</v>
      </c>
    </row>
    <row r="64" spans="1:24" ht="30" x14ac:dyDescent="0.25">
      <c r="A64" s="80">
        <v>133312</v>
      </c>
      <c r="B64" s="80">
        <f>VLOOKUP($A64,'Выгр Кат'!$A:$R,B$1,0)</f>
        <v>8085</v>
      </c>
      <c r="C64" s="81" t="str">
        <f>VLOOKUP($A64,'Выгр Кат'!$A:$R,C$1,0)</f>
        <v>Балка освещения 3W*6LED 4,5*16см (18W-A дальний)</v>
      </c>
      <c r="D64" s="80" t="str">
        <f>VLOOKUP($A64,'Выгр Кат'!$A:$R,D$1,0)</f>
        <v>Y</v>
      </c>
      <c r="E64" s="80" t="str">
        <f>VLOOKUP($A64,'Выгр Кат'!$A:$R,E$1,0)</f>
        <v>1</v>
      </c>
      <c r="F64" s="80" t="str">
        <f>VLOOKUP($A64,'Выгр Кат'!$A:$R,F$1,0)</f>
        <v>18W-A дальний</v>
      </c>
      <c r="G64" s="80" t="str">
        <f>VLOOKUP($A64,'Выгр Кат'!$A:$R,G$1,0)</f>
        <v>https://motorring.ru/product/11740-diodnaya-balka-18w-a-dalyniy-3vt</v>
      </c>
      <c r="H64" s="67" t="s">
        <v>3</v>
      </c>
      <c r="I64" s="82">
        <v>500</v>
      </c>
      <c r="J64" s="5">
        <f>VLOOKUP(I64,Наценка!$A$1:$G$8,2,1)</f>
        <v>1.45</v>
      </c>
      <c r="K64" s="91">
        <f>W64*1</f>
        <v>990</v>
      </c>
      <c r="L64" s="70">
        <f>IF(K64&lt;=1000,(ROUNDUP(K64,-1)-1),(ROUNDUP(K64,-2)-10))</f>
        <v>989</v>
      </c>
      <c r="M64" s="80">
        <f>VLOOKUP($A64,'Выгр Кат'!$A:$R,M$1,0)</f>
        <v>500</v>
      </c>
      <c r="N64" s="80">
        <f>VLOOKUP($A64,'Выгр Кат'!$A:$R,N$1,0)</f>
        <v>989</v>
      </c>
      <c r="O64" s="28">
        <f>M64-I64</f>
        <v>0</v>
      </c>
      <c r="P64" s="28">
        <f>N64-L64</f>
        <v>0</v>
      </c>
      <c r="Q64" s="36">
        <f>IFERROR(L64*(1-$Q$2),"")</f>
        <v>919.77</v>
      </c>
      <c r="R64" s="38">
        <f>IFERROR(VLOOKUP($A64,'Из Гугла'!$B:$G,6,0)*S64,VLOOKUP($A64,'Из Гугла'!$B:$G,6,0))</f>
        <v>990</v>
      </c>
      <c r="S64" s="14">
        <v>1</v>
      </c>
      <c r="T64" s="83">
        <f>IFERROR(Q64/I64-1,"")</f>
        <v>0.83953999999999995</v>
      </c>
      <c r="U64" s="83">
        <f>IFERROR((W64-Q64)/W64,"")</f>
        <v>7.0939393939393955E-2</v>
      </c>
      <c r="V64" s="83">
        <f>IFERROR(IF(W64="","",W64/I64-1),"")</f>
        <v>0.98</v>
      </c>
      <c r="W64" s="84">
        <v>990</v>
      </c>
      <c r="X64" s="71" t="s">
        <v>1468</v>
      </c>
    </row>
    <row r="65" spans="1:24" ht="30" x14ac:dyDescent="0.25">
      <c r="A65" s="80">
        <v>224473</v>
      </c>
      <c r="B65" s="80">
        <f>VLOOKUP($A65,'Выгр Кат'!$A:$R,B$1,0)</f>
        <v>8145</v>
      </c>
      <c r="C65" s="81" t="str">
        <f>VLOOKUP($A65,'Выгр Кат'!$A:$R,C$1,0)</f>
        <v>Ходовые огни 65 (L-16)</v>
      </c>
      <c r="D65" s="80" t="str">
        <f>VLOOKUP($A65,'Выгр Кат'!$A:$R,D$1,0)</f>
        <v>Y</v>
      </c>
      <c r="E65" s="80" t="str">
        <f>VLOOKUP($A65,'Выгр Кат'!$A:$R,E$1,0)</f>
        <v>1</v>
      </c>
      <c r="F65" s="80" t="str">
        <f>VLOOKUP($A65,'Выгр Кат'!$A:$R,F$1,0)</f>
        <v>65</v>
      </c>
      <c r="G65" s="80">
        <f>VLOOKUP($A65,'Выгр Кат'!$A:$R,G$1,0)</f>
        <v>0</v>
      </c>
      <c r="H65" s="67" t="s">
        <v>3</v>
      </c>
      <c r="I65" s="82">
        <v>500</v>
      </c>
      <c r="J65" s="5">
        <f>VLOOKUP(I65,Наценка!$A$1:$G$8,2,1)</f>
        <v>1.45</v>
      </c>
      <c r="K65" s="34">
        <f>I65*J65</f>
        <v>725</v>
      </c>
      <c r="L65" s="70">
        <f>IF(K65&lt;=1000,(ROUNDUP(K65,-1)-1),(ROUNDUP(K65,-2)-10))</f>
        <v>729</v>
      </c>
      <c r="M65" s="80">
        <f>VLOOKUP($A65,'Выгр Кат'!$A:$R,M$1,0)</f>
        <v>500</v>
      </c>
      <c r="N65" s="80">
        <f>VLOOKUP($A65,'Выгр Кат'!$A:$R,N$1,0)</f>
        <v>729</v>
      </c>
      <c r="O65" s="28">
        <f>M65-I65</f>
        <v>0</v>
      </c>
      <c r="P65" s="28">
        <f>N65-L65</f>
        <v>0</v>
      </c>
      <c r="Q65" s="36">
        <f>IFERROR(L65*(1-$Q$2),"")</f>
        <v>677.96999999999991</v>
      </c>
      <c r="R65" s="38" t="str">
        <f>IFERROR(VLOOKUP($A65,'Из Гугла'!$B:$G,6,0)*S65,VLOOKUP($A65,'Из Гугла'!$B:$G,6,0))</f>
        <v/>
      </c>
      <c r="S65" s="14">
        <v>1</v>
      </c>
      <c r="T65" s="83">
        <f>IFERROR(Q65/I65-1,"")</f>
        <v>0.35593999999999992</v>
      </c>
      <c r="U65" s="83" t="str">
        <f>IFERROR((W65-Q65)/W65,"")</f>
        <v/>
      </c>
      <c r="V65" s="83" t="str">
        <f>IFERROR(IF(W65="","",W65/I65-1),"")</f>
        <v/>
      </c>
      <c r="W65" s="84" t="s">
        <v>1269</v>
      </c>
    </row>
    <row r="66" spans="1:24" ht="30" x14ac:dyDescent="0.25">
      <c r="A66" s="80">
        <v>224469</v>
      </c>
      <c r="B66" s="80">
        <f>VLOOKUP($A66,'Выгр Кат'!$A:$R,B$1,0)</f>
        <v>8150</v>
      </c>
      <c r="C66" s="81" t="str">
        <f>VLOOKUP($A66,'Выгр Кат'!$A:$R,C$1,0)</f>
        <v>Ходовые огни 328 (L-15)</v>
      </c>
      <c r="D66" s="80" t="str">
        <f>VLOOKUP($A66,'Выгр Кат'!$A:$R,D$1,0)</f>
        <v>Y</v>
      </c>
      <c r="E66" s="80" t="str">
        <f>VLOOKUP($A66,'Выгр Кат'!$A:$R,E$1,0)</f>
        <v>1</v>
      </c>
      <c r="F66" s="80" t="str">
        <f>VLOOKUP($A66,'Выгр Кат'!$A:$R,F$1,0)</f>
        <v>328</v>
      </c>
      <c r="G66" s="80">
        <f>VLOOKUP($A66,'Выгр Кат'!$A:$R,G$1,0)</f>
        <v>0</v>
      </c>
      <c r="H66" s="67" t="s">
        <v>3</v>
      </c>
      <c r="I66" s="82">
        <v>500</v>
      </c>
      <c r="J66" s="5">
        <f>VLOOKUP(I66,Наценка!$A$1:$G$8,2,1)</f>
        <v>1.45</v>
      </c>
      <c r="K66" s="34">
        <f>I66*J66</f>
        <v>725</v>
      </c>
      <c r="L66" s="70">
        <f>IF(K66&lt;=1000,(ROUNDUP(K66,-1)-1),(ROUNDUP(K66,-2)-10))</f>
        <v>729</v>
      </c>
      <c r="M66" s="80">
        <f>VLOOKUP($A66,'Выгр Кат'!$A:$R,M$1,0)</f>
        <v>500</v>
      </c>
      <c r="N66" s="80">
        <f>VLOOKUP($A66,'Выгр Кат'!$A:$R,N$1,0)</f>
        <v>729</v>
      </c>
      <c r="O66" s="28">
        <f>M66-I66</f>
        <v>0</v>
      </c>
      <c r="P66" s="28">
        <f>N66-L66</f>
        <v>0</v>
      </c>
      <c r="Q66" s="36">
        <f>IFERROR(L66*(1-$Q$2),"")</f>
        <v>677.96999999999991</v>
      </c>
      <c r="R66" s="38" t="str">
        <f>IFERROR(VLOOKUP($A66,'Из Гугла'!$B:$G,6,0)*S66,VLOOKUP($A66,'Из Гугла'!$B:$G,6,0))</f>
        <v/>
      </c>
      <c r="S66" s="14">
        <v>1</v>
      </c>
      <c r="T66" s="83">
        <f>IFERROR(Q66/I66-1,"")</f>
        <v>0.35593999999999992</v>
      </c>
      <c r="U66" s="83" t="str">
        <f>IFERROR((W66-Q66)/W66,"")</f>
        <v/>
      </c>
      <c r="V66" s="83" t="str">
        <f>IFERROR(IF(W66="","",W66/I66-1),"")</f>
        <v/>
      </c>
      <c r="W66" s="84" t="s">
        <v>1269</v>
      </c>
    </row>
    <row r="67" spans="1:24" ht="30" x14ac:dyDescent="0.25">
      <c r="A67" s="80">
        <v>224470</v>
      </c>
      <c r="B67" s="80">
        <f>VLOOKUP($A67,'Выгр Кат'!$A:$R,B$1,0)</f>
        <v>8151</v>
      </c>
      <c r="C67" s="81" t="str">
        <f>VLOOKUP($A67,'Выгр Кат'!$A:$R,C$1,0)</f>
        <v>Ходовые огни 329 (L-18)</v>
      </c>
      <c r="D67" s="80" t="str">
        <f>VLOOKUP($A67,'Выгр Кат'!$A:$R,D$1,0)</f>
        <v>Y</v>
      </c>
      <c r="E67" s="80" t="str">
        <f>VLOOKUP($A67,'Выгр Кат'!$A:$R,E$1,0)</f>
        <v>1</v>
      </c>
      <c r="F67" s="80" t="str">
        <f>VLOOKUP($A67,'Выгр Кат'!$A:$R,F$1,0)</f>
        <v>329</v>
      </c>
      <c r="G67" s="80">
        <f>VLOOKUP($A67,'Выгр Кат'!$A:$R,G$1,0)</f>
        <v>0</v>
      </c>
      <c r="H67" s="67" t="s">
        <v>3</v>
      </c>
      <c r="I67" s="82">
        <v>500</v>
      </c>
      <c r="J67" s="5">
        <f>VLOOKUP(I67,Наценка!$A$1:$G$8,2,1)</f>
        <v>1.45</v>
      </c>
      <c r="K67" s="34">
        <f>I67*J67</f>
        <v>725</v>
      </c>
      <c r="L67" s="70">
        <f>IF(K67&lt;=1000,(ROUNDUP(K67,-1)-1),(ROUNDUP(K67,-2)-10))</f>
        <v>729</v>
      </c>
      <c r="M67" s="80">
        <f>VLOOKUP($A67,'Выгр Кат'!$A:$R,M$1,0)</f>
        <v>500</v>
      </c>
      <c r="N67" s="80">
        <f>VLOOKUP($A67,'Выгр Кат'!$A:$R,N$1,0)</f>
        <v>729</v>
      </c>
      <c r="O67" s="28">
        <f>M67-I67</f>
        <v>0</v>
      </c>
      <c r="P67" s="28">
        <f>N67-L67</f>
        <v>0</v>
      </c>
      <c r="Q67" s="36">
        <f>IFERROR(L67*(1-$Q$2),"")</f>
        <v>677.96999999999991</v>
      </c>
      <c r="R67" s="38" t="str">
        <f>IFERROR(VLOOKUP($A67,'Из Гугла'!$B:$G,6,0)*S67,VLOOKUP($A67,'Из Гугла'!$B:$G,6,0))</f>
        <v/>
      </c>
      <c r="S67" s="14">
        <v>1</v>
      </c>
      <c r="T67" s="83">
        <f>IFERROR(Q67/I67-1,"")</f>
        <v>0.35593999999999992</v>
      </c>
      <c r="U67" s="83" t="str">
        <f>IFERROR((W67-Q67)/W67,"")</f>
        <v/>
      </c>
      <c r="V67" s="83" t="str">
        <f>IFERROR(IF(W67="","",W67/I67-1),"")</f>
        <v/>
      </c>
      <c r="W67" s="84" t="s">
        <v>1269</v>
      </c>
    </row>
    <row r="68" spans="1:24" ht="30" x14ac:dyDescent="0.25">
      <c r="A68" s="80">
        <v>223078</v>
      </c>
      <c r="B68" s="80">
        <f>VLOOKUP($A68,'Выгр Кат'!$A:$R,B$1,0)</f>
        <v>8266</v>
      </c>
      <c r="C68" s="81" t="str">
        <f>VLOOKUP($A68,'Выгр Кат'!$A:$R,C$1,0)</f>
        <v>Универсальные ПТФ "DLAA" LA8050W белые</v>
      </c>
      <c r="D68" s="80" t="str">
        <f>VLOOKUP($A68,'Выгр Кат'!$A:$R,D$1,0)</f>
        <v>Y</v>
      </c>
      <c r="E68" s="80" t="str">
        <f>VLOOKUP($A68,'Выгр Кат'!$A:$R,E$1,0)</f>
        <v>1</v>
      </c>
      <c r="F68" s="80" t="str">
        <f>VLOOKUP($A68,'Выгр Кат'!$A:$R,F$1,0)</f>
        <v>LA8050W</v>
      </c>
      <c r="G68" s="80">
        <f>VLOOKUP($A68,'Выгр Кат'!$A:$R,G$1,0)</f>
        <v>0</v>
      </c>
      <c r="H68" s="67" t="s">
        <v>3</v>
      </c>
      <c r="I68" s="82">
        <v>500</v>
      </c>
      <c r="J68" s="5">
        <f>VLOOKUP(I68,Наценка!$A$1:$G$8,2,1)</f>
        <v>1.45</v>
      </c>
      <c r="K68" s="34">
        <f>I68*J68</f>
        <v>725</v>
      </c>
      <c r="L68" s="70">
        <f>IF(K68&lt;=1000,(ROUNDUP(K68,-1)-1),(ROUNDUP(K68,-2)-10))</f>
        <v>729</v>
      </c>
      <c r="M68" s="80">
        <f>VLOOKUP($A68,'Выгр Кат'!$A:$R,M$1,0)</f>
        <v>500</v>
      </c>
      <c r="N68" s="80">
        <f>VLOOKUP($A68,'Выгр Кат'!$A:$R,N$1,0)</f>
        <v>729</v>
      </c>
      <c r="O68" s="28">
        <f>M68-I68</f>
        <v>0</v>
      </c>
      <c r="P68" s="28">
        <f>N68-L68</f>
        <v>0</v>
      </c>
      <c r="Q68" s="36">
        <f>IFERROR(L68*(1-$Q$2),"")</f>
        <v>677.96999999999991</v>
      </c>
      <c r="R68" s="38" t="str">
        <f>IFERROR(VLOOKUP($A68,'Из Гугла'!$B:$G,6,0)*S68,VLOOKUP($A68,'Из Гугла'!$B:$G,6,0))</f>
        <v/>
      </c>
      <c r="S68" s="14">
        <v>1</v>
      </c>
      <c r="T68" s="83">
        <f>IFERROR(Q68/I68-1,"")</f>
        <v>0.35593999999999992</v>
      </c>
      <c r="U68" s="83" t="str">
        <f>IFERROR((W68-Q68)/W68,"")</f>
        <v/>
      </c>
      <c r="V68" s="83" t="str">
        <f>IFERROR(IF(W68="","",W68/I68-1),"")</f>
        <v/>
      </c>
      <c r="W68" s="84" t="s">
        <v>1269</v>
      </c>
    </row>
    <row r="69" spans="1:24" ht="30" x14ac:dyDescent="0.25">
      <c r="A69" s="80">
        <v>158383</v>
      </c>
      <c r="B69" s="80">
        <f>VLOOKUP($A69,'Выгр Кат'!$A:$R,B$1,0)</f>
        <v>18987</v>
      </c>
      <c r="C69" s="81" t="str">
        <f>VLOOKUP($A69,'Выгр Кат'!$A:$R,C$1,0)</f>
        <v>Комплект вспышек ФСО 48W "тонкие" (16 светодиодов по 3 ВТ)</v>
      </c>
      <c r="D69" s="80" t="str">
        <f>VLOOKUP($A69,'Выгр Кат'!$A:$R,D$1,0)</f>
        <v>Y</v>
      </c>
      <c r="E69" s="80" t="str">
        <f>VLOOKUP($A69,'Выгр Кат'!$A:$R,E$1,0)</f>
        <v>1ск1</v>
      </c>
      <c r="F69" s="80" t="str">
        <f>VLOOKUP($A69,'Выгр Кат'!$A:$R,F$1,0)</f>
        <v>JR-28-48w</v>
      </c>
      <c r="G69" s="80" t="str">
        <f>VLOOKUP($A69,'Выгр Кат'!$A:$R,G$1,0)</f>
        <v>https://motorring.ru/product/11751-diodnaya-balka-48w-a-blighniy-3vt</v>
      </c>
      <c r="H69" s="67" t="s">
        <v>3</v>
      </c>
      <c r="I69" s="82">
        <v>500</v>
      </c>
      <c r="J69" s="5">
        <f>VLOOKUP(I69,Наценка!$A$1:$G$8,2,1)</f>
        <v>1.45</v>
      </c>
      <c r="K69" s="89">
        <f>W69*1.07</f>
        <v>631.30000000000007</v>
      </c>
      <c r="L69" s="70">
        <f>IF(K69&lt;=1000,(ROUNDUP(K69,-1)-1),(ROUNDUP(K69,-2)-10))</f>
        <v>639</v>
      </c>
      <c r="M69" s="80">
        <f>VLOOKUP($A69,'Выгр Кат'!$A:$R,M$1,0)</f>
        <v>500</v>
      </c>
      <c r="N69" s="80">
        <f>VLOOKUP($A69,'Выгр Кат'!$A:$R,N$1,0)</f>
        <v>649</v>
      </c>
      <c r="O69" s="28">
        <f>M69-I69</f>
        <v>0</v>
      </c>
      <c r="P69" s="28">
        <f>N69-L69</f>
        <v>10</v>
      </c>
      <c r="Q69" s="36">
        <f>IFERROR(L69*(1-$Q$2),"")</f>
        <v>594.27</v>
      </c>
      <c r="R69" s="38">
        <f>IFERROR(VLOOKUP($A69,'Из Гугла'!$B:$G,6,0)*S69,VLOOKUP($A69,'Из Гугла'!$B:$G,6,0))</f>
        <v>590</v>
      </c>
      <c r="S69" s="14">
        <v>1</v>
      </c>
      <c r="T69" s="83">
        <f>IFERROR(Q69/I69-1,"")</f>
        <v>0.18853999999999993</v>
      </c>
      <c r="U69" s="83">
        <f>IFERROR((W69-Q69)/W69,"")</f>
        <v>-7.2372881355931892E-3</v>
      </c>
      <c r="V69" s="83">
        <f>IFERROR(IF(W69="","",W69/I69-1),"")</f>
        <v>0.17999999999999994</v>
      </c>
      <c r="W69" s="84">
        <v>590</v>
      </c>
      <c r="X69" s="71" t="s">
        <v>751</v>
      </c>
    </row>
    <row r="70" spans="1:24" ht="30" x14ac:dyDescent="0.25">
      <c r="A70" s="80">
        <v>133286</v>
      </c>
      <c r="B70" s="80">
        <f>VLOOKUP($A70,'Выгр Кат'!$A:$R,B$1,0)</f>
        <v>23930</v>
      </c>
      <c r="C70" s="81" t="str">
        <f>VLOOKUP($A70,'Выгр Кат'!$A:$R,C$1,0)</f>
        <v>Балка дополнительного освещения (48 Вт, квадрат, белый свет)</v>
      </c>
      <c r="D70" s="80" t="str">
        <f>VLOOKUP($A70,'Выгр Кат'!$A:$R,D$1,0)</f>
        <v>Y</v>
      </c>
      <c r="E70" s="80" t="str">
        <f>VLOOKUP($A70,'Выгр Кат'!$A:$R,E$1,0)</f>
        <v>1</v>
      </c>
      <c r="F70" s="80" t="str">
        <f>VLOOKUP($A70,'Выгр Кат'!$A:$R,F$1,0)</f>
        <v>XFZMZBZ-48W</v>
      </c>
      <c r="G70" s="80">
        <f>VLOOKUP($A70,'Выгр Кат'!$A:$R,G$1,0)</f>
        <v>0</v>
      </c>
      <c r="H70" s="67" t="s">
        <v>3</v>
      </c>
      <c r="I70" s="82">
        <v>500</v>
      </c>
      <c r="J70" s="5">
        <f>VLOOKUP(I70,Наценка!$A$1:$G$8,2,1)</f>
        <v>1.45</v>
      </c>
      <c r="K70" s="34">
        <f>I70*J70</f>
        <v>725</v>
      </c>
      <c r="L70" s="70">
        <f>IF(K70&lt;=1000,(ROUNDUP(K70,-1)-1),(ROUNDUP(K70,-2)-10))</f>
        <v>729</v>
      </c>
      <c r="M70" s="80">
        <f>VLOOKUP($A70,'Выгр Кат'!$A:$R,M$1,0)</f>
        <v>500</v>
      </c>
      <c r="N70" s="80">
        <f>VLOOKUP($A70,'Выгр Кат'!$A:$R,N$1,0)</f>
        <v>729</v>
      </c>
      <c r="O70" s="28">
        <f>M70-I70</f>
        <v>0</v>
      </c>
      <c r="P70" s="28">
        <f>N70-L70</f>
        <v>0</v>
      </c>
      <c r="Q70" s="36">
        <f>IFERROR(L70*(1-$Q$2),"")</f>
        <v>677.96999999999991</v>
      </c>
      <c r="R70" s="38" t="str">
        <f>IFERROR(VLOOKUP($A70,'Из Гугла'!$B:$G,6,0)*S70,VLOOKUP($A70,'Из Гугла'!$B:$G,6,0))</f>
        <v/>
      </c>
      <c r="S70" s="14">
        <v>1</v>
      </c>
      <c r="T70" s="83">
        <f>IFERROR(Q70/I70-1,"")</f>
        <v>0.35593999999999992</v>
      </c>
      <c r="U70" s="83" t="str">
        <f>IFERROR((W70-Q70)/W70,"")</f>
        <v/>
      </c>
      <c r="V70" s="83" t="str">
        <f>IFERROR(IF(W70="","",W70/I70-1),"")</f>
        <v/>
      </c>
      <c r="W70" s="84" t="s">
        <v>1269</v>
      </c>
    </row>
    <row r="71" spans="1:24" ht="30" x14ac:dyDescent="0.25">
      <c r="A71" s="80">
        <v>133288</v>
      </c>
      <c r="B71" s="80">
        <f>VLOOKUP($A71,'Выгр Кат'!$A:$R,B$1,0)</f>
        <v>23946</v>
      </c>
      <c r="C71" s="81" t="str">
        <f>VLOOKUP($A71,'Выгр Кат'!$A:$R,C$1,0)</f>
        <v>Балка дополнительного освещения (круглая)</v>
      </c>
      <c r="D71" s="80" t="str">
        <f>VLOOKUP($A71,'Выгр Кат'!$A:$R,D$1,0)</f>
        <v>Y</v>
      </c>
      <c r="E71" s="80" t="str">
        <f>VLOOKUP($A71,'Выгр Кат'!$A:$R,E$1,0)</f>
        <v>1</v>
      </c>
      <c r="F71" s="80" t="str">
        <f>VLOOKUP($A71,'Выгр Кат'!$A:$R,F$1,0)</f>
        <v>30R black</v>
      </c>
      <c r="G71" s="80" t="str">
        <f>VLOOKUP($A71,'Выгр Кат'!$A:$R,G$1,0)</f>
        <v>https://motorring.ru/product/19338-diodnaya-balka-l-30</v>
      </c>
      <c r="H71" s="67" t="s">
        <v>3</v>
      </c>
      <c r="I71" s="82">
        <v>500</v>
      </c>
      <c r="J71" s="5">
        <f>VLOOKUP(I71,Наценка!$A$1:$G$8,2,1)</f>
        <v>1.45</v>
      </c>
      <c r="K71" s="53">
        <f>W71*1</f>
        <v>990</v>
      </c>
      <c r="L71" s="70">
        <f>IF(K71&lt;=1000,(ROUNDUP(K71,-1)-1),(ROUNDUP(K71,-2)-10))</f>
        <v>989</v>
      </c>
      <c r="M71" s="80">
        <f>VLOOKUP($A71,'Выгр Кат'!$A:$R,M$1,0)</f>
        <v>500</v>
      </c>
      <c r="N71" s="80">
        <f>VLOOKUP($A71,'Выгр Кат'!$A:$R,N$1,0)</f>
        <v>989</v>
      </c>
      <c r="O71" s="28">
        <f>M71-I71</f>
        <v>0</v>
      </c>
      <c r="P71" s="28">
        <f>N71-L71</f>
        <v>0</v>
      </c>
      <c r="Q71" s="36">
        <f>IFERROR(L71*(1-$Q$2),"")</f>
        <v>919.77</v>
      </c>
      <c r="R71" s="38">
        <f>IFERROR(VLOOKUP($A71,'Из Гугла'!$B:$G,6,0)*S71,VLOOKUP($A71,'Из Гугла'!$B:$G,6,0))</f>
        <v>990</v>
      </c>
      <c r="S71" s="14">
        <v>1</v>
      </c>
      <c r="T71" s="83">
        <f>IFERROR(Q71/I71-1,"")</f>
        <v>0.83953999999999995</v>
      </c>
      <c r="U71" s="83">
        <f>IFERROR((W71-Q71)/W71,"")</f>
        <v>7.0939393939393955E-2</v>
      </c>
      <c r="V71" s="83">
        <f>IFERROR(IF(W71="","",W71/I71-1),"")</f>
        <v>0.98</v>
      </c>
      <c r="W71" s="84">
        <v>990</v>
      </c>
      <c r="X71" s="71" t="s">
        <v>1466</v>
      </c>
    </row>
    <row r="72" spans="1:24" ht="30" x14ac:dyDescent="0.25">
      <c r="A72" s="80">
        <v>133341</v>
      </c>
      <c r="B72" s="80">
        <f>VLOOKUP($A72,'Выгр Кат'!$A:$R,B$1,0)</f>
        <v>23955</v>
      </c>
      <c r="C72" s="81" t="str">
        <f>VLOOKUP($A72,'Выгр Кат'!$A:$R,C$1,0)</f>
        <v>Балки дополнительного освещения "10R" (LED, белый свет)</v>
      </c>
      <c r="D72" s="80" t="str">
        <f>VLOOKUP($A72,'Выгр Кат'!$A:$R,D$1,0)</f>
        <v>Y</v>
      </c>
      <c r="E72" s="80" t="str">
        <f>VLOOKUP($A72,'Выгр Кат'!$A:$R,E$1,0)</f>
        <v>1</v>
      </c>
      <c r="F72" s="80" t="str">
        <f>VLOOKUP($A72,'Выгр Кат'!$A:$R,F$1,0)</f>
        <v>10R</v>
      </c>
      <c r="G72" s="80" t="str">
        <f>VLOOKUP($A72,'Выгр Кат'!$A:$R,G$1,0)</f>
        <v>https://motorring.ru/product/19341-diodnaya-balka</v>
      </c>
      <c r="H72" s="67" t="s">
        <v>3</v>
      </c>
      <c r="I72" s="82">
        <v>500</v>
      </c>
      <c r="J72" s="5">
        <f>VLOOKUP(I72,Наценка!$A$1:$G$8,2,1)</f>
        <v>1.45</v>
      </c>
      <c r="K72" s="56">
        <f>W72*1.06</f>
        <v>837.40000000000009</v>
      </c>
      <c r="L72" s="70">
        <f>IF(K72&lt;=1000,(ROUNDUP(K72,-1)-1),(ROUNDUP(K72,-2)-10))</f>
        <v>839</v>
      </c>
      <c r="M72" s="80">
        <f>VLOOKUP($A72,'Выгр Кат'!$A:$R,M$1,0)</f>
        <v>500</v>
      </c>
      <c r="N72" s="80">
        <f>VLOOKUP($A72,'Выгр Кат'!$A:$R,N$1,0)</f>
        <v>839</v>
      </c>
      <c r="O72" s="28">
        <f>M72-I72</f>
        <v>0</v>
      </c>
      <c r="P72" s="28">
        <f>N72-L72</f>
        <v>0</v>
      </c>
      <c r="Q72" s="36">
        <f>IFERROR(L72*(1-$Q$2),"")</f>
        <v>780.27</v>
      </c>
      <c r="R72" s="38">
        <f>IFERROR(VLOOKUP($A72,'Из Гугла'!$B:$G,6,0)*S72,VLOOKUP($A72,'Из Гугла'!$B:$G,6,0))</f>
        <v>790</v>
      </c>
      <c r="S72" s="14">
        <v>1</v>
      </c>
      <c r="T72" s="83">
        <f>IFERROR(Q72/I72-1,"")</f>
        <v>0.56054000000000004</v>
      </c>
      <c r="U72" s="83">
        <f>IFERROR((W72-Q72)/W72,"")</f>
        <v>1.2316455696202554E-2</v>
      </c>
      <c r="V72" s="83">
        <f>IFERROR(IF(W72="","",W72/I72-1),"")</f>
        <v>0.58000000000000007</v>
      </c>
      <c r="W72" s="84">
        <v>790</v>
      </c>
      <c r="X72" s="71" t="s">
        <v>1471</v>
      </c>
    </row>
    <row r="73" spans="1:24" ht="30.75" thickBot="1" x14ac:dyDescent="0.3">
      <c r="A73" s="80">
        <v>133342</v>
      </c>
      <c r="B73" s="80">
        <f>VLOOKUP($A73,'Выгр Кат'!$A:$R,B$1,0)</f>
        <v>23960</v>
      </c>
      <c r="C73" s="81" t="str">
        <f>VLOOKUP($A73,'Выгр Кат'!$A:$R,C$1,0)</f>
        <v>Балки дополнительного освещения "10S" (LED, белый свет)</v>
      </c>
      <c r="D73" s="80" t="str">
        <f>VLOOKUP($A73,'Выгр Кат'!$A:$R,D$1,0)</f>
        <v>Y</v>
      </c>
      <c r="E73" s="80" t="str">
        <f>VLOOKUP($A73,'Выгр Кат'!$A:$R,E$1,0)</f>
        <v>1</v>
      </c>
      <c r="F73" s="80" t="str">
        <f>VLOOKUP($A73,'Выгр Кат'!$A:$R,F$1,0)</f>
        <v>10S</v>
      </c>
      <c r="G73" s="80" t="str">
        <f>VLOOKUP($A73,'Выгр Кат'!$A:$R,G$1,0)</f>
        <v>https://motorring.ru/product/19332-diodnaya-balka-10s</v>
      </c>
      <c r="H73" s="67" t="s">
        <v>3</v>
      </c>
      <c r="I73" s="82">
        <v>500</v>
      </c>
      <c r="J73" s="5">
        <f>VLOOKUP(I73,Наценка!$A$1:$G$8,2,1)</f>
        <v>1.45</v>
      </c>
      <c r="K73" s="53">
        <f>W73*1</f>
        <v>1190</v>
      </c>
      <c r="L73" s="70">
        <f>IF(K73&lt;=1000,(ROUNDUP(K73,-1)-1),(ROUNDUP(K73,-2)-10))</f>
        <v>1190</v>
      </c>
      <c r="M73" s="80">
        <f>VLOOKUP($A73,'Выгр Кат'!$A:$R,M$1,0)</f>
        <v>500</v>
      </c>
      <c r="N73" s="80">
        <f>VLOOKUP($A73,'Выгр Кат'!$A:$R,N$1,0)</f>
        <v>1190</v>
      </c>
      <c r="O73" s="28">
        <f>M73-I73</f>
        <v>0</v>
      </c>
      <c r="P73" s="28">
        <f>N73-L73</f>
        <v>0</v>
      </c>
      <c r="Q73" s="36">
        <f>IFERROR(L73*(1-$Q$2),"")</f>
        <v>1106.6999999999998</v>
      </c>
      <c r="R73" s="38">
        <f>IFERROR(VLOOKUP($A73,'Из Гугла'!$B:$G,6,0)*S73,VLOOKUP($A73,'Из Гугла'!$B:$G,6,0))</f>
        <v>1190</v>
      </c>
      <c r="S73" s="14">
        <v>1</v>
      </c>
      <c r="T73" s="83">
        <f>IFERROR(Q73/I73-1,"")</f>
        <v>1.2133999999999996</v>
      </c>
      <c r="U73" s="83">
        <f>IFERROR((W73-Q73)/W73,"")</f>
        <v>7.0000000000000159E-2</v>
      </c>
      <c r="V73" s="83">
        <f>IFERROR(IF(W73="","",W73/I73-1),"")</f>
        <v>1.38</v>
      </c>
      <c r="W73" s="94">
        <v>1190</v>
      </c>
      <c r="X73" s="71" t="s">
        <v>1472</v>
      </c>
    </row>
    <row r="74" spans="1:24" ht="30" x14ac:dyDescent="0.25">
      <c r="A74" s="80">
        <v>133222</v>
      </c>
      <c r="B74" s="80">
        <f>VLOOKUP($A74,'Выгр Кат'!$A:$R,B$1,0)</f>
        <v>23966</v>
      </c>
      <c r="C74" s="81" t="str">
        <f>VLOOKUP($A74,'Выгр Кат'!$A:$R,C$1,0)</f>
        <v>Балка дополнительного освещения "24S" (LED, белый свет)</v>
      </c>
      <c r="D74" s="80" t="str">
        <f>VLOOKUP($A74,'Выгр Кат'!$A:$R,D$1,0)</f>
        <v>Y</v>
      </c>
      <c r="E74" s="80" t="str">
        <f>VLOOKUP($A74,'Выгр Кат'!$A:$R,E$1,0)</f>
        <v>1</v>
      </c>
      <c r="F74" s="80" t="str">
        <f>VLOOKUP($A74,'Выгр Кат'!$A:$R,F$1,0)</f>
        <v>24S</v>
      </c>
      <c r="G74" s="80" t="str">
        <f>VLOOKUP($A74,'Выгр Кат'!$A:$R,G$1,0)</f>
        <v>https://motorring.ru/product/19349-diodnaya-balka-24s</v>
      </c>
      <c r="H74" s="67" t="s">
        <v>3</v>
      </c>
      <c r="I74" s="82">
        <v>500</v>
      </c>
      <c r="J74" s="5">
        <f>VLOOKUP(I74,Наценка!$A$1:$G$8,2,1)</f>
        <v>1.45</v>
      </c>
      <c r="K74" s="53">
        <f>W74*1</f>
        <v>990</v>
      </c>
      <c r="L74" s="70">
        <f>IF(K74&lt;=1000,(ROUNDUP(K74,-1)-1),(ROUNDUP(K74,-2)-10))</f>
        <v>989</v>
      </c>
      <c r="M74" s="80">
        <f>VLOOKUP($A74,'Выгр Кат'!$A:$R,M$1,0)</f>
        <v>500</v>
      </c>
      <c r="N74" s="80">
        <f>VLOOKUP($A74,'Выгр Кат'!$A:$R,N$1,0)</f>
        <v>989</v>
      </c>
      <c r="O74" s="28">
        <f>M74-I74</f>
        <v>0</v>
      </c>
      <c r="P74" s="28">
        <f>N74-L74</f>
        <v>0</v>
      </c>
      <c r="Q74" s="36">
        <f>IFERROR(L74*(1-$Q$2),"")</f>
        <v>919.77</v>
      </c>
      <c r="R74" s="38">
        <f>IFERROR(VLOOKUP($A74,'Из Гугла'!$B:$G,6,0)*S74,VLOOKUP($A74,'Из Гугла'!$B:$G,6,0))</f>
        <v>990</v>
      </c>
      <c r="S74" s="14">
        <v>1</v>
      </c>
      <c r="T74" s="83">
        <f>IFERROR(Q74/I74-1,"")</f>
        <v>0.83953999999999995</v>
      </c>
      <c r="U74" s="83">
        <f>IFERROR((W74-Q74)/W74,"")</f>
        <v>7.0939393939393955E-2</v>
      </c>
      <c r="V74" s="83">
        <f>IFERROR(IF(W74="","",W74/I74-1),"")</f>
        <v>0.98</v>
      </c>
      <c r="W74" s="84">
        <v>990</v>
      </c>
      <c r="X74" s="71" t="s">
        <v>1467</v>
      </c>
    </row>
    <row r="75" spans="1:24" ht="30" x14ac:dyDescent="0.25">
      <c r="A75" s="80">
        <v>133243</v>
      </c>
      <c r="B75" s="80">
        <f>VLOOKUP($A75,'Выгр Кат'!$A:$R,B$1,0)</f>
        <v>24001</v>
      </c>
      <c r="C75" s="81" t="str">
        <f>VLOOKUP($A75,'Выгр Кат'!$A:$R,C$1,0)</f>
        <v>Балка дополнительного освещения "48s" (LED, белый свет, 30мм)</v>
      </c>
      <c r="D75" s="80" t="str">
        <f>VLOOKUP($A75,'Выгр Кат'!$A:$R,D$1,0)</f>
        <v>Y</v>
      </c>
      <c r="E75" s="80" t="str">
        <f>VLOOKUP($A75,'Выгр Кат'!$A:$R,E$1,0)</f>
        <v>1</v>
      </c>
      <c r="F75" s="80" t="str">
        <f>VLOOKUP($A75,'Выгр Кат'!$A:$R,F$1,0)</f>
        <v>48S</v>
      </c>
      <c r="G75" s="80">
        <f>VLOOKUP($A75,'Выгр Кат'!$A:$R,G$1,0)</f>
        <v>0</v>
      </c>
      <c r="H75" s="67" t="s">
        <v>3</v>
      </c>
      <c r="I75" s="82">
        <v>500</v>
      </c>
      <c r="J75" s="5">
        <f>VLOOKUP(I75,Наценка!$A$1:$G$8,2,1)</f>
        <v>1.45</v>
      </c>
      <c r="K75" s="34">
        <f>I75*J75</f>
        <v>725</v>
      </c>
      <c r="L75" s="70">
        <f>IF(K75&lt;=1000,(ROUNDUP(K75,-1)-1),(ROUNDUP(K75,-2)-10))</f>
        <v>729</v>
      </c>
      <c r="M75" s="80">
        <f>VLOOKUP($A75,'Выгр Кат'!$A:$R,M$1,0)</f>
        <v>500</v>
      </c>
      <c r="N75" s="80">
        <f>VLOOKUP($A75,'Выгр Кат'!$A:$R,N$1,0)</f>
        <v>729</v>
      </c>
      <c r="O75" s="28">
        <f>M75-I75</f>
        <v>0</v>
      </c>
      <c r="P75" s="28">
        <f>N75-L75</f>
        <v>0</v>
      </c>
      <c r="Q75" s="36">
        <f>IFERROR(L75*(1-$Q$2),"")</f>
        <v>677.96999999999991</v>
      </c>
      <c r="R75" s="38" t="str">
        <f>IFERROR(VLOOKUP($A75,'Из Гугла'!$B:$G,6,0)*S75,VLOOKUP($A75,'Из Гугла'!$B:$G,6,0))</f>
        <v/>
      </c>
      <c r="S75" s="14">
        <v>1</v>
      </c>
      <c r="T75" s="83">
        <f>IFERROR(Q75/I75-1,"")</f>
        <v>0.35593999999999992</v>
      </c>
      <c r="U75" s="83" t="str">
        <f>IFERROR((W75-Q75)/W75,"")</f>
        <v/>
      </c>
      <c r="V75" s="83" t="str">
        <f>IFERROR(IF(W75="","",W75/I75-1),"")</f>
        <v/>
      </c>
      <c r="W75" s="84" t="s">
        <v>1269</v>
      </c>
    </row>
    <row r="76" spans="1:24" ht="45" x14ac:dyDescent="0.25">
      <c r="A76" s="80">
        <v>133246</v>
      </c>
      <c r="B76" s="80">
        <f>VLOOKUP($A76,'Выгр Кат'!$A:$R,B$1,0)</f>
        <v>24003</v>
      </c>
      <c r="C76" s="81" t="str">
        <f>VLOOKUP($A76,'Выгр Кат'!$A:$R,C$1,0)</f>
        <v>Балка дополнительного освещения "48S1" (LED, комбинированный свет, квадрат)</v>
      </c>
      <c r="D76" s="80" t="str">
        <f>VLOOKUP($A76,'Выгр Кат'!$A:$R,D$1,0)</f>
        <v>Y</v>
      </c>
      <c r="E76" s="80" t="str">
        <f>VLOOKUP($A76,'Выгр Кат'!$A:$R,E$1,0)</f>
        <v>1</v>
      </c>
      <c r="F76" s="80" t="str">
        <f>VLOOKUP($A76,'Выгр Кат'!$A:$R,F$1,0)</f>
        <v>48S1</v>
      </c>
      <c r="G76" s="80">
        <f>VLOOKUP($A76,'Выгр Кат'!$A:$R,G$1,0)</f>
        <v>0</v>
      </c>
      <c r="H76" s="67" t="s">
        <v>3</v>
      </c>
      <c r="I76" s="82">
        <v>500</v>
      </c>
      <c r="J76" s="5">
        <f>VLOOKUP(I76,Наценка!$A$1:$G$8,2,1)</f>
        <v>1.45</v>
      </c>
      <c r="K76" s="34">
        <f>I76*J76</f>
        <v>725</v>
      </c>
      <c r="L76" s="70">
        <f>IF(K76&lt;=1000,(ROUNDUP(K76,-1)-1),(ROUNDUP(K76,-2)-10))</f>
        <v>729</v>
      </c>
      <c r="M76" s="80">
        <f>VLOOKUP($A76,'Выгр Кат'!$A:$R,M$1,0)</f>
        <v>500</v>
      </c>
      <c r="N76" s="80">
        <f>VLOOKUP($A76,'Выгр Кат'!$A:$R,N$1,0)</f>
        <v>729</v>
      </c>
      <c r="O76" s="28">
        <f>M76-I76</f>
        <v>0</v>
      </c>
      <c r="P76" s="28">
        <f>N76-L76</f>
        <v>0</v>
      </c>
      <c r="Q76" s="36">
        <f>IFERROR(L76*(1-$Q$2),"")</f>
        <v>677.96999999999991</v>
      </c>
      <c r="R76" s="38" t="str">
        <f>IFERROR(VLOOKUP($A76,'Из Гугла'!$B:$G,6,0)*S76,VLOOKUP($A76,'Из Гугла'!$B:$G,6,0))</f>
        <v/>
      </c>
      <c r="S76" s="14">
        <v>1</v>
      </c>
      <c r="T76" s="83">
        <f>IFERROR(Q76/I76-1,"")</f>
        <v>0.35593999999999992</v>
      </c>
      <c r="U76" s="83" t="str">
        <f>IFERROR((W76-Q76)/W76,"")</f>
        <v/>
      </c>
      <c r="V76" s="83" t="str">
        <f>IFERROR(IF(W76="","",W76/I76-1),"")</f>
        <v/>
      </c>
      <c r="W76" s="84" t="s">
        <v>1269</v>
      </c>
    </row>
    <row r="77" spans="1:24" ht="45" x14ac:dyDescent="0.25">
      <c r="A77" s="80">
        <v>133272</v>
      </c>
      <c r="B77" s="80">
        <f>VLOOKUP($A77,'Выгр Кат'!$A:$R,B$1,0)</f>
        <v>24047</v>
      </c>
      <c r="C77" s="81" t="str">
        <f>VLOOKUP($A77,'Выгр Кат'!$A:$R,C$1,0)</f>
        <v>Балка дополнительного освещения "HP-GZD-011/W" (LED, круг, белый свет)</v>
      </c>
      <c r="D77" s="80" t="str">
        <f>VLOOKUP($A77,'Выгр Кат'!$A:$R,D$1,0)</f>
        <v>Y</v>
      </c>
      <c r="E77" s="80" t="str">
        <f>VLOOKUP($A77,'Выгр Кат'!$A:$R,E$1,0)</f>
        <v>1</v>
      </c>
      <c r="F77" s="80" t="str">
        <f>VLOOKUP($A77,'Выгр Кат'!$A:$R,F$1,0)</f>
        <v>HP-GZD-011/W</v>
      </c>
      <c r="G77" s="80">
        <f>VLOOKUP($A77,'Выгр Кат'!$A:$R,G$1,0)</f>
        <v>0</v>
      </c>
      <c r="H77" s="67" t="s">
        <v>3</v>
      </c>
      <c r="I77" s="82">
        <v>500</v>
      </c>
      <c r="J77" s="5">
        <f>VLOOKUP(I77,Наценка!$A$1:$G$8,2,1)</f>
        <v>1.45</v>
      </c>
      <c r="K77" s="34">
        <f>I77*J77</f>
        <v>725</v>
      </c>
      <c r="L77" s="70">
        <f>IF(K77&lt;=1000,(ROUNDUP(K77,-1)-1),(ROUNDUP(K77,-2)-10))</f>
        <v>729</v>
      </c>
      <c r="M77" s="80">
        <f>VLOOKUP($A77,'Выгр Кат'!$A:$R,M$1,0)</f>
        <v>500</v>
      </c>
      <c r="N77" s="80">
        <f>VLOOKUP($A77,'Выгр Кат'!$A:$R,N$1,0)</f>
        <v>729</v>
      </c>
      <c r="O77" s="28">
        <f>M77-I77</f>
        <v>0</v>
      </c>
      <c r="P77" s="28">
        <f>N77-L77</f>
        <v>0</v>
      </c>
      <c r="Q77" s="36">
        <f>IFERROR(L77*(1-$Q$2),"")</f>
        <v>677.96999999999991</v>
      </c>
      <c r="R77" s="38" t="str">
        <f>IFERROR(VLOOKUP($A77,'Из Гугла'!$B:$G,6,0)*S77,VLOOKUP($A77,'Из Гугла'!$B:$G,6,0))</f>
        <v/>
      </c>
      <c r="S77" s="14">
        <v>1</v>
      </c>
      <c r="T77" s="83">
        <f>IFERROR(Q77/I77-1,"")</f>
        <v>0.35593999999999992</v>
      </c>
      <c r="U77" s="83" t="str">
        <f>IFERROR((W77-Q77)/W77,"")</f>
        <v/>
      </c>
      <c r="V77" s="83" t="str">
        <f>IFERROR(IF(W77="","",W77/I77-1),"")</f>
        <v/>
      </c>
      <c r="W77" s="84" t="s">
        <v>1269</v>
      </c>
    </row>
    <row r="78" spans="1:24" ht="30" x14ac:dyDescent="0.25">
      <c r="A78" s="80">
        <v>117271</v>
      </c>
      <c r="B78" s="80">
        <f>VLOOKUP($A78,'Выгр Кат'!$A:$R,B$1,0)</f>
        <v>12129</v>
      </c>
      <c r="C78" s="81" t="str">
        <f>VLOOKUP($A78,'Выгр Кат'!$A:$R,C$1,0)</f>
        <v>LED "PN-7" (диодные) повторители поворота для Лада Нива 4х4</v>
      </c>
      <c r="D78" s="80" t="str">
        <f>VLOOKUP($A78,'Выгр Кат'!$A:$R,D$1,0)</f>
        <v>Y</v>
      </c>
      <c r="E78" s="80" t="str">
        <f>VLOOKUP($A78,'Выгр Кат'!$A:$R,E$1,0)</f>
        <v>1</v>
      </c>
      <c r="F78" s="80" t="str">
        <f>VLOOKUP($A78,'Выгр Кат'!$A:$R,F$1,0)</f>
        <v>PN-7</v>
      </c>
      <c r="G78" s="80" t="str">
        <f>VLOOKUP($A78,'Выгр Кат'!$A:$R,G$1,0)</f>
        <v>https://motorring.ru/product/42183-povtoriteli-povorota-oranzevaya-polosa-lada-niva-4h4</v>
      </c>
      <c r="H78" s="67" t="s">
        <v>3</v>
      </c>
      <c r="I78" s="82">
        <v>500</v>
      </c>
      <c r="J78" s="5">
        <f>VLOOKUP(I78,Наценка!$A$1:$G$8,2,1)</f>
        <v>1.45</v>
      </c>
      <c r="K78" s="34">
        <f>I78*J78</f>
        <v>725</v>
      </c>
      <c r="L78" s="70">
        <f>IF(K78&lt;=1000,(ROUNDUP(K78,-1)-1),(ROUNDUP(K78,-2)-10))</f>
        <v>729</v>
      </c>
      <c r="M78" s="80">
        <f>VLOOKUP($A78,'Выгр Кат'!$A:$R,M$1,0)</f>
        <v>500</v>
      </c>
      <c r="N78" s="80">
        <f>VLOOKUP($A78,'Выгр Кат'!$A:$R,N$1,0)</f>
        <v>729</v>
      </c>
      <c r="O78" s="28">
        <f>M78-I78</f>
        <v>0</v>
      </c>
      <c r="P78" s="28">
        <f>N78-L78</f>
        <v>0</v>
      </c>
      <c r="Q78" s="36">
        <f>IFERROR(L78*(1-$Q$2),"")</f>
        <v>677.96999999999991</v>
      </c>
      <c r="R78" s="38">
        <f>IFERROR(VLOOKUP($A78,'Из Гугла'!$B:$G,6,0)*S78,VLOOKUP($A78,'Из Гугла'!$B:$G,6,0))</f>
        <v>529</v>
      </c>
      <c r="S78" s="14">
        <v>1</v>
      </c>
      <c r="T78" s="83">
        <f>IFERROR(Q78/I78-1,"")</f>
        <v>0.35593999999999992</v>
      </c>
      <c r="U78" s="83">
        <f>IFERROR((W78-Q78)/W78,"")</f>
        <v>-0.28160680529300552</v>
      </c>
      <c r="V78" s="83">
        <f>IFERROR(IF(W78="","",W78/I78-1),"")</f>
        <v>5.8000000000000052E-2</v>
      </c>
      <c r="W78" s="84">
        <v>529</v>
      </c>
      <c r="X78" s="71" t="s">
        <v>1454</v>
      </c>
    </row>
    <row r="79" spans="1:24" ht="30" x14ac:dyDescent="0.25">
      <c r="A79" s="80">
        <v>194077</v>
      </c>
      <c r="B79" s="80">
        <f>VLOOKUP($A79,'Выгр Кат'!$A:$R,B$1,0)</f>
        <v>19344</v>
      </c>
      <c r="C79" s="81" t="str">
        <f>VLOOKUP($A79,'Выгр Кат'!$A:$R,C$1,0)</f>
        <v>Повторители поворота полосы белые PN-4 для Лада Нива 4х4</v>
      </c>
      <c r="D79" s="80" t="str">
        <f>VLOOKUP($A79,'Выгр Кат'!$A:$R,D$1,0)</f>
        <v>Y</v>
      </c>
      <c r="E79" s="80" t="str">
        <f>VLOOKUP($A79,'Выгр Кат'!$A:$R,E$1,0)</f>
        <v>1</v>
      </c>
      <c r="F79" s="80" t="str">
        <f>VLOOKUP($A79,'Выгр Кат'!$A:$R,F$1,0)</f>
        <v>PN-4</v>
      </c>
      <c r="G79" s="80" t="str">
        <f>VLOOKUP($A79,'Выгр Кат'!$A:$R,G$1,0)</f>
        <v>https://motorring.ru/product/22263-led-povtoriteli-povorotnika-l-obraznym-risunkom-polosy</v>
      </c>
      <c r="H79" s="67" t="s">
        <v>3</v>
      </c>
      <c r="I79" s="82">
        <v>500</v>
      </c>
      <c r="J79" s="5">
        <f>VLOOKUP(I79,Наценка!$A$1:$G$8,2,1)</f>
        <v>1.45</v>
      </c>
      <c r="K79" s="57">
        <f>W79*1.07</f>
        <v>631.30000000000007</v>
      </c>
      <c r="L79" s="70">
        <f>IF(K79&lt;=1000,(ROUNDUP(K79,-1)-1),(ROUNDUP(K79,-2)-10))</f>
        <v>639</v>
      </c>
      <c r="M79" s="80">
        <f>VLOOKUP($A79,'Выгр Кат'!$A:$R,M$1,0)</f>
        <v>500</v>
      </c>
      <c r="N79" s="80">
        <f>VLOOKUP($A79,'Выгр Кат'!$A:$R,N$1,0)</f>
        <v>649</v>
      </c>
      <c r="O79" s="28">
        <f>M79-I79</f>
        <v>0</v>
      </c>
      <c r="P79" s="28">
        <f>N79-L79</f>
        <v>10</v>
      </c>
      <c r="Q79" s="36">
        <f>IFERROR(L79*(1-$Q$2),"")</f>
        <v>594.27</v>
      </c>
      <c r="R79" s="38">
        <f>IFERROR(VLOOKUP($A79,'Из Гугла'!$B:$G,6,0)*S79,VLOOKUP($A79,'Из Гугла'!$B:$G,6,0))</f>
        <v>590</v>
      </c>
      <c r="S79" s="14">
        <v>1</v>
      </c>
      <c r="T79" s="83">
        <f>IFERROR(Q79/I79-1,"")</f>
        <v>0.18853999999999993</v>
      </c>
      <c r="U79" s="83">
        <f>IFERROR((W79-Q79)/W79,"")</f>
        <v>-7.2372881355931892E-3</v>
      </c>
      <c r="V79" s="83">
        <f>IFERROR(IF(W79="","",W79/I79-1),"")</f>
        <v>0.17999999999999994</v>
      </c>
      <c r="W79" s="84">
        <v>590</v>
      </c>
      <c r="X79" s="71" t="s">
        <v>1452</v>
      </c>
    </row>
    <row r="80" spans="1:24" ht="30" x14ac:dyDescent="0.25">
      <c r="A80" s="80">
        <v>194092</v>
      </c>
      <c r="B80" s="80">
        <f>VLOOKUP($A80,'Выгр Кат'!$A:$R,B$1,0)</f>
        <v>13668</v>
      </c>
      <c r="C80" s="81" t="str">
        <f>VLOOKUP($A80,'Выгр Кат'!$A:$R,C$1,0)</f>
        <v>Повторители с надписью "URBAN" (диодные, белые) для Лада Нива 4х4</v>
      </c>
      <c r="D80" s="80" t="str">
        <f>VLOOKUP($A80,'Выгр Кат'!$A:$R,D$1,0)</f>
        <v>Y</v>
      </c>
      <c r="E80" s="80" t="str">
        <f>VLOOKUP($A80,'Выгр Кат'!$A:$R,E$1,0)</f>
        <v>1</v>
      </c>
      <c r="F80" s="80">
        <f>VLOOKUP($A80,'Выгр Кат'!$A:$R,F$1,0)</f>
        <v>0</v>
      </c>
      <c r="G80" s="80" t="str">
        <f>VLOOKUP($A80,'Выгр Кат'!$A:$R,G$1,0)</f>
        <v>https://motorring.ru/product/42182-povtoriteli-povorota-beliye-nadpisyyu-urban-lada-niva-4h4</v>
      </c>
      <c r="H80" s="67" t="s">
        <v>3</v>
      </c>
      <c r="I80" s="82">
        <v>500</v>
      </c>
      <c r="J80" s="5">
        <f>VLOOKUP(I80,Наценка!$A$1:$G$8,2,1)</f>
        <v>1.45</v>
      </c>
      <c r="K80" s="89">
        <f>W80*1.07</f>
        <v>631.30000000000007</v>
      </c>
      <c r="L80" s="70">
        <f>IF(K80&lt;=1000,(ROUNDUP(K80,-1)-1),(ROUNDUP(K80,-2)-10))</f>
        <v>639</v>
      </c>
      <c r="M80" s="80">
        <f>VLOOKUP($A80,'Выгр Кат'!$A:$R,M$1,0)</f>
        <v>500</v>
      </c>
      <c r="N80" s="80">
        <f>VLOOKUP($A80,'Выгр Кат'!$A:$R,N$1,0)</f>
        <v>649</v>
      </c>
      <c r="O80" s="28">
        <f>M80-I80</f>
        <v>0</v>
      </c>
      <c r="P80" s="28">
        <f>N80-L80</f>
        <v>10</v>
      </c>
      <c r="Q80" s="36">
        <f>IFERROR(L80*(1-$Q$2),"")</f>
        <v>594.27</v>
      </c>
      <c r="R80" s="38">
        <f>IFERROR(VLOOKUP($A80,'Из Гугла'!$B:$G,6,0)*S80,VLOOKUP($A80,'Из Гугла'!$B:$G,6,0))</f>
        <v>590</v>
      </c>
      <c r="S80" s="14">
        <v>1</v>
      </c>
      <c r="T80" s="83">
        <f>IFERROR(Q80/I80-1,"")</f>
        <v>0.18853999999999993</v>
      </c>
      <c r="U80" s="83">
        <f>IFERROR((W80-Q80)/W80,"")</f>
        <v>-7.2372881355931892E-3</v>
      </c>
      <c r="V80" s="83">
        <f>IFERROR(IF(W80="","",W80/I80-1),"")</f>
        <v>0.17999999999999994</v>
      </c>
      <c r="W80" s="84">
        <v>590</v>
      </c>
      <c r="X80" s="71" t="s">
        <v>1448</v>
      </c>
    </row>
    <row r="81" spans="1:24" ht="45" x14ac:dyDescent="0.25">
      <c r="A81" s="80">
        <v>117277</v>
      </c>
      <c r="B81" s="80">
        <f>VLOOKUP($A81,'Выгр Кат'!$A:$R,B$1,0)</f>
        <v>13669</v>
      </c>
      <c r="C81" s="81" t="str">
        <f>VLOOKUP($A81,'Выгр Кат'!$A:$R,C$1,0)</f>
        <v>LED (диодные белые 3 полосы) повторители поворота для Лада Нива 4х4</v>
      </c>
      <c r="D81" s="80" t="str">
        <f>VLOOKUP($A81,'Выгр Кат'!$A:$R,D$1,0)</f>
        <v>Y</v>
      </c>
      <c r="E81" s="80" t="str">
        <f>VLOOKUP($A81,'Выгр Кат'!$A:$R,E$1,0)</f>
        <v>1</v>
      </c>
      <c r="F81" s="80" t="str">
        <f>VLOOKUP($A81,'Выгр Кат'!$A:$R,F$1,0)</f>
        <v>HP-BD8-01</v>
      </c>
      <c r="G81" s="80" t="str">
        <f>VLOOKUP($A81,'Выгр Кат'!$A:$R,G$1,0)</f>
        <v>https://motorring.ru/product/42185-povtoriteli-povorota-l-obraznym-risunkom-beliye-lada-niva-4h4</v>
      </c>
      <c r="H81" s="67" t="s">
        <v>3</v>
      </c>
      <c r="I81" s="82">
        <v>500</v>
      </c>
      <c r="J81" s="5">
        <f>VLOOKUP(I81,Наценка!$A$1:$G$8,2,1)</f>
        <v>1.45</v>
      </c>
      <c r="K81" s="57">
        <f>W81*1.07</f>
        <v>631.30000000000007</v>
      </c>
      <c r="L81" s="70">
        <f>IF(K81&lt;=1000,(ROUNDUP(K81,-1)-1),(ROUNDUP(K81,-2)-10))</f>
        <v>639</v>
      </c>
      <c r="M81" s="80">
        <f>VLOOKUP($A81,'Выгр Кат'!$A:$R,M$1,0)</f>
        <v>500</v>
      </c>
      <c r="N81" s="80">
        <f>VLOOKUP($A81,'Выгр Кат'!$A:$R,N$1,0)</f>
        <v>649</v>
      </c>
      <c r="O81" s="28">
        <f>M81-I81</f>
        <v>0</v>
      </c>
      <c r="P81" s="28">
        <f>N81-L81</f>
        <v>10</v>
      </c>
      <c r="Q81" s="36">
        <f>IFERROR(L81*(1-$Q$2),"")</f>
        <v>594.27</v>
      </c>
      <c r="R81" s="38">
        <f>IFERROR(VLOOKUP($A81,'Из Гугла'!$B:$G,6,0)*S81,VLOOKUP($A81,'Из Гугла'!$B:$G,6,0))</f>
        <v>590</v>
      </c>
      <c r="S81" s="14">
        <v>1</v>
      </c>
      <c r="T81" s="83">
        <f>IFERROR(Q81/I81-1,"")</f>
        <v>0.18853999999999993</v>
      </c>
      <c r="U81" s="83">
        <f>IFERROR((W81-Q81)/W81,"")</f>
        <v>-7.2372881355931892E-3</v>
      </c>
      <c r="V81" s="83">
        <f>IFERROR(IF(W81="","",W81/I81-1),"")</f>
        <v>0.17999999999999994</v>
      </c>
      <c r="W81" s="84">
        <v>590</v>
      </c>
      <c r="X81" s="71" t="s">
        <v>1449</v>
      </c>
    </row>
    <row r="82" spans="1:24" ht="45" x14ac:dyDescent="0.25">
      <c r="A82" s="80">
        <v>194091</v>
      </c>
      <c r="B82" s="80">
        <f>VLOOKUP($A82,'Выгр Кат'!$A:$R,B$1,0)</f>
        <v>18188</v>
      </c>
      <c r="C82" s="81" t="str">
        <f>VLOOKUP($A82,'Выгр Кат'!$A:$R,C$1,0)</f>
        <v>Повторители с надписью "NIVA"  PN-3 (диодные, белая подсветка) для Лада Нива 4х4, Нива 4х4 Урбан</v>
      </c>
      <c r="D82" s="80" t="str">
        <f>VLOOKUP($A82,'Выгр Кат'!$A:$R,D$1,0)</f>
        <v>Y</v>
      </c>
      <c r="E82" s="80" t="str">
        <f>VLOOKUP($A82,'Выгр Кат'!$A:$R,E$1,0)</f>
        <v>1</v>
      </c>
      <c r="F82" s="80" t="str">
        <f>VLOOKUP($A82,'Выгр Кат'!$A:$R,F$1,0)</f>
        <v>PN-3</v>
      </c>
      <c r="G82" s="80" t="str">
        <f>VLOOKUP($A82,'Выгр Кат'!$A:$R,G$1,0)</f>
        <v>https://motorring.ru/product/21205-povtoriteli-povorota-led-nadpisyyu-niva-lada-niva-4h4</v>
      </c>
      <c r="H82" s="67" t="s">
        <v>3</v>
      </c>
      <c r="I82" s="82">
        <v>500</v>
      </c>
      <c r="J82" s="5">
        <f>VLOOKUP(I82,Наценка!$A$1:$G$8,2,1)</f>
        <v>1.45</v>
      </c>
      <c r="K82" s="88">
        <f>I82*J82</f>
        <v>725</v>
      </c>
      <c r="L82" s="70">
        <f>IF(K82&lt;=1000,(ROUNDUP(K82,-1)-1),(ROUNDUP(K82,-2)-10))</f>
        <v>729</v>
      </c>
      <c r="M82" s="80">
        <f>VLOOKUP($A82,'Выгр Кат'!$A:$R,M$1,0)</f>
        <v>500</v>
      </c>
      <c r="N82" s="80">
        <f>VLOOKUP($A82,'Выгр Кат'!$A:$R,N$1,0)</f>
        <v>729</v>
      </c>
      <c r="O82" s="28">
        <f>M82-I82</f>
        <v>0</v>
      </c>
      <c r="P82" s="28">
        <f>N82-L82</f>
        <v>0</v>
      </c>
      <c r="Q82" s="36">
        <f>IFERROR(L82*(1-$Q$2),"")</f>
        <v>677.96999999999991</v>
      </c>
      <c r="R82" s="38">
        <f>IFERROR(VLOOKUP($A82,'Из Гугла'!$B:$G,6,0)*S82,VLOOKUP($A82,'Из Гугла'!$B:$G,6,0))</f>
        <v>929</v>
      </c>
      <c r="S82" s="14">
        <v>1</v>
      </c>
      <c r="T82" s="83">
        <f>IFERROR(Q82/I82-1,"")</f>
        <v>0.35593999999999992</v>
      </c>
      <c r="U82" s="83" t="str">
        <f>IFERROR((W82-Q82)/W82,"")</f>
        <v/>
      </c>
      <c r="V82" s="83" t="str">
        <f>IFERROR(IF(W82="","",W82/I82-1),"")</f>
        <v/>
      </c>
      <c r="W82" s="84" t="s">
        <v>1446</v>
      </c>
      <c r="X82" s="71" t="s">
        <v>1445</v>
      </c>
    </row>
    <row r="83" spans="1:24" ht="30" x14ac:dyDescent="0.25">
      <c r="A83" s="80">
        <v>194093</v>
      </c>
      <c r="B83" s="80">
        <f>VLOOKUP($A83,'Выгр Кат'!$A:$R,B$1,0)</f>
        <v>19618</v>
      </c>
      <c r="C83" s="81" t="str">
        <f>VLOOKUP($A83,'Выгр Кат'!$A:$R,C$1,0)</f>
        <v>Повторители с надписью "URBAN" (диодные, жёлтые) для Лада Нива 4х4</v>
      </c>
      <c r="D83" s="80" t="str">
        <f>VLOOKUP($A83,'Выгр Кат'!$A:$R,D$1,0)</f>
        <v>Y</v>
      </c>
      <c r="E83" s="80" t="str">
        <f>VLOOKUP($A83,'Выгр Кат'!$A:$R,E$1,0)</f>
        <v>1</v>
      </c>
      <c r="F83" s="80">
        <f>VLOOKUP($A83,'Выгр Кат'!$A:$R,F$1,0)</f>
        <v>0</v>
      </c>
      <c r="G83" s="80" t="str">
        <f>VLOOKUP($A83,'Выгр Кат'!$A:$R,G$1,0)</f>
        <v>https://motorring.ru/product/20303-povtoriteli-povorota-nadpisyyu-urban-lada-niva-4h4</v>
      </c>
      <c r="H83" s="67" t="s">
        <v>3</v>
      </c>
      <c r="I83" s="82">
        <v>500</v>
      </c>
      <c r="J83" s="5">
        <f>VLOOKUP(I83,Наценка!$A$1:$G$8,2,1)</f>
        <v>1.45</v>
      </c>
      <c r="K83" s="88">
        <f>I83*J83</f>
        <v>725</v>
      </c>
      <c r="L83" s="70">
        <f>IF(K83&lt;=1000,(ROUNDUP(K83,-1)-1),(ROUNDUP(K83,-2)-10))</f>
        <v>729</v>
      </c>
      <c r="M83" s="80">
        <f>VLOOKUP($A83,'Выгр Кат'!$A:$R,M$1,0)</f>
        <v>500</v>
      </c>
      <c r="N83" s="80">
        <f>VLOOKUP($A83,'Выгр Кат'!$A:$R,N$1,0)</f>
        <v>729</v>
      </c>
      <c r="O83" s="28">
        <f>M83-I83</f>
        <v>0</v>
      </c>
      <c r="P83" s="28">
        <f>N83-L83</f>
        <v>0</v>
      </c>
      <c r="Q83" s="36">
        <f>IFERROR(L83*(1-$Q$2),"")</f>
        <v>677.96999999999991</v>
      </c>
      <c r="R83" s="38">
        <f>IFERROR(VLOOKUP($A83,'Из Гугла'!$B:$G,6,0)*S83,VLOOKUP($A83,'Из Гугла'!$B:$G,6,0))</f>
        <v>529</v>
      </c>
      <c r="S83" s="14">
        <v>1</v>
      </c>
      <c r="T83" s="83">
        <f>IFERROR(Q83/I83-1,"")</f>
        <v>0.35593999999999992</v>
      </c>
      <c r="U83" s="83">
        <f>IFERROR((W83-Q83)/W83,"")</f>
        <v>-0.28160680529300552</v>
      </c>
      <c r="V83" s="83">
        <f>IFERROR(IF(W83="","",W83/I83-1),"")</f>
        <v>5.8000000000000052E-2</v>
      </c>
      <c r="W83" s="84">
        <v>529</v>
      </c>
      <c r="X83" s="71" t="s">
        <v>1444</v>
      </c>
    </row>
    <row r="84" spans="1:24" ht="45" x14ac:dyDescent="0.25">
      <c r="A84" s="80">
        <v>133232</v>
      </c>
      <c r="B84" s="80">
        <f>VLOOKUP($A84,'Выгр Кат'!$A:$R,B$1,0)</f>
        <v>23994</v>
      </c>
      <c r="C84" s="81" t="str">
        <f>VLOOKUP($A84,'Выгр Кат'!$A:$R,C$1,0)</f>
        <v>Балка дополнительного освещения "30s" (противотуманная, LED, прямоугольный, белый свет)</v>
      </c>
      <c r="D84" s="80" t="str">
        <f>VLOOKUP($A84,'Выгр Кат'!$A:$R,D$1,0)</f>
        <v>Y</v>
      </c>
      <c r="E84" s="80" t="str">
        <f>VLOOKUP($A84,'Выгр Кат'!$A:$R,E$1,0)</f>
        <v>1</v>
      </c>
      <c r="F84" s="80" t="str">
        <f>VLOOKUP($A84,'Выгр Кат'!$A:$R,F$1,0)</f>
        <v>30s black</v>
      </c>
      <c r="G84" s="80" t="str">
        <f>VLOOKUP($A84,'Выгр Кат'!$A:$R,G$1,0)</f>
        <v>https://motorring.ru/product/19334-diodnaya-balka-k-30</v>
      </c>
      <c r="H84" s="67" t="s">
        <v>3</v>
      </c>
      <c r="I84" s="82">
        <v>550</v>
      </c>
      <c r="J84" s="5">
        <f>VLOOKUP(I84,Наценка!$A$1:$G$8,2,1)</f>
        <v>1.45</v>
      </c>
      <c r="K84" s="53">
        <f>W84*1</f>
        <v>990</v>
      </c>
      <c r="L84" s="70">
        <f>IF(K84&lt;=1000,(ROUNDUP(K84,-1)-1),(ROUNDUP(K84,-2)-10))</f>
        <v>989</v>
      </c>
      <c r="M84" s="80">
        <f>VLOOKUP($A84,'Выгр Кат'!$A:$R,M$1,0)</f>
        <v>550</v>
      </c>
      <c r="N84" s="80">
        <f>VLOOKUP($A84,'Выгр Кат'!$A:$R,N$1,0)</f>
        <v>989</v>
      </c>
      <c r="O84" s="28">
        <f>M84-I84</f>
        <v>0</v>
      </c>
      <c r="P84" s="28">
        <f>N84-L84</f>
        <v>0</v>
      </c>
      <c r="Q84" s="36">
        <f>IFERROR(L84*(1-$Q$2),"")</f>
        <v>919.77</v>
      </c>
      <c r="R84" s="38">
        <f>IFERROR(VLOOKUP($A84,'Из Гугла'!$B:$G,6,0)*S84,VLOOKUP($A84,'Из Гугла'!$B:$G,6,0))</f>
        <v>990</v>
      </c>
      <c r="S84" s="14">
        <v>1</v>
      </c>
      <c r="T84" s="83">
        <f>IFERROR(Q84/I84-1,"")</f>
        <v>0.67230909090909097</v>
      </c>
      <c r="U84" s="83">
        <f>IFERROR((W84-Q84)/W84,"")</f>
        <v>7.0939393939393955E-2</v>
      </c>
      <c r="V84" s="83">
        <f>IFERROR(IF(W84="","",W84/I84-1),"")</f>
        <v>0.8</v>
      </c>
      <c r="W84" s="84">
        <v>990</v>
      </c>
      <c r="X84" s="71" t="s">
        <v>1465</v>
      </c>
    </row>
    <row r="85" spans="1:24" ht="30" x14ac:dyDescent="0.25">
      <c r="A85" s="80">
        <v>133285</v>
      </c>
      <c r="B85" s="80">
        <f>VLOOKUP($A85,'Выгр Кат'!$A:$R,B$1,0)</f>
        <v>24055</v>
      </c>
      <c r="C85" s="81" t="str">
        <f>VLOOKUP($A85,'Выгр Кат'!$A:$R,C$1,0)</f>
        <v>Балка дополнительного освещения "YS-45W" (круглая, LED, белый свет)</v>
      </c>
      <c r="D85" s="80" t="str">
        <f>VLOOKUP($A85,'Выгр Кат'!$A:$R,D$1,0)</f>
        <v>Y</v>
      </c>
      <c r="E85" s="80" t="str">
        <f>VLOOKUP($A85,'Выгр Кат'!$A:$R,E$1,0)</f>
        <v>1</v>
      </c>
      <c r="F85" s="80" t="str">
        <f>VLOOKUP($A85,'Выгр Кат'!$A:$R,F$1,0)</f>
        <v>YS-45W</v>
      </c>
      <c r="G85" s="80" t="str">
        <f>VLOOKUP($A85,'Выгр Кат'!$A:$R,G$1,0)</f>
        <v>https://motorring.ru/product/20182-diodnaya-balka-ys-45w</v>
      </c>
      <c r="H85" s="67" t="s">
        <v>3</v>
      </c>
      <c r="I85" s="82">
        <v>550</v>
      </c>
      <c r="J85" s="5">
        <f>VLOOKUP(I85,Наценка!$A$1:$G$8,2,1)</f>
        <v>1.45</v>
      </c>
      <c r="K85" s="91">
        <f>W85*1</f>
        <v>1290</v>
      </c>
      <c r="L85" s="70">
        <f>IF(K85&lt;=1000,(ROUNDUP(K85,-1)-1),(ROUNDUP(K85,-2)-10))</f>
        <v>1290</v>
      </c>
      <c r="M85" s="80">
        <f>VLOOKUP($A85,'Выгр Кат'!$A:$R,M$1,0)</f>
        <v>550</v>
      </c>
      <c r="N85" s="80">
        <f>VLOOKUP($A85,'Выгр Кат'!$A:$R,N$1,0)</f>
        <v>1290</v>
      </c>
      <c r="O85" s="28">
        <f>M85-I85</f>
        <v>0</v>
      </c>
      <c r="P85" s="28">
        <f>N85-L85</f>
        <v>0</v>
      </c>
      <c r="Q85" s="36">
        <f>IFERROR(L85*(1-$Q$2),"")</f>
        <v>1199.6999999999998</v>
      </c>
      <c r="R85" s="38">
        <f>IFERROR(VLOOKUP($A85,'Из Гугла'!$B:$G,6,0)*S85,VLOOKUP($A85,'Из Гугла'!$B:$G,6,0))</f>
        <v>1290</v>
      </c>
      <c r="S85" s="14">
        <v>1</v>
      </c>
      <c r="T85" s="83">
        <f>IFERROR(Q85/I85-1,"")</f>
        <v>1.1812727272727268</v>
      </c>
      <c r="U85" s="83">
        <f>IFERROR((W85-Q85)/W85,"")</f>
        <v>7.0000000000000145E-2</v>
      </c>
      <c r="V85" s="83">
        <f>IFERROR(IF(W85="","",W85/I85-1),"")</f>
        <v>1.3454545454545452</v>
      </c>
      <c r="W85" s="84">
        <v>1290</v>
      </c>
      <c r="X85" s="71" t="s">
        <v>1464</v>
      </c>
    </row>
    <row r="86" spans="1:24" ht="30" x14ac:dyDescent="0.25">
      <c r="A86" s="80">
        <v>193605</v>
      </c>
      <c r="B86" s="80">
        <f>VLOOKUP($A86,'Выгр Кат'!$A:$R,B$1,0)</f>
        <v>5160</v>
      </c>
      <c r="C86" s="81" t="str">
        <f>VLOOKUP($A86,'Выгр Кат'!$A:$R,C$1,0)</f>
        <v>Переходник для установки рулевого колеса ВАЗ 2101-2107, Лада Нива 4х4</v>
      </c>
      <c r="D86" s="80" t="str">
        <f>VLOOKUP($A86,'Выгр Кат'!$A:$R,D$1,0)</f>
        <v>Y</v>
      </c>
      <c r="E86" s="80" t="str">
        <f>VLOOKUP($A86,'Выгр Кат'!$A:$R,E$1,0)</f>
        <v>1</v>
      </c>
      <c r="F86" s="80" t="str">
        <f>VLOOKUP($A86,'Выгр Кат'!$A:$R,F$1,0)</f>
        <v>801</v>
      </c>
      <c r="G86" s="80" t="str">
        <f>VLOOKUP($A86,'Выгр Кат'!$A:$R,G$1,0)</f>
        <v>https://motorring.ru/product/15374-perehodnik-dlya-ustanovki-sportivnogo-rulya-vaz-2101-2107</v>
      </c>
      <c r="H86" s="67" t="s">
        <v>3</v>
      </c>
      <c r="I86" s="82">
        <v>550</v>
      </c>
      <c r="J86" s="5">
        <f>VLOOKUP(I86,Наценка!$A$1:$G$8,2,1)</f>
        <v>1.45</v>
      </c>
      <c r="K86" s="87">
        <f>W86*1.06</f>
        <v>943.40000000000009</v>
      </c>
      <c r="L86" s="70">
        <f>IF(K86&lt;=1000,(ROUNDUP(K86,-1)-1),(ROUNDUP(K86,-2)-10))</f>
        <v>949</v>
      </c>
      <c r="M86" s="80">
        <f>VLOOKUP($A86,'Выгр Кат'!$A:$R,M$1,0)</f>
        <v>550</v>
      </c>
      <c r="N86" s="80">
        <f>VLOOKUP($A86,'Выгр Кат'!$A:$R,N$1,0)</f>
        <v>949</v>
      </c>
      <c r="O86" s="28">
        <f>M86-I86</f>
        <v>0</v>
      </c>
      <c r="P86" s="28">
        <f>N86-L86</f>
        <v>0</v>
      </c>
      <c r="Q86" s="36">
        <f>IFERROR(L86*(1-$Q$2),"")</f>
        <v>882.56999999999994</v>
      </c>
      <c r="R86" s="38">
        <f>IFERROR(VLOOKUP($A86,'Из Гугла'!$B:$G,6,0)*S86,VLOOKUP($A86,'Из Гугла'!$B:$G,6,0))</f>
        <v>890</v>
      </c>
      <c r="S86" s="14">
        <v>1</v>
      </c>
      <c r="T86" s="83">
        <f>IFERROR(Q86/I86-1,"")</f>
        <v>0.60467272727272725</v>
      </c>
      <c r="U86" s="83">
        <f>IFERROR((W86-Q86)/W86,"")</f>
        <v>8.3483146067416438E-3</v>
      </c>
      <c r="V86" s="83">
        <f>IFERROR(IF(W86="","",W86/I86-1),"")</f>
        <v>0.61818181818181817</v>
      </c>
      <c r="W86" s="84">
        <v>890</v>
      </c>
      <c r="X86" s="71" t="s">
        <v>1363</v>
      </c>
    </row>
    <row r="87" spans="1:24" ht="30" x14ac:dyDescent="0.25">
      <c r="A87" s="80">
        <v>223077</v>
      </c>
      <c r="B87" s="80">
        <f>VLOOKUP($A87,'Выгр Кат'!$A:$R,B$1,0)</f>
        <v>8265</v>
      </c>
      <c r="C87" s="81" t="str">
        <f>VLOOKUP($A87,'Выгр Кат'!$A:$R,C$1,0)</f>
        <v>Универсальные ПТФ "DLAA" LA8050RY лазер</v>
      </c>
      <c r="D87" s="80" t="str">
        <f>VLOOKUP($A87,'Выгр Кат'!$A:$R,D$1,0)</f>
        <v>Y</v>
      </c>
      <c r="E87" s="80" t="str">
        <f>VLOOKUP($A87,'Выгр Кат'!$A:$R,E$1,0)</f>
        <v>1</v>
      </c>
      <c r="F87" s="80" t="str">
        <f>VLOOKUP($A87,'Выгр Кат'!$A:$R,F$1,0)</f>
        <v>LA8050RY</v>
      </c>
      <c r="G87" s="80">
        <f>VLOOKUP($A87,'Выгр Кат'!$A:$R,G$1,0)</f>
        <v>0</v>
      </c>
      <c r="H87" s="67" t="s">
        <v>3</v>
      </c>
      <c r="I87" s="82">
        <v>550</v>
      </c>
      <c r="J87" s="5">
        <f>VLOOKUP(I87,Наценка!$A$1:$G$8,2,1)</f>
        <v>1.45</v>
      </c>
      <c r="K87" s="34">
        <f>I87*J87</f>
        <v>797.5</v>
      </c>
      <c r="L87" s="70">
        <f>IF(K87&lt;=1000,(ROUNDUP(K87,-1)-1),(ROUNDUP(K87,-2)-10))</f>
        <v>799</v>
      </c>
      <c r="M87" s="80">
        <f>VLOOKUP($A87,'Выгр Кат'!$A:$R,M$1,0)</f>
        <v>550</v>
      </c>
      <c r="N87" s="80">
        <f>VLOOKUP($A87,'Выгр Кат'!$A:$R,N$1,0)</f>
        <v>799</v>
      </c>
      <c r="O87" s="28">
        <f>M87-I87</f>
        <v>0</v>
      </c>
      <c r="P87" s="28">
        <f>N87-L87</f>
        <v>0</v>
      </c>
      <c r="Q87" s="36">
        <f>IFERROR(L87*(1-$Q$2),"")</f>
        <v>743.06999999999994</v>
      </c>
      <c r="R87" s="38" t="str">
        <f>IFERROR(VLOOKUP($A87,'Из Гугла'!$B:$G,6,0)*S87,VLOOKUP($A87,'Из Гугла'!$B:$G,6,0))</f>
        <v/>
      </c>
      <c r="S87" s="14">
        <v>1</v>
      </c>
      <c r="T87" s="83">
        <f>IFERROR(Q87/I87-1,"")</f>
        <v>0.35103636363636359</v>
      </c>
      <c r="U87" s="83" t="str">
        <f>IFERROR((W87-Q87)/W87,"")</f>
        <v/>
      </c>
      <c r="V87" s="83" t="str">
        <f>IFERROR(IF(W87="","",W87/I87-1),"")</f>
        <v/>
      </c>
      <c r="W87" s="84" t="s">
        <v>1269</v>
      </c>
    </row>
    <row r="88" spans="1:24" ht="45" x14ac:dyDescent="0.25">
      <c r="A88" s="80">
        <v>117279</v>
      </c>
      <c r="B88" s="80">
        <f>VLOOKUP($A88,'Выгр Кат'!$A:$R,B$1,0)</f>
        <v>13921</v>
      </c>
      <c r="C88" s="81" t="str">
        <f>VLOOKUP($A88,'Выгр Кат'!$A:$R,C$1,0)</f>
        <v>LED (диодные квадраты с полосой) повторители поворота "PN-1" для Лада Нива 4х4</v>
      </c>
      <c r="D88" s="80" t="str">
        <f>VLOOKUP($A88,'Выгр Кат'!$A:$R,D$1,0)</f>
        <v>Y</v>
      </c>
      <c r="E88" s="80" t="str">
        <f>VLOOKUP($A88,'Выгр Кат'!$A:$R,E$1,0)</f>
        <v>1</v>
      </c>
      <c r="F88" s="80" t="str">
        <f>VLOOKUP($A88,'Выгр Кат'!$A:$R,F$1,0)</f>
        <v>PN-1</v>
      </c>
      <c r="G88" s="80" t="str">
        <f>VLOOKUP($A88,'Выгр Кат'!$A:$R,G$1,0)</f>
        <v>https://motorring.ru/product/22265-led-povtoriteli-povorotnika-risunkom-kvadraty-belye-lada</v>
      </c>
      <c r="H88" s="67" t="s">
        <v>3</v>
      </c>
      <c r="I88" s="82">
        <v>550</v>
      </c>
      <c r="J88" s="5">
        <f>VLOOKUP(I88,Наценка!$A$1:$G$8,2,1)</f>
        <v>1.45</v>
      </c>
      <c r="K88" s="88">
        <f>I88*J88</f>
        <v>797.5</v>
      </c>
      <c r="L88" s="70">
        <f>IF(K88&lt;=1000,(ROUNDUP(K88,-1)-1),(ROUNDUP(K88,-2)-10))</f>
        <v>799</v>
      </c>
      <c r="M88" s="80">
        <f>VLOOKUP($A88,'Выгр Кат'!$A:$R,M$1,0)</f>
        <v>550</v>
      </c>
      <c r="N88" s="80">
        <f>VLOOKUP($A88,'Выгр Кат'!$A:$R,N$1,0)</f>
        <v>799</v>
      </c>
      <c r="O88" s="28">
        <f>M88-I88</f>
        <v>0</v>
      </c>
      <c r="P88" s="28">
        <f>N88-L88</f>
        <v>0</v>
      </c>
      <c r="Q88" s="36">
        <f>IFERROR(L88*(1-$Q$2),"")</f>
        <v>743.06999999999994</v>
      </c>
      <c r="R88" s="38">
        <f>IFERROR(VLOOKUP($A88,'Из Гугла'!$B:$G,6,0)*S88,VLOOKUP($A88,'Из Гугла'!$B:$G,6,0))</f>
        <v>590</v>
      </c>
      <c r="S88" s="14">
        <v>1</v>
      </c>
      <c r="T88" s="83">
        <f>IFERROR(Q88/I88-1,"")</f>
        <v>0.35103636363636359</v>
      </c>
      <c r="U88" s="83">
        <f>IFERROR((W88-Q88)/W88,"")</f>
        <v>-0.2594406779661016</v>
      </c>
      <c r="V88" s="83">
        <f>IFERROR(IF(W88="","",W88/I88-1),"")</f>
        <v>7.2727272727272751E-2</v>
      </c>
      <c r="W88" s="84">
        <v>590</v>
      </c>
      <c r="X88" s="71" t="s">
        <v>1453</v>
      </c>
    </row>
    <row r="89" spans="1:24" ht="45" x14ac:dyDescent="0.25">
      <c r="A89" s="80">
        <v>133251</v>
      </c>
      <c r="B89" s="80">
        <f>VLOOKUP($A89,'Выгр Кат'!$A:$R,B$1,0)</f>
        <v>24021</v>
      </c>
      <c r="C89" s="81" t="str">
        <f>VLOOKUP($A89,'Выгр Кат'!$A:$R,C$1,0)</f>
        <v>Балка дополнительного освещения "C5-120" (LED, белый свет, прямоугольная)</v>
      </c>
      <c r="D89" s="80" t="str">
        <f>VLOOKUP($A89,'Выгр Кат'!$A:$R,D$1,0)</f>
        <v>Y</v>
      </c>
      <c r="E89" s="80" t="str">
        <f>VLOOKUP($A89,'Выгр Кат'!$A:$R,E$1,0)</f>
        <v>1</v>
      </c>
      <c r="F89" s="80" t="str">
        <f>VLOOKUP($A89,'Выгр Кат'!$A:$R,F$1,0)</f>
        <v>c5-120</v>
      </c>
      <c r="G89" s="80">
        <f>VLOOKUP($A89,'Выгр Кат'!$A:$R,G$1,0)</f>
        <v>0</v>
      </c>
      <c r="H89" s="67" t="s">
        <v>3</v>
      </c>
      <c r="I89" s="82">
        <v>550</v>
      </c>
      <c r="J89" s="5">
        <f>VLOOKUP(I89,Наценка!$A$1:$G$8,2,1)</f>
        <v>1.45</v>
      </c>
      <c r="K89" s="88">
        <f>I89*J89</f>
        <v>797.5</v>
      </c>
      <c r="L89" s="70">
        <f>IF(K89&lt;=1000,(ROUNDUP(K89,-1)-1),(ROUNDUP(K89,-2)-10))</f>
        <v>799</v>
      </c>
      <c r="M89" s="80">
        <f>VLOOKUP($A89,'Выгр Кат'!$A:$R,M$1,0)</f>
        <v>550</v>
      </c>
      <c r="N89" s="80">
        <f>VLOOKUP($A89,'Выгр Кат'!$A:$R,N$1,0)</f>
        <v>799</v>
      </c>
      <c r="O89" s="28">
        <f>M89-I89</f>
        <v>0</v>
      </c>
      <c r="P89" s="28">
        <f>N89-L89</f>
        <v>0</v>
      </c>
      <c r="Q89" s="36">
        <f>IFERROR(L89*(1-$Q$2),"")</f>
        <v>743.06999999999994</v>
      </c>
      <c r="R89" s="38" t="str">
        <f>IFERROR(VLOOKUP($A89,'Из Гугла'!$B:$G,6,0)*S89,VLOOKUP($A89,'Из Гугла'!$B:$G,6,0))</f>
        <v/>
      </c>
      <c r="S89" s="14">
        <v>1</v>
      </c>
      <c r="T89" s="83">
        <f>IFERROR(Q89/I89-1,"")</f>
        <v>0.35103636363636359</v>
      </c>
      <c r="U89" s="83" t="str">
        <f>IFERROR((W89-Q89)/W89,"")</f>
        <v/>
      </c>
      <c r="V89" s="83" t="str">
        <f>IFERROR(IF(W89="","",W89/I89-1),"")</f>
        <v/>
      </c>
      <c r="W89" s="84" t="s">
        <v>1269</v>
      </c>
    </row>
    <row r="90" spans="1:24" ht="45" x14ac:dyDescent="0.25">
      <c r="A90" s="80">
        <v>193611</v>
      </c>
      <c r="B90" s="80">
        <f>VLOOKUP($A90,'Выгр Кат'!$A:$R,B$1,0)</f>
        <v>5161</v>
      </c>
      <c r="C90" s="81" t="str">
        <f>VLOOKUP($A90,'Выгр Кат'!$A:$R,C$1,0)</f>
        <v>Переходник установки рулевого колеса (руля) для ВАЗ 2108-21099, 2110-2112 С/О, 2113-2115</v>
      </c>
      <c r="D90" s="80" t="str">
        <f>VLOOKUP($A90,'Выгр Кат'!$A:$R,D$1,0)</f>
        <v>Y</v>
      </c>
      <c r="E90" s="80" t="str">
        <f>VLOOKUP($A90,'Выгр Кат'!$A:$R,E$1,0)</f>
        <v>1</v>
      </c>
      <c r="F90" s="80" t="str">
        <f>VLOOKUP($A90,'Выгр Кат'!$A:$R,F$1,0)</f>
        <v>802</v>
      </c>
      <c r="G90" s="80" t="str">
        <f>VLOOKUP($A90,'Выгр Кат'!$A:$R,G$1,0)</f>
        <v>https://motorring.ru/product/20818-perehodnik-dlya-ustanovki-sportivnogo-rulya-vaz-2108-21099</v>
      </c>
      <c r="H90" s="67" t="s">
        <v>3</v>
      </c>
      <c r="I90" s="82">
        <v>550</v>
      </c>
      <c r="J90" s="5">
        <f>VLOOKUP(I90,Наценка!$A$1:$G$8,2,1)</f>
        <v>1.45</v>
      </c>
      <c r="K90" s="56">
        <f>W90*1.06</f>
        <v>943.40000000000009</v>
      </c>
      <c r="L90" s="70">
        <f>IF(K90&lt;=1000,(ROUNDUP(K90,-1)-1),(ROUNDUP(K90,-2)-10))</f>
        <v>949</v>
      </c>
      <c r="M90" s="80">
        <f>VLOOKUP($A90,'Выгр Кат'!$A:$R,M$1,0)</f>
        <v>550</v>
      </c>
      <c r="N90" s="80">
        <f>VLOOKUP($A90,'Выгр Кат'!$A:$R,N$1,0)</f>
        <v>949</v>
      </c>
      <c r="O90" s="28">
        <f>M90-I90</f>
        <v>0</v>
      </c>
      <c r="P90" s="28">
        <f>N90-L90</f>
        <v>0</v>
      </c>
      <c r="Q90" s="36">
        <f>IFERROR(L90*(1-$Q$2),"")</f>
        <v>882.56999999999994</v>
      </c>
      <c r="R90" s="38">
        <f>IFERROR(VLOOKUP($A90,'Из Гугла'!$B:$G,6,0)*S90,VLOOKUP($A90,'Из Гугла'!$B:$G,6,0))</f>
        <v>890</v>
      </c>
      <c r="S90" s="14">
        <v>1</v>
      </c>
      <c r="T90" s="83">
        <f>IFERROR(Q90/I90-1,"")</f>
        <v>0.60467272727272725</v>
      </c>
      <c r="U90" s="83">
        <f>IFERROR((W90-Q90)/W90,"")</f>
        <v>8.3483146067416438E-3</v>
      </c>
      <c r="V90" s="83">
        <f>IFERROR(IF(W90="","",W90/I90-1),"")</f>
        <v>0.61818181818181817</v>
      </c>
      <c r="W90" s="84">
        <v>890</v>
      </c>
      <c r="X90" s="71" t="s">
        <v>1434</v>
      </c>
    </row>
    <row r="91" spans="1:24" ht="30" x14ac:dyDescent="0.25">
      <c r="A91" s="80">
        <v>213581</v>
      </c>
      <c r="B91" s="80">
        <f>VLOOKUP($A91,'Выгр Кат'!$A:$R,B$1,0)</f>
        <v>18609</v>
      </c>
      <c r="C91" s="81" t="str">
        <f>VLOOKUP($A91,'Выгр Кат'!$A:$R,C$1,0)</f>
        <v>Светодиодная вспышка ФСО 54 Вт "YS-54"</v>
      </c>
      <c r="D91" s="80" t="str">
        <f>VLOOKUP($A91,'Выгр Кат'!$A:$R,D$1,0)</f>
        <v>Y</v>
      </c>
      <c r="E91" s="80" t="str">
        <f>VLOOKUP($A91,'Выгр Кат'!$A:$R,E$1,0)</f>
        <v>1</v>
      </c>
      <c r="F91" s="80" t="str">
        <f>VLOOKUP($A91,'Выгр Кат'!$A:$R,F$1,0)</f>
        <v>YS-54</v>
      </c>
      <c r="G91" s="80" t="str">
        <f>VLOOKUP($A91,'Выгр Кат'!$A:$R,G$1,0)</f>
        <v>https://motorring.ru/product/20181-svetodiodnye-vspyshki-fso-54w</v>
      </c>
      <c r="H91" s="67" t="s">
        <v>3</v>
      </c>
      <c r="I91" s="82">
        <v>550</v>
      </c>
      <c r="J91" s="5">
        <f>VLOOKUP(I91,Наценка!$A$1:$G$8,2,1)</f>
        <v>1.45</v>
      </c>
      <c r="K91" s="87">
        <f>W91*1.06</f>
        <v>895.7</v>
      </c>
      <c r="L91" s="70">
        <f>IF(K91&lt;=1000,(ROUNDUP(K91,-1)-1),(ROUNDUP(K91,-2)-10))</f>
        <v>899</v>
      </c>
      <c r="M91" s="80">
        <f>VLOOKUP($A91,'Выгр Кат'!$A:$R,M$1,0)</f>
        <v>550</v>
      </c>
      <c r="N91" s="80">
        <f>VLOOKUP($A91,'Выгр Кат'!$A:$R,N$1,0)</f>
        <v>899</v>
      </c>
      <c r="O91" s="28">
        <f>M91-I91</f>
        <v>0</v>
      </c>
      <c r="P91" s="28">
        <f>N91-L91</f>
        <v>0</v>
      </c>
      <c r="Q91" s="36">
        <f>IFERROR(L91*(1-$Q$2),"")</f>
        <v>836.06999999999994</v>
      </c>
      <c r="R91" s="38">
        <f>IFERROR(VLOOKUP($A91,'Из Гугла'!$B:$G,6,0)*S91,VLOOKUP($A91,'Из Гугла'!$B:$G,6,0))</f>
        <v>845</v>
      </c>
      <c r="S91" s="14">
        <v>0.5</v>
      </c>
      <c r="T91" s="83">
        <f>IFERROR(Q91/I91-1,"")</f>
        <v>0.52012727272727255</v>
      </c>
      <c r="U91" s="83">
        <f>IFERROR((W91-Q91)/W91,"")</f>
        <v>1.0568047337278182E-2</v>
      </c>
      <c r="V91" s="83">
        <f>IFERROR(IF(W91="","",W91/I91-1),"")</f>
        <v>0.53636363636363638</v>
      </c>
      <c r="W91" s="84">
        <f>1690/2</f>
        <v>845</v>
      </c>
      <c r="X91" s="71" t="s">
        <v>1451</v>
      </c>
    </row>
    <row r="92" spans="1:24" ht="45" x14ac:dyDescent="0.25">
      <c r="A92" s="80">
        <v>117292</v>
      </c>
      <c r="B92" s="80">
        <f>VLOOKUP($A92,'Выгр Кат'!$A:$R,B$1,0)</f>
        <v>16873</v>
      </c>
      <c r="C92" s="81" t="str">
        <f>VLOOKUP($A92,'Выгр Кат'!$A:$R,C$1,0)</f>
        <v>LED диодные (2 полосы белые) повторители поворота "PN-6" для Лада Нива 4х4</v>
      </c>
      <c r="D92" s="80" t="str">
        <f>VLOOKUP($A92,'Выгр Кат'!$A:$R,D$1,0)</f>
        <v>Y</v>
      </c>
      <c r="E92" s="80" t="str">
        <f>VLOOKUP($A92,'Выгр Кат'!$A:$R,E$1,0)</f>
        <v>1</v>
      </c>
      <c r="F92" s="80" t="str">
        <f>VLOOKUP($A92,'Выгр Кат'!$A:$R,F$1,0)</f>
        <v>PN-6</v>
      </c>
      <c r="G92" s="80" t="str">
        <f>VLOOKUP($A92,'Выгр Кат'!$A:$R,G$1,0)</f>
        <v>https://motorring.ru/product/21207-povtoriteli-povorota-2polosy-lada-niva-4h4</v>
      </c>
      <c r="H92" s="67" t="s">
        <v>3</v>
      </c>
      <c r="I92" s="82">
        <v>590</v>
      </c>
      <c r="J92" s="5">
        <f>VLOOKUP(I92,Наценка!$A$1:$G$8,2,1)</f>
        <v>1.45</v>
      </c>
      <c r="K92" s="34">
        <f>I92*J92</f>
        <v>855.5</v>
      </c>
      <c r="L92" s="70">
        <f>IF(K92&lt;=1000,(ROUNDUP(K92,-1)-1),(ROUNDUP(K92,-2)-10))</f>
        <v>859</v>
      </c>
      <c r="M92" s="80">
        <f>VLOOKUP($A92,'Выгр Кат'!$A:$R,M$1,0)</f>
        <v>590</v>
      </c>
      <c r="N92" s="80">
        <f>VLOOKUP($A92,'Выгр Кат'!$A:$R,N$1,0)</f>
        <v>859</v>
      </c>
      <c r="O92" s="28">
        <f>M92-I92</f>
        <v>0</v>
      </c>
      <c r="P92" s="28">
        <f>N92-L92</f>
        <v>0</v>
      </c>
      <c r="Q92" s="36">
        <f>IFERROR(L92*(1-$Q$2),"")</f>
        <v>798.86999999999989</v>
      </c>
      <c r="R92" s="38">
        <f>IFERROR(VLOOKUP($A92,'Из Гугла'!$B:$G,6,0)*S92,VLOOKUP($A92,'Из Гугла'!$B:$G,6,0))</f>
        <v>529</v>
      </c>
      <c r="S92" s="14">
        <v>1</v>
      </c>
      <c r="T92" s="83">
        <f>IFERROR(Q92/I92-1,"")</f>
        <v>0.35401694915254223</v>
      </c>
      <c r="U92" s="83">
        <f>IFERROR((W92-Q92)/W92,"")</f>
        <v>-0.51015122873345919</v>
      </c>
      <c r="V92" s="83">
        <f>IFERROR(IF(W92="","",W92/I92-1),"")</f>
        <v>-0.10338983050847461</v>
      </c>
      <c r="W92" s="84">
        <v>529</v>
      </c>
      <c r="X92" s="71" t="s">
        <v>1447</v>
      </c>
    </row>
    <row r="93" spans="1:24" ht="30" x14ac:dyDescent="0.25">
      <c r="A93" s="80">
        <v>223080</v>
      </c>
      <c r="B93" s="80">
        <f>VLOOKUP($A93,'Выгр Кат'!$A:$R,B$1,0)</f>
        <v>8268</v>
      </c>
      <c r="C93" s="81" t="str">
        <f>VLOOKUP($A93,'Выгр Кат'!$A:$R,C$1,0)</f>
        <v>Универсальные ПТФ "DLAA" LA8070W белые</v>
      </c>
      <c r="D93" s="80" t="str">
        <f>VLOOKUP($A93,'Выгр Кат'!$A:$R,D$1,0)</f>
        <v>Y</v>
      </c>
      <c r="E93" s="80" t="str">
        <f>VLOOKUP($A93,'Выгр Кат'!$A:$R,E$1,0)</f>
        <v>1</v>
      </c>
      <c r="F93" s="80" t="str">
        <f>VLOOKUP($A93,'Выгр Кат'!$A:$R,F$1,0)</f>
        <v>LA8070W</v>
      </c>
      <c r="G93" s="80">
        <f>VLOOKUP($A93,'Выгр Кат'!$A:$R,G$1,0)</f>
        <v>0</v>
      </c>
      <c r="H93" s="67" t="s">
        <v>3</v>
      </c>
      <c r="I93" s="82">
        <v>600</v>
      </c>
      <c r="J93" s="5">
        <f>VLOOKUP(I93,Наценка!$A$1:$G$8,2,1)</f>
        <v>1.45</v>
      </c>
      <c r="K93" s="34">
        <f>I93*J93</f>
        <v>870</v>
      </c>
      <c r="L93" s="70">
        <f>IF(K93&lt;=1000,(ROUNDUP(K93,-1)-1),(ROUNDUP(K93,-2)-10))</f>
        <v>869</v>
      </c>
      <c r="M93" s="80">
        <f>VLOOKUP($A93,'Выгр Кат'!$A:$R,M$1,0)</f>
        <v>600</v>
      </c>
      <c r="N93" s="80">
        <f>VLOOKUP($A93,'Выгр Кат'!$A:$R,N$1,0)</f>
        <v>869</v>
      </c>
      <c r="O93" s="28">
        <f>M93-I93</f>
        <v>0</v>
      </c>
      <c r="P93" s="28">
        <f>N93-L93</f>
        <v>0</v>
      </c>
      <c r="Q93" s="36">
        <f>IFERROR(L93*(1-$Q$2),"")</f>
        <v>808.17</v>
      </c>
      <c r="R93" s="38" t="str">
        <f>IFERROR(VLOOKUP($A93,'Из Гугла'!$B:$G,6,0)*S93,VLOOKUP($A93,'Из Гугла'!$B:$G,6,0))</f>
        <v/>
      </c>
      <c r="S93" s="14">
        <v>1</v>
      </c>
      <c r="T93" s="83">
        <f>IFERROR(Q93/I93-1,"")</f>
        <v>0.34694999999999987</v>
      </c>
      <c r="U93" s="83" t="str">
        <f>IFERROR((W93-Q93)/W93,"")</f>
        <v/>
      </c>
      <c r="V93" s="83" t="str">
        <f>IFERROR(IF(W93="","",W93/I93-1),"")</f>
        <v/>
      </c>
      <c r="W93" s="84" t="s">
        <v>1269</v>
      </c>
    </row>
    <row r="94" spans="1:24" ht="30" x14ac:dyDescent="0.25">
      <c r="A94" s="80">
        <v>223109</v>
      </c>
      <c r="B94" s="80">
        <f>VLOOKUP($A94,'Выгр Кат'!$A:$R,B$1,0)</f>
        <v>8307</v>
      </c>
      <c r="C94" s="81" t="str">
        <f>VLOOKUP($A94,'Выгр Кат'!$A:$R,C$1,0)</f>
        <v>Универсальные ПТФ TY-2027W</v>
      </c>
      <c r="D94" s="80" t="str">
        <f>VLOOKUP($A94,'Выгр Кат'!$A:$R,D$1,0)</f>
        <v>Y</v>
      </c>
      <c r="E94" s="80" t="str">
        <f>VLOOKUP($A94,'Выгр Кат'!$A:$R,E$1,0)</f>
        <v>1</v>
      </c>
      <c r="F94" s="80" t="str">
        <f>VLOOKUP($A94,'Выгр Кат'!$A:$R,F$1,0)</f>
        <v>TY-2027W</v>
      </c>
      <c r="G94" s="80">
        <f>VLOOKUP($A94,'Выгр Кат'!$A:$R,G$1,0)</f>
        <v>0</v>
      </c>
      <c r="H94" s="67" t="s">
        <v>3</v>
      </c>
      <c r="I94" s="82">
        <v>600</v>
      </c>
      <c r="J94" s="5">
        <f>VLOOKUP(I94,Наценка!$A$1:$G$8,2,1)</f>
        <v>1.45</v>
      </c>
      <c r="K94" s="88">
        <f>I94*J94</f>
        <v>870</v>
      </c>
      <c r="L94" s="70">
        <f>IF(K94&lt;=1000,(ROUNDUP(K94,-1)-1),(ROUNDUP(K94,-2)-10))</f>
        <v>869</v>
      </c>
      <c r="M94" s="80">
        <f>VLOOKUP($A94,'Выгр Кат'!$A:$R,M$1,0)</f>
        <v>600</v>
      </c>
      <c r="N94" s="80">
        <f>VLOOKUP($A94,'Выгр Кат'!$A:$R,N$1,0)</f>
        <v>869</v>
      </c>
      <c r="O94" s="28">
        <f>M94-I94</f>
        <v>0</v>
      </c>
      <c r="P94" s="28">
        <f>N94-L94</f>
        <v>0</v>
      </c>
      <c r="Q94" s="36">
        <f>IFERROR(L94*(1-$Q$2),"")</f>
        <v>808.17</v>
      </c>
      <c r="R94" s="38" t="str">
        <f>IFERROR(VLOOKUP($A94,'Из Гугла'!$B:$G,6,0)*S94,VLOOKUP($A94,'Из Гугла'!$B:$G,6,0))</f>
        <v/>
      </c>
      <c r="S94" s="14">
        <v>1</v>
      </c>
      <c r="T94" s="83">
        <f>IFERROR(Q94/I94-1,"")</f>
        <v>0.34694999999999987</v>
      </c>
      <c r="U94" s="83" t="str">
        <f>IFERROR((W94-Q94)/W94,"")</f>
        <v/>
      </c>
      <c r="V94" s="83" t="str">
        <f>IFERROR(IF(W94="","",W94/I94-1),"")</f>
        <v/>
      </c>
      <c r="W94" s="84" t="s">
        <v>1269</v>
      </c>
    </row>
    <row r="95" spans="1:24" ht="30" x14ac:dyDescent="0.25">
      <c r="A95" s="80">
        <v>223111</v>
      </c>
      <c r="B95" s="80">
        <f>VLOOKUP($A95,'Выгр Кат'!$A:$R,B$1,0)</f>
        <v>8309</v>
      </c>
      <c r="C95" s="81" t="str">
        <f>VLOOKUP($A95,'Выгр Кат'!$A:$R,C$1,0)</f>
        <v>Универсальные ПТФ YH-2029RY</v>
      </c>
      <c r="D95" s="80" t="str">
        <f>VLOOKUP($A95,'Выгр Кат'!$A:$R,D$1,0)</f>
        <v>Y</v>
      </c>
      <c r="E95" s="80" t="str">
        <f>VLOOKUP($A95,'Выгр Кат'!$A:$R,E$1,0)</f>
        <v>1</v>
      </c>
      <c r="F95" s="80" t="str">
        <f>VLOOKUP($A95,'Выгр Кат'!$A:$R,F$1,0)</f>
        <v>YH-2029RY</v>
      </c>
      <c r="G95" s="80">
        <f>VLOOKUP($A95,'Выгр Кат'!$A:$R,G$1,0)</f>
        <v>0</v>
      </c>
      <c r="H95" s="67" t="s">
        <v>3</v>
      </c>
      <c r="I95" s="82">
        <v>600</v>
      </c>
      <c r="J95" s="5">
        <f>VLOOKUP(I95,Наценка!$A$1:$G$8,2,1)</f>
        <v>1.45</v>
      </c>
      <c r="K95" s="34">
        <f>I95*J95</f>
        <v>870</v>
      </c>
      <c r="L95" s="70">
        <f>IF(K95&lt;=1000,(ROUNDUP(K95,-1)-1),(ROUNDUP(K95,-2)-10))</f>
        <v>869</v>
      </c>
      <c r="M95" s="80">
        <f>VLOOKUP($A95,'Выгр Кат'!$A:$R,M$1,0)</f>
        <v>600</v>
      </c>
      <c r="N95" s="80">
        <f>VLOOKUP($A95,'Выгр Кат'!$A:$R,N$1,0)</f>
        <v>869</v>
      </c>
      <c r="O95" s="28">
        <f>M95-I95</f>
        <v>0</v>
      </c>
      <c r="P95" s="28">
        <f>N95-L95</f>
        <v>0</v>
      </c>
      <c r="Q95" s="36">
        <f>IFERROR(L95*(1-$Q$2),"")</f>
        <v>808.17</v>
      </c>
      <c r="R95" s="38" t="str">
        <f>IFERROR(VLOOKUP($A95,'Из Гугла'!$B:$G,6,0)*S95,VLOOKUP($A95,'Из Гугла'!$B:$G,6,0))</f>
        <v/>
      </c>
      <c r="S95" s="14">
        <v>1</v>
      </c>
      <c r="T95" s="83">
        <f>IFERROR(Q95/I95-1,"")</f>
        <v>0.34694999999999987</v>
      </c>
      <c r="U95" s="83" t="str">
        <f>IFERROR((W95-Q95)/W95,"")</f>
        <v/>
      </c>
      <c r="V95" s="83" t="str">
        <f>IFERROR(IF(W95="","",W95/I95-1),"")</f>
        <v/>
      </c>
      <c r="W95" s="84" t="s">
        <v>1269</v>
      </c>
    </row>
    <row r="96" spans="1:24" ht="30" x14ac:dyDescent="0.25">
      <c r="A96" s="80">
        <v>133283</v>
      </c>
      <c r="B96" s="80">
        <f>VLOOKUP($A96,'Выгр Кат'!$A:$R,B$1,0)</f>
        <v>24053</v>
      </c>
      <c r="C96" s="81" t="str">
        <f>VLOOKUP($A96,'Выгр Кат'!$A:$R,C$1,0)</f>
        <v>Балка дополнительного освещения "XK-18w" (LED, белый свет)</v>
      </c>
      <c r="D96" s="80" t="str">
        <f>VLOOKUP($A96,'Выгр Кат'!$A:$R,D$1,0)</f>
        <v>Y</v>
      </c>
      <c r="E96" s="80" t="str">
        <f>VLOOKUP($A96,'Выгр Кат'!$A:$R,E$1,0)</f>
        <v>1</v>
      </c>
      <c r="F96" s="80" t="str">
        <f>VLOOKUP($A96,'Выгр Кат'!$A:$R,F$1,0)</f>
        <v>XK-18w</v>
      </c>
      <c r="G96" s="80" t="str">
        <f>VLOOKUP($A96,'Выгр Кат'!$A:$R,G$1,0)</f>
        <v>https://motorring.ru/product/19342-diodnaya-balka-xk-18w</v>
      </c>
      <c r="H96" s="67" t="s">
        <v>3</v>
      </c>
      <c r="I96" s="82">
        <v>600</v>
      </c>
      <c r="J96" s="5">
        <f>VLOOKUP(I96,Наценка!$A$1:$G$8,2,1)</f>
        <v>1.45</v>
      </c>
      <c r="K96" s="53">
        <f>W96*1</f>
        <v>990</v>
      </c>
      <c r="L96" s="70">
        <f>IF(K96&lt;=1000,(ROUNDUP(K96,-1)-1),(ROUNDUP(K96,-2)-10))</f>
        <v>989</v>
      </c>
      <c r="M96" s="80">
        <f>VLOOKUP($A96,'Выгр Кат'!$A:$R,M$1,0)</f>
        <v>600</v>
      </c>
      <c r="N96" s="80">
        <f>VLOOKUP($A96,'Выгр Кат'!$A:$R,N$1,0)</f>
        <v>989</v>
      </c>
      <c r="O96" s="28">
        <f>M96-I96</f>
        <v>0</v>
      </c>
      <c r="P96" s="28">
        <f>N96-L96</f>
        <v>0</v>
      </c>
      <c r="Q96" s="36">
        <f>IFERROR(L96*(1-$Q$2),"")</f>
        <v>919.77</v>
      </c>
      <c r="R96" s="38">
        <f>IFERROR(VLOOKUP($A96,'Из Гугла'!$B:$G,6,0)*S96,VLOOKUP($A96,'Из Гугла'!$B:$G,6,0))</f>
        <v>990</v>
      </c>
      <c r="S96" s="14">
        <v>1</v>
      </c>
      <c r="T96" s="83">
        <f>IFERROR(Q96/I96-1,"")</f>
        <v>0.53295000000000003</v>
      </c>
      <c r="U96" s="83">
        <f>IFERROR((W96-Q96)/W96,"")</f>
        <v>7.0939393939393955E-2</v>
      </c>
      <c r="V96" s="83">
        <f>IFERROR(IF(W96="","",W96/I96-1),"")</f>
        <v>0.64999999999999991</v>
      </c>
      <c r="W96" s="84">
        <v>990</v>
      </c>
      <c r="X96" s="71" t="s">
        <v>1450</v>
      </c>
    </row>
    <row r="97" spans="1:24" ht="30" x14ac:dyDescent="0.25">
      <c r="A97" s="80">
        <v>223061</v>
      </c>
      <c r="B97" s="80">
        <f>VLOOKUP($A97,'Выгр Кат'!$A:$R,B$1,0)</f>
        <v>8285</v>
      </c>
      <c r="C97" s="81" t="str">
        <f>VLOOKUP($A97,'Выгр Кат'!$A:$R,C$1,0)</f>
        <v>Универсальная ПТФ "DLAA" LA988H-RY лазер</v>
      </c>
      <c r="D97" s="80" t="str">
        <f>VLOOKUP($A97,'Выгр Кат'!$A:$R,D$1,0)</f>
        <v>Y</v>
      </c>
      <c r="E97" s="80" t="str">
        <f>VLOOKUP($A97,'Выгр Кат'!$A:$R,E$1,0)</f>
        <v>1</v>
      </c>
      <c r="F97" s="80" t="str">
        <f>VLOOKUP($A97,'Выгр Кат'!$A:$R,F$1,0)</f>
        <v>LA988H-RY</v>
      </c>
      <c r="G97" s="80">
        <f>VLOOKUP($A97,'Выгр Кат'!$A:$R,G$1,0)</f>
        <v>0</v>
      </c>
      <c r="H97" s="67" t="s">
        <v>3</v>
      </c>
      <c r="I97" s="82">
        <v>600</v>
      </c>
      <c r="J97" s="5">
        <f>VLOOKUP(I97,Наценка!$A$1:$G$8,2,1)</f>
        <v>1.45</v>
      </c>
      <c r="K97" s="88">
        <f>I97*J97</f>
        <v>870</v>
      </c>
      <c r="L97" s="70">
        <f>IF(K97&lt;=1000,(ROUNDUP(K97,-1)-1),(ROUNDUP(K97,-2)-10))</f>
        <v>869</v>
      </c>
      <c r="M97" s="80">
        <f>VLOOKUP($A97,'Выгр Кат'!$A:$R,M$1,0)</f>
        <v>600</v>
      </c>
      <c r="N97" s="80">
        <f>VLOOKUP($A97,'Выгр Кат'!$A:$R,N$1,0)</f>
        <v>869</v>
      </c>
      <c r="O97" s="28">
        <f>M97-I97</f>
        <v>0</v>
      </c>
      <c r="P97" s="28">
        <f>N97-L97</f>
        <v>0</v>
      </c>
      <c r="Q97" s="36">
        <f>IFERROR(L97*(1-$Q$2),"")</f>
        <v>808.17</v>
      </c>
      <c r="R97" s="38" t="str">
        <f>IFERROR(VLOOKUP($A97,'Из Гугла'!$B:$G,6,0)*S97,VLOOKUP($A97,'Из Гугла'!$B:$G,6,0))</f>
        <v/>
      </c>
      <c r="S97" s="14">
        <v>1</v>
      </c>
      <c r="T97" s="83">
        <f>IFERROR(Q97/I97-1,"")</f>
        <v>0.34694999999999987</v>
      </c>
      <c r="U97" s="83" t="str">
        <f>IFERROR((W97-Q97)/W97,"")</f>
        <v/>
      </c>
      <c r="V97" s="83" t="str">
        <f>IFERROR(IF(W97="","",W97/I97-1),"")</f>
        <v/>
      </c>
      <c r="W97" s="84" t="s">
        <v>1269</v>
      </c>
    </row>
    <row r="98" spans="1:24" ht="45" x14ac:dyDescent="0.25">
      <c r="A98" s="80">
        <v>193597</v>
      </c>
      <c r="B98" s="80">
        <f>VLOOKUP($A98,'Выгр Кат'!$A:$R,B$1,0)</f>
        <v>5162</v>
      </c>
      <c r="C98" s="81" t="str">
        <f>VLOOKUP($A98,'Выгр Кат'!$A:$R,C$1,0)</f>
        <v>Переходник (адаптер) для установки рулевого колеса для Лада Калина, Гранта, Приора</v>
      </c>
      <c r="D98" s="80" t="str">
        <f>VLOOKUP($A98,'Выгр Кат'!$A:$R,D$1,0)</f>
        <v>Y</v>
      </c>
      <c r="E98" s="80" t="str">
        <f>VLOOKUP($A98,'Выгр Кат'!$A:$R,E$1,0)</f>
        <v>1</v>
      </c>
      <c r="F98" s="80">
        <f>VLOOKUP($A98,'Выгр Кат'!$A:$R,F$1,0)</f>
        <v>0</v>
      </c>
      <c r="G98" s="80" t="str">
        <f>VLOOKUP($A98,'Выгр Кат'!$A:$R,G$1,0)</f>
        <v>https://motorring.ru/product/20819-perehodnik-dlya-ustanovki-sportivnogo-rulya-lada-kalina</v>
      </c>
      <c r="H98" s="67" t="s">
        <v>3</v>
      </c>
      <c r="I98" s="82">
        <v>650</v>
      </c>
      <c r="J98" s="5">
        <f>VLOOKUP(I98,Наценка!$A$1:$G$8,2,1)</f>
        <v>1.45</v>
      </c>
      <c r="K98" s="53">
        <f>W98*1</f>
        <v>990</v>
      </c>
      <c r="L98" s="70">
        <f>IF(K98&lt;=1000,(ROUNDUP(K98,-1)-1),(ROUNDUP(K98,-2)-10))</f>
        <v>989</v>
      </c>
      <c r="M98" s="80">
        <f>VLOOKUP($A98,'Выгр Кат'!$A:$R,M$1,0)</f>
        <v>650</v>
      </c>
      <c r="N98" s="80">
        <f>VLOOKUP($A98,'Выгр Кат'!$A:$R,N$1,0)</f>
        <v>989</v>
      </c>
      <c r="O98" s="28">
        <f>M98-I98</f>
        <v>0</v>
      </c>
      <c r="P98" s="28">
        <f>N98-L98</f>
        <v>0</v>
      </c>
      <c r="Q98" s="36">
        <f>IFERROR(L98*(1-$Q$2),"")</f>
        <v>919.77</v>
      </c>
      <c r="R98" s="38">
        <f>IFERROR(VLOOKUP($A98,'Из Гугла'!$B:$G,6,0)*S98,VLOOKUP($A98,'Из Гугла'!$B:$G,6,0))</f>
        <v>990</v>
      </c>
      <c r="S98" s="14">
        <v>1</v>
      </c>
      <c r="T98" s="83">
        <f>IFERROR(Q98/I98-1,"")</f>
        <v>0.41503076923076909</v>
      </c>
      <c r="U98" s="83">
        <f>IFERROR((W98-Q98)/W98,"")</f>
        <v>7.0939393939393955E-2</v>
      </c>
      <c r="V98" s="83">
        <f>IFERROR(IF(W98="","",W98/I98-1),"")</f>
        <v>0.52307692307692299</v>
      </c>
      <c r="W98" s="84">
        <v>990</v>
      </c>
      <c r="X98" s="71" t="s">
        <v>1433</v>
      </c>
    </row>
    <row r="99" spans="1:24" ht="30" x14ac:dyDescent="0.25">
      <c r="A99" s="80">
        <v>223085</v>
      </c>
      <c r="B99" s="80">
        <f>VLOOKUP($A99,'Выгр Кат'!$A:$R,B$1,0)</f>
        <v>8273</v>
      </c>
      <c r="C99" s="81" t="str">
        <f>VLOOKUP($A99,'Выгр Кат'!$A:$R,C$1,0)</f>
        <v>Универсальные ПТФ "DLAA" LA8815RY лазер</v>
      </c>
      <c r="D99" s="80" t="str">
        <f>VLOOKUP($A99,'Выгр Кат'!$A:$R,D$1,0)</f>
        <v>Y</v>
      </c>
      <c r="E99" s="80" t="str">
        <f>VLOOKUP($A99,'Выгр Кат'!$A:$R,E$1,0)</f>
        <v>1</v>
      </c>
      <c r="F99" s="80" t="str">
        <f>VLOOKUP($A99,'Выгр Кат'!$A:$R,F$1,0)</f>
        <v>LA8815RY</v>
      </c>
      <c r="G99" s="80">
        <f>VLOOKUP($A99,'Выгр Кат'!$A:$R,G$1,0)</f>
        <v>0</v>
      </c>
      <c r="H99" s="67" t="s">
        <v>3</v>
      </c>
      <c r="I99" s="82">
        <v>650</v>
      </c>
      <c r="J99" s="5">
        <f>VLOOKUP(I99,Наценка!$A$1:$G$8,2,1)</f>
        <v>1.45</v>
      </c>
      <c r="K99" s="88">
        <f>I99*J99</f>
        <v>942.5</v>
      </c>
      <c r="L99" s="70">
        <f>IF(K99&lt;=1000,(ROUNDUP(K99,-1)-1),(ROUNDUP(K99,-2)-10))</f>
        <v>949</v>
      </c>
      <c r="M99" s="80">
        <f>VLOOKUP($A99,'Выгр Кат'!$A:$R,M$1,0)</f>
        <v>650</v>
      </c>
      <c r="N99" s="80">
        <f>VLOOKUP($A99,'Выгр Кат'!$A:$R,N$1,0)</f>
        <v>949</v>
      </c>
      <c r="O99" s="28">
        <f>M99-I99</f>
        <v>0</v>
      </c>
      <c r="P99" s="28">
        <f>N99-L99</f>
        <v>0</v>
      </c>
      <c r="Q99" s="36">
        <f>IFERROR(L99*(1-$Q$2),"")</f>
        <v>882.56999999999994</v>
      </c>
      <c r="R99" s="38" t="str">
        <f>IFERROR(VLOOKUP($A99,'Из Гугла'!$B:$G,6,0)*S99,VLOOKUP($A99,'Из Гугла'!$B:$G,6,0))</f>
        <v/>
      </c>
      <c r="S99" s="14">
        <v>1</v>
      </c>
      <c r="T99" s="83">
        <f>IFERROR(Q99/I99-1,"")</f>
        <v>0.3577999999999999</v>
      </c>
      <c r="U99" s="83" t="str">
        <f>IFERROR((W99-Q99)/W99,"")</f>
        <v/>
      </c>
      <c r="V99" s="83" t="str">
        <f>IFERROR(IF(W99="","",W99/I99-1),"")</f>
        <v/>
      </c>
      <c r="W99" s="84" t="s">
        <v>1269</v>
      </c>
    </row>
    <row r="100" spans="1:24" ht="30" x14ac:dyDescent="0.25">
      <c r="A100" s="80">
        <v>223096</v>
      </c>
      <c r="B100" s="80">
        <f>VLOOKUP($A100,'Выгр Кат'!$A:$R,B$1,0)</f>
        <v>8289</v>
      </c>
      <c r="C100" s="81" t="str">
        <f>VLOOKUP($A100,'Выгр Кат'!$A:$R,C$1,0)</f>
        <v>Универсальные ПТФ "DLAA" LA990E-RY лазер</v>
      </c>
      <c r="D100" s="80" t="str">
        <f>VLOOKUP($A100,'Выгр Кат'!$A:$R,D$1,0)</f>
        <v>Y</v>
      </c>
      <c r="E100" s="80" t="str">
        <f>VLOOKUP($A100,'Выгр Кат'!$A:$R,E$1,0)</f>
        <v>1</v>
      </c>
      <c r="F100" s="80" t="str">
        <f>VLOOKUP($A100,'Выгр Кат'!$A:$R,F$1,0)</f>
        <v>LA990E-RY</v>
      </c>
      <c r="G100" s="80">
        <f>VLOOKUP($A100,'Выгр Кат'!$A:$R,G$1,0)</f>
        <v>0</v>
      </c>
      <c r="H100" s="67" t="s">
        <v>3</v>
      </c>
      <c r="I100" s="82">
        <v>650</v>
      </c>
      <c r="J100" s="5">
        <f>VLOOKUP(I100,Наценка!$A$1:$G$8,2,1)</f>
        <v>1.45</v>
      </c>
      <c r="K100" s="34">
        <f>I100*J100</f>
        <v>942.5</v>
      </c>
      <c r="L100" s="70">
        <f>IF(K100&lt;=1000,(ROUNDUP(K100,-1)-1),(ROUNDUP(K100,-2)-10))</f>
        <v>949</v>
      </c>
      <c r="M100" s="80">
        <f>VLOOKUP($A100,'Выгр Кат'!$A:$R,M$1,0)</f>
        <v>650</v>
      </c>
      <c r="N100" s="80">
        <f>VLOOKUP($A100,'Выгр Кат'!$A:$R,N$1,0)</f>
        <v>949</v>
      </c>
      <c r="O100" s="28">
        <f>M100-I100</f>
        <v>0</v>
      </c>
      <c r="P100" s="28">
        <f>N100-L100</f>
        <v>0</v>
      </c>
      <c r="Q100" s="36">
        <f>IFERROR(L100*(1-$Q$2),"")</f>
        <v>882.56999999999994</v>
      </c>
      <c r="R100" s="38" t="str">
        <f>IFERROR(VLOOKUP($A100,'Из Гугла'!$B:$G,6,0)*S100,VLOOKUP($A100,'Из Гугла'!$B:$G,6,0))</f>
        <v/>
      </c>
      <c r="S100" s="14">
        <v>1</v>
      </c>
      <c r="T100" s="83">
        <f>IFERROR(Q100/I100-1,"")</f>
        <v>0.3577999999999999</v>
      </c>
      <c r="U100" s="83" t="str">
        <f>IFERROR((W100-Q100)/W100,"")</f>
        <v/>
      </c>
      <c r="V100" s="83" t="str">
        <f>IFERROR(IF(W100="","",W100/I100-1),"")</f>
        <v/>
      </c>
      <c r="W100" s="84" t="s">
        <v>1269</v>
      </c>
    </row>
    <row r="101" spans="1:24" ht="30" x14ac:dyDescent="0.25">
      <c r="A101" s="80">
        <v>223112</v>
      </c>
      <c r="B101" s="80">
        <f>VLOOKUP($A101,'Выгр Кат'!$A:$R,B$1,0)</f>
        <v>8306</v>
      </c>
      <c r="C101" s="81" t="str">
        <f>VLOOKUP($A101,'Выгр Кат'!$A:$R,C$1,0)</f>
        <v>Универсальные ПТФ YH-2321W</v>
      </c>
      <c r="D101" s="80" t="str">
        <f>VLOOKUP($A101,'Выгр Кат'!$A:$R,D$1,0)</f>
        <v>Y</v>
      </c>
      <c r="E101" s="80" t="str">
        <f>VLOOKUP($A101,'Выгр Кат'!$A:$R,E$1,0)</f>
        <v>1</v>
      </c>
      <c r="F101" s="80" t="str">
        <f>VLOOKUP($A101,'Выгр Кат'!$A:$R,F$1,0)</f>
        <v>YH-2321W</v>
      </c>
      <c r="G101" s="80">
        <f>VLOOKUP($A101,'Выгр Кат'!$A:$R,G$1,0)</f>
        <v>0</v>
      </c>
      <c r="H101" s="67" t="s">
        <v>3</v>
      </c>
      <c r="I101" s="82">
        <v>650</v>
      </c>
      <c r="J101" s="5">
        <f>VLOOKUP(I101,Наценка!$A$1:$G$8,2,1)</f>
        <v>1.45</v>
      </c>
      <c r="K101" s="34">
        <f>I101*J101</f>
        <v>942.5</v>
      </c>
      <c r="L101" s="70">
        <f>IF(K101&lt;=1000,(ROUNDUP(K101,-1)-1),(ROUNDUP(K101,-2)-10))</f>
        <v>949</v>
      </c>
      <c r="M101" s="80">
        <f>VLOOKUP($A101,'Выгр Кат'!$A:$R,M$1,0)</f>
        <v>650</v>
      </c>
      <c r="N101" s="80">
        <f>VLOOKUP($A101,'Выгр Кат'!$A:$R,N$1,0)</f>
        <v>949</v>
      </c>
      <c r="O101" s="28">
        <f>M101-I101</f>
        <v>0</v>
      </c>
      <c r="P101" s="28">
        <f>N101-L101</f>
        <v>0</v>
      </c>
      <c r="Q101" s="36">
        <f>IFERROR(L101*(1-$Q$2),"")</f>
        <v>882.56999999999994</v>
      </c>
      <c r="R101" s="38" t="str">
        <f>IFERROR(VLOOKUP($A101,'Из Гугла'!$B:$G,6,0)*S101,VLOOKUP($A101,'Из Гугла'!$B:$G,6,0))</f>
        <v/>
      </c>
      <c r="S101" s="14">
        <v>1</v>
      </c>
      <c r="T101" s="83">
        <f>IFERROR(Q101/I101-1,"")</f>
        <v>0.3577999999999999</v>
      </c>
      <c r="U101" s="83" t="str">
        <f>IFERROR((W101-Q101)/W101,"")</f>
        <v/>
      </c>
      <c r="V101" s="83" t="str">
        <f>IFERROR(IF(W101="","",W101/I101-1),"")</f>
        <v/>
      </c>
      <c r="W101" s="84" t="s">
        <v>1269</v>
      </c>
    </row>
    <row r="102" spans="1:24" ht="30" x14ac:dyDescent="0.25">
      <c r="A102" s="80">
        <v>133268</v>
      </c>
      <c r="B102" s="80">
        <f>VLOOKUP($A102,'Выгр Кат'!$A:$R,B$1,0)</f>
        <v>23945</v>
      </c>
      <c r="C102" s="81" t="str">
        <f>VLOOKUP($A102,'Выгр Кат'!$A:$R,C$1,0)</f>
        <v>Балка дополнительного освещения "HP-CTD-012"</v>
      </c>
      <c r="D102" s="80" t="str">
        <f>VLOOKUP($A102,'Выгр Кат'!$A:$R,D$1,0)</f>
        <v>Y</v>
      </c>
      <c r="E102" s="80" t="str">
        <f>VLOOKUP($A102,'Выгр Кат'!$A:$R,E$1,0)</f>
        <v>1</v>
      </c>
      <c r="F102" s="80" t="str">
        <f>VLOOKUP($A102,'Выгр Кат'!$A:$R,F$1,0)</f>
        <v>HP-CTD-012</v>
      </c>
      <c r="G102" s="80">
        <f>VLOOKUP($A102,'Выгр Кат'!$A:$R,G$1,0)</f>
        <v>0</v>
      </c>
      <c r="H102" s="67" t="s">
        <v>3</v>
      </c>
      <c r="I102" s="82">
        <v>650</v>
      </c>
      <c r="J102" s="5">
        <f>VLOOKUP(I102,Наценка!$A$1:$G$8,2,1)</f>
        <v>1.45</v>
      </c>
      <c r="K102" s="34">
        <f>I102*J102</f>
        <v>942.5</v>
      </c>
      <c r="L102" s="70">
        <f>IF(K102&lt;=1000,(ROUNDUP(K102,-1)-1),(ROUNDUP(K102,-2)-10))</f>
        <v>949</v>
      </c>
      <c r="M102" s="80">
        <f>VLOOKUP($A102,'Выгр Кат'!$A:$R,M$1,0)</f>
        <v>650</v>
      </c>
      <c r="N102" s="80">
        <f>VLOOKUP($A102,'Выгр Кат'!$A:$R,N$1,0)</f>
        <v>949</v>
      </c>
      <c r="O102" s="28">
        <f>M102-I102</f>
        <v>0</v>
      </c>
      <c r="P102" s="28">
        <f>N102-L102</f>
        <v>0</v>
      </c>
      <c r="Q102" s="36">
        <f>IFERROR(L102*(1-$Q$2),"")</f>
        <v>882.56999999999994</v>
      </c>
      <c r="R102" s="38" t="str">
        <f>IFERROR(VLOOKUP($A102,'Из Гугла'!$B:$G,6,0)*S102,VLOOKUP($A102,'Из Гугла'!$B:$G,6,0))</f>
        <v/>
      </c>
      <c r="S102" s="14">
        <v>1</v>
      </c>
      <c r="T102" s="83">
        <f>IFERROR(Q102/I102-1,"")</f>
        <v>0.3577999999999999</v>
      </c>
      <c r="U102" s="83" t="str">
        <f>IFERROR((W102-Q102)/W102,"")</f>
        <v/>
      </c>
      <c r="V102" s="83" t="str">
        <f>IFERROR(IF(W102="","",W102/I102-1),"")</f>
        <v/>
      </c>
      <c r="W102" s="84" t="s">
        <v>1269</v>
      </c>
    </row>
    <row r="103" spans="1:24" ht="30" x14ac:dyDescent="0.25">
      <c r="A103" s="80">
        <v>133266</v>
      </c>
      <c r="B103" s="80">
        <f>VLOOKUP($A103,'Выгр Кат'!$A:$R,B$1,0)</f>
        <v>37950</v>
      </c>
      <c r="C103" s="81" t="str">
        <f>VLOOKUP($A103,'Выгр Кат'!$A:$R,C$1,0)</f>
        <v>Балка дополнительного освещения "GR-48SMD" (LED)</v>
      </c>
      <c r="D103" s="80" t="str">
        <f>VLOOKUP($A103,'Выгр Кат'!$A:$R,D$1,0)</f>
        <v>Y</v>
      </c>
      <c r="E103" s="80" t="str">
        <f>VLOOKUP($A103,'Выгр Кат'!$A:$R,E$1,0)</f>
        <v>1</v>
      </c>
      <c r="F103" s="80" t="str">
        <f>VLOOKUP($A103,'Выгр Кат'!$A:$R,F$1,0)</f>
        <v>GR-48SMD</v>
      </c>
      <c r="G103" s="80">
        <f>VLOOKUP($A103,'Выгр Кат'!$A:$R,G$1,0)</f>
        <v>0</v>
      </c>
      <c r="H103" s="67" t="s">
        <v>3</v>
      </c>
      <c r="I103" s="82">
        <v>650</v>
      </c>
      <c r="J103" s="5">
        <f>VLOOKUP(I103,Наценка!$A$1:$G$8,2,1)</f>
        <v>1.45</v>
      </c>
      <c r="K103" s="34">
        <f>I103*J103</f>
        <v>942.5</v>
      </c>
      <c r="L103" s="70">
        <f>IF(K103&lt;=1000,(ROUNDUP(K103,-1)-1),(ROUNDUP(K103,-2)-10))</f>
        <v>949</v>
      </c>
      <c r="M103" s="80">
        <f>VLOOKUP($A103,'Выгр Кат'!$A:$R,M$1,0)</f>
        <v>650</v>
      </c>
      <c r="N103" s="80">
        <f>VLOOKUP($A103,'Выгр Кат'!$A:$R,N$1,0)</f>
        <v>949</v>
      </c>
      <c r="O103" s="28">
        <f>M103-I103</f>
        <v>0</v>
      </c>
      <c r="P103" s="28">
        <f>N103-L103</f>
        <v>0</v>
      </c>
      <c r="Q103" s="36">
        <f>IFERROR(L103*(1-$Q$2),"")</f>
        <v>882.56999999999994</v>
      </c>
      <c r="R103" s="38" t="str">
        <f>IFERROR(VLOOKUP($A103,'Из Гугла'!$B:$G,6,0)*S103,VLOOKUP($A103,'Из Гугла'!$B:$G,6,0))</f>
        <v/>
      </c>
      <c r="S103" s="14">
        <v>1</v>
      </c>
      <c r="T103" s="83">
        <f>IFERROR(Q103/I103-1,"")</f>
        <v>0.3577999999999999</v>
      </c>
      <c r="U103" s="83" t="str">
        <f>IFERROR((W103-Q103)/W103,"")</f>
        <v/>
      </c>
      <c r="V103" s="83" t="str">
        <f>IFERROR(IF(W103="","",W103/I103-1),"")</f>
        <v/>
      </c>
      <c r="W103" s="84" t="s">
        <v>1269</v>
      </c>
    </row>
    <row r="104" spans="1:24" ht="30" x14ac:dyDescent="0.25">
      <c r="A104" s="80">
        <v>223110</v>
      </c>
      <c r="B104" s="80">
        <f>VLOOKUP($A104,'Выгр Кат'!$A:$R,B$1,0)</f>
        <v>8308</v>
      </c>
      <c r="C104" s="81" t="str">
        <f>VLOOKUP($A104,'Выгр Кат'!$A:$R,C$1,0)</f>
        <v>Универсальные ПТФ TY-2029W</v>
      </c>
      <c r="D104" s="80" t="str">
        <f>VLOOKUP($A104,'Выгр Кат'!$A:$R,D$1,0)</f>
        <v>Y</v>
      </c>
      <c r="E104" s="80" t="str">
        <f>VLOOKUP($A104,'Выгр Кат'!$A:$R,E$1,0)</f>
        <v>1</v>
      </c>
      <c r="F104" s="80" t="str">
        <f>VLOOKUP($A104,'Выгр Кат'!$A:$R,F$1,0)</f>
        <v>TY-2029W</v>
      </c>
      <c r="G104" s="80">
        <f>VLOOKUP($A104,'Выгр Кат'!$A:$R,G$1,0)</f>
        <v>0</v>
      </c>
      <c r="H104" s="67" t="s">
        <v>3</v>
      </c>
      <c r="I104" s="82">
        <v>670</v>
      </c>
      <c r="J104" s="5">
        <f>VLOOKUP(I104,Наценка!$A$1:$G$8,2,1)</f>
        <v>1.45</v>
      </c>
      <c r="K104" s="34">
        <f>I104*J104</f>
        <v>971.5</v>
      </c>
      <c r="L104" s="70">
        <f>IF(K104&lt;=1000,(ROUNDUP(K104,-1)-1),(ROUNDUP(K104,-2)-10))</f>
        <v>979</v>
      </c>
      <c r="M104" s="80">
        <f>VLOOKUP($A104,'Выгр Кат'!$A:$R,M$1,0)</f>
        <v>670</v>
      </c>
      <c r="N104" s="80">
        <f>VLOOKUP($A104,'Выгр Кат'!$A:$R,N$1,0)</f>
        <v>979</v>
      </c>
      <c r="O104" s="28">
        <f>M104-I104</f>
        <v>0</v>
      </c>
      <c r="P104" s="28">
        <f>N104-L104</f>
        <v>0</v>
      </c>
      <c r="Q104" s="36">
        <f>IFERROR(L104*(1-$Q$2),"")</f>
        <v>910.46999999999991</v>
      </c>
      <c r="R104" s="38" t="str">
        <f>IFERROR(VLOOKUP($A104,'Из Гугла'!$B:$G,6,0)*S104,VLOOKUP($A104,'Из Гугла'!$B:$G,6,0))</f>
        <v/>
      </c>
      <c r="S104" s="14">
        <v>1</v>
      </c>
      <c r="T104" s="83">
        <f>IFERROR(Q104/I104-1,"")</f>
        <v>0.35891044776119396</v>
      </c>
      <c r="U104" s="83" t="str">
        <f>IFERROR((W104-Q104)/W104,"")</f>
        <v/>
      </c>
      <c r="V104" s="83" t="str">
        <f>IFERROR(IF(W104="","",W104/I104-1),"")</f>
        <v/>
      </c>
      <c r="W104" s="84" t="s">
        <v>1269</v>
      </c>
    </row>
    <row r="105" spans="1:24" ht="30" x14ac:dyDescent="0.25">
      <c r="A105" s="80">
        <v>133344</v>
      </c>
      <c r="B105" s="80">
        <f>VLOOKUP($A105,'Выгр Кат'!$A:$R,B$1,0)</f>
        <v>23953</v>
      </c>
      <c r="C105" s="81" t="str">
        <f>VLOOKUP($A105,'Выгр Кат'!$A:$R,C$1,0)</f>
        <v>Балки дополнительного освещения (высокая яркость)</v>
      </c>
      <c r="D105" s="80" t="str">
        <f>VLOOKUP($A105,'Выгр Кат'!$A:$R,D$1,0)</f>
        <v>Y</v>
      </c>
      <c r="E105" s="80" t="str">
        <f>VLOOKUP($A105,'Выгр Кат'!$A:$R,E$1,0)</f>
        <v>1</v>
      </c>
      <c r="F105" s="80" t="str">
        <f>VLOOKUP($A105,'Выгр Кат'!$A:$R,F$1,0)</f>
        <v>C-36</v>
      </c>
      <c r="G105" s="80">
        <f>VLOOKUP($A105,'Выгр Кат'!$A:$R,G$1,0)</f>
        <v>0</v>
      </c>
      <c r="H105" s="67" t="s">
        <v>3</v>
      </c>
      <c r="I105" s="82">
        <v>700</v>
      </c>
      <c r="J105" s="5">
        <f>VLOOKUP(I105,Наценка!$A$1:$G$8,2,1)</f>
        <v>1.45</v>
      </c>
      <c r="K105" s="88">
        <f>I105*J105</f>
        <v>1015</v>
      </c>
      <c r="L105" s="70">
        <f>IF(K105&lt;=1000,(ROUNDUP(K105,-1)-1),(ROUNDUP(K105,-2)-10))</f>
        <v>1090</v>
      </c>
      <c r="M105" s="80">
        <f>VLOOKUP($A105,'Выгр Кат'!$A:$R,M$1,0)</f>
        <v>700</v>
      </c>
      <c r="N105" s="80">
        <f>VLOOKUP($A105,'Выгр Кат'!$A:$R,N$1,0)</f>
        <v>1090</v>
      </c>
      <c r="O105" s="28">
        <f>M105-I105</f>
        <v>0</v>
      </c>
      <c r="P105" s="28">
        <f>N105-L105</f>
        <v>0</v>
      </c>
      <c r="Q105" s="36">
        <f>IFERROR(L105*(1-$Q$2),"")</f>
        <v>1013.6999999999999</v>
      </c>
      <c r="R105" s="38" t="str">
        <f>IFERROR(VLOOKUP($A105,'Из Гугла'!$B:$G,6,0)*S105,VLOOKUP($A105,'Из Гугла'!$B:$G,6,0))</f>
        <v/>
      </c>
      <c r="S105" s="14">
        <v>1</v>
      </c>
      <c r="T105" s="83">
        <f>IFERROR(Q105/I105-1,"")</f>
        <v>0.44814285714285695</v>
      </c>
      <c r="U105" s="83" t="str">
        <f>IFERROR((W105-Q105)/W105,"")</f>
        <v/>
      </c>
      <c r="V105" s="83" t="str">
        <f>IFERROR(IF(W105="","",W105/I105-1),"")</f>
        <v/>
      </c>
      <c r="W105" s="84" t="s">
        <v>1269</v>
      </c>
    </row>
    <row r="106" spans="1:24" ht="30" x14ac:dyDescent="0.25">
      <c r="A106" s="80">
        <v>212189</v>
      </c>
      <c r="B106" s="80">
        <f>VLOOKUP($A106,'Выгр Кат'!$A:$R,B$1,0)</f>
        <v>4532</v>
      </c>
      <c r="C106" s="81" t="str">
        <f>VLOOKUP($A106,'Выгр Кат'!$A:$R,C$1,0)</f>
        <v>Руль с цветным ободом для ВАЗ</v>
      </c>
      <c r="D106" s="80" t="str">
        <f>VLOOKUP($A106,'Выгр Кат'!$A:$R,D$1,0)</f>
        <v>Y</v>
      </c>
      <c r="E106" s="80" t="str">
        <f>VLOOKUP($A106,'Выгр Кат'!$A:$R,E$1,0)</f>
        <v>1</v>
      </c>
      <c r="F106" s="80" t="str">
        <f>VLOOKUP($A106,'Выгр Кат'!$A:$R,F$1,0)</f>
        <v>4163</v>
      </c>
      <c r="G106" s="80">
        <f>VLOOKUP($A106,'Выгр Кат'!$A:$R,G$1,0)</f>
        <v>0</v>
      </c>
      <c r="H106" s="67" t="s">
        <v>3</v>
      </c>
      <c r="I106" s="82">
        <v>700</v>
      </c>
      <c r="J106" s="5">
        <f>VLOOKUP(I106,Наценка!$A$1:$G$8,2,1)</f>
        <v>1.45</v>
      </c>
      <c r="K106" s="34">
        <f>I106*J106</f>
        <v>1015</v>
      </c>
      <c r="L106" s="70">
        <f>IF(K106&lt;=1000,(ROUNDUP(K106,-1)-1),(ROUNDUP(K106,-2)-10))</f>
        <v>1090</v>
      </c>
      <c r="M106" s="80">
        <f>VLOOKUP($A106,'Выгр Кат'!$A:$R,M$1,0)</f>
        <v>700</v>
      </c>
      <c r="N106" s="80">
        <f>VLOOKUP($A106,'Выгр Кат'!$A:$R,N$1,0)</f>
        <v>1090</v>
      </c>
      <c r="O106" s="28">
        <f>M106-I106</f>
        <v>0</v>
      </c>
      <c r="P106" s="28">
        <f>N106-L106</f>
        <v>0</v>
      </c>
      <c r="Q106" s="36">
        <f>IFERROR(L106*(1-$Q$2),"")</f>
        <v>1013.6999999999999</v>
      </c>
      <c r="R106" s="38" t="str">
        <f>IFERROR(VLOOKUP($A106,'Из Гугла'!$B:$G,6,0)*S106,VLOOKUP($A106,'Из Гугла'!$B:$G,6,0))</f>
        <v/>
      </c>
      <c r="S106" s="14">
        <v>1</v>
      </c>
      <c r="T106" s="83">
        <f>IFERROR(Q106/I106-1,"")</f>
        <v>0.44814285714285695</v>
      </c>
      <c r="U106" s="83" t="str">
        <f>IFERROR((W106-Q106)/W106,"")</f>
        <v/>
      </c>
      <c r="V106" s="83" t="str">
        <f>IFERROR(IF(W106="","",W106/I106-1),"")</f>
        <v/>
      </c>
      <c r="W106" s="84" t="s">
        <v>1269</v>
      </c>
    </row>
    <row r="107" spans="1:24" ht="30" x14ac:dyDescent="0.25">
      <c r="A107" s="80">
        <v>211459</v>
      </c>
      <c r="B107" s="80">
        <f>VLOOKUP($A107,'Выгр Кат'!$A:$R,B$1,0)</f>
        <v>4543</v>
      </c>
      <c r="C107" s="81" t="str">
        <f>VLOOKUP($A107,'Выгр Кат'!$A:$R,C$1,0)</f>
        <v>Руль R1 анатомической формы для ВАЗ</v>
      </c>
      <c r="D107" s="80" t="str">
        <f>VLOOKUP($A107,'Выгр Кат'!$A:$R,D$1,0)</f>
        <v>Y</v>
      </c>
      <c r="E107" s="80" t="str">
        <f>VLOOKUP($A107,'Выгр Кат'!$A:$R,E$1,0)</f>
        <v>1</v>
      </c>
      <c r="F107" s="80" t="str">
        <f>VLOOKUP($A107,'Выгр Кат'!$A:$R,F$1,0)</f>
        <v>5106</v>
      </c>
      <c r="G107" s="80">
        <f>VLOOKUP($A107,'Выгр Кат'!$A:$R,G$1,0)</f>
        <v>0</v>
      </c>
      <c r="H107" s="67" t="s">
        <v>3</v>
      </c>
      <c r="I107" s="82">
        <v>700</v>
      </c>
      <c r="J107" s="5">
        <f>VLOOKUP(I107,Наценка!$A$1:$G$8,2,1)</f>
        <v>1.45</v>
      </c>
      <c r="K107" s="34">
        <f>I107*J107</f>
        <v>1015</v>
      </c>
      <c r="L107" s="70">
        <f>IF(K107&lt;=1000,(ROUNDUP(K107,-1)-1),(ROUNDUP(K107,-2)-10))</f>
        <v>1090</v>
      </c>
      <c r="M107" s="80">
        <f>VLOOKUP($A107,'Выгр Кат'!$A:$R,M$1,0)</f>
        <v>700</v>
      </c>
      <c r="N107" s="80">
        <f>VLOOKUP($A107,'Выгр Кат'!$A:$R,N$1,0)</f>
        <v>1090</v>
      </c>
      <c r="O107" s="28">
        <f>M107-I107</f>
        <v>0</v>
      </c>
      <c r="P107" s="28">
        <f>N107-L107</f>
        <v>0</v>
      </c>
      <c r="Q107" s="36">
        <f>IFERROR(L107*(1-$Q$2),"")</f>
        <v>1013.6999999999999</v>
      </c>
      <c r="R107" s="38" t="str">
        <f>IFERROR(VLOOKUP($A107,'Из Гугла'!$B:$G,6,0)*S107,VLOOKUP($A107,'Из Гугла'!$B:$G,6,0))</f>
        <v/>
      </c>
      <c r="S107" s="14">
        <v>1</v>
      </c>
      <c r="T107" s="83">
        <f>IFERROR(Q107/I107-1,"")</f>
        <v>0.44814285714285695</v>
      </c>
      <c r="U107" s="83" t="str">
        <f>IFERROR((W107-Q107)/W107,"")</f>
        <v/>
      </c>
      <c r="V107" s="83" t="str">
        <f>IFERROR(IF(W107="","",W107/I107-1),"")</f>
        <v/>
      </c>
      <c r="W107" s="84" t="s">
        <v>1269</v>
      </c>
    </row>
    <row r="108" spans="1:24" ht="30" x14ac:dyDescent="0.25">
      <c r="A108" s="80">
        <v>211480</v>
      </c>
      <c r="B108" s="80">
        <f>VLOOKUP($A108,'Выгр Кат'!$A:$R,B$1,0)</f>
        <v>4552</v>
      </c>
      <c r="C108" s="81" t="str">
        <f>VLOOKUP($A108,'Выгр Кат'!$A:$R,C$1,0)</f>
        <v>Руль анатомической формы для ВАЗ</v>
      </c>
      <c r="D108" s="80" t="str">
        <f>VLOOKUP($A108,'Выгр Кат'!$A:$R,D$1,0)</f>
        <v>Y</v>
      </c>
      <c r="E108" s="80" t="str">
        <f>VLOOKUP($A108,'Выгр Кат'!$A:$R,E$1,0)</f>
        <v>1</v>
      </c>
      <c r="F108" s="80" t="str">
        <f>VLOOKUP($A108,'Выгр Кат'!$A:$R,F$1,0)</f>
        <v>5151</v>
      </c>
      <c r="G108" s="80">
        <f>VLOOKUP($A108,'Выгр Кат'!$A:$R,G$1,0)</f>
        <v>0</v>
      </c>
      <c r="H108" s="67" t="s">
        <v>3</v>
      </c>
      <c r="I108" s="82">
        <v>700</v>
      </c>
      <c r="J108" s="5">
        <f>VLOOKUP(I108,Наценка!$A$1:$G$8,2,1)</f>
        <v>1.45</v>
      </c>
      <c r="K108" s="88">
        <f>I108*J108</f>
        <v>1015</v>
      </c>
      <c r="L108" s="70">
        <f>IF(K108&lt;=1000,(ROUNDUP(K108,-1)-1),(ROUNDUP(K108,-2)-10))</f>
        <v>1090</v>
      </c>
      <c r="M108" s="80">
        <f>VLOOKUP($A108,'Выгр Кат'!$A:$R,M$1,0)</f>
        <v>700</v>
      </c>
      <c r="N108" s="80">
        <f>VLOOKUP($A108,'Выгр Кат'!$A:$R,N$1,0)</f>
        <v>1090</v>
      </c>
      <c r="O108" s="28">
        <f>M108-I108</f>
        <v>0</v>
      </c>
      <c r="P108" s="28">
        <f>N108-L108</f>
        <v>0</v>
      </c>
      <c r="Q108" s="36">
        <f>IFERROR(L108*(1-$Q$2),"")</f>
        <v>1013.6999999999999</v>
      </c>
      <c r="R108" s="38" t="str">
        <f>IFERROR(VLOOKUP($A108,'Из Гугла'!$B:$G,6,0)*S108,VLOOKUP($A108,'Из Гугла'!$B:$G,6,0))</f>
        <v/>
      </c>
      <c r="S108" s="14">
        <v>1</v>
      </c>
      <c r="T108" s="83">
        <f>IFERROR(Q108/I108-1,"")</f>
        <v>0.44814285714285695</v>
      </c>
      <c r="U108" s="83" t="str">
        <f>IFERROR((W108-Q108)/W108,"")</f>
        <v/>
      </c>
      <c r="V108" s="83" t="str">
        <f>IFERROR(IF(W108="","",W108/I108-1),"")</f>
        <v/>
      </c>
      <c r="W108" s="84" t="s">
        <v>1269</v>
      </c>
    </row>
    <row r="109" spans="1:24" ht="30" x14ac:dyDescent="0.25">
      <c r="A109" s="80">
        <v>217246</v>
      </c>
      <c r="B109" s="80">
        <f>VLOOKUP($A109,'Выгр Кат'!$A:$R,B$1,0)</f>
        <v>13161</v>
      </c>
      <c r="C109" s="81" t="str">
        <f>VLOOKUP($A109,'Выгр Кат'!$A:$R,C$1,0)</f>
        <v>Спортивный руль R1 на автомобили ВАЗ</v>
      </c>
      <c r="D109" s="80" t="str">
        <f>VLOOKUP($A109,'Выгр Кат'!$A:$R,D$1,0)</f>
        <v>Y</v>
      </c>
      <c r="E109" s="80" t="str">
        <f>VLOOKUP($A109,'Выгр Кат'!$A:$R,E$1,0)</f>
        <v>1</v>
      </c>
      <c r="F109" s="80" t="str">
        <f>VLOOKUP($A109,'Выгр Кат'!$A:$R,F$1,0)</f>
        <v>4163 PVC черный</v>
      </c>
      <c r="G109" s="80">
        <f>VLOOKUP($A109,'Выгр Кат'!$A:$R,G$1,0)</f>
        <v>0</v>
      </c>
      <c r="H109" s="67" t="s">
        <v>3</v>
      </c>
      <c r="I109" s="82">
        <v>700</v>
      </c>
      <c r="J109" s="5">
        <f>VLOOKUP(I109,Наценка!$A$1:$G$8,2,1)</f>
        <v>1.45</v>
      </c>
      <c r="K109" s="34">
        <f>I109*J109</f>
        <v>1015</v>
      </c>
      <c r="L109" s="70">
        <f>IF(K109&lt;=1000,(ROUNDUP(K109,-1)-1),(ROUNDUP(K109,-2)-10))</f>
        <v>1090</v>
      </c>
      <c r="M109" s="80">
        <f>VLOOKUP($A109,'Выгр Кат'!$A:$R,M$1,0)</f>
        <v>700</v>
      </c>
      <c r="N109" s="80">
        <f>VLOOKUP($A109,'Выгр Кат'!$A:$R,N$1,0)</f>
        <v>1090</v>
      </c>
      <c r="O109" s="28">
        <f>M109-I109</f>
        <v>0</v>
      </c>
      <c r="P109" s="28">
        <f>N109-L109</f>
        <v>0</v>
      </c>
      <c r="Q109" s="36">
        <f>IFERROR(L109*(1-$Q$2),"")</f>
        <v>1013.6999999999999</v>
      </c>
      <c r="R109" s="38" t="str">
        <f>IFERROR(VLOOKUP($A109,'Из Гугла'!$B:$G,6,0)*S109,VLOOKUP($A109,'Из Гугла'!$B:$G,6,0))</f>
        <v/>
      </c>
      <c r="S109" s="14">
        <v>1</v>
      </c>
      <c r="T109" s="83">
        <f>IFERROR(Q109/I109-1,"")</f>
        <v>0.44814285714285695</v>
      </c>
      <c r="U109" s="83" t="str">
        <f>IFERROR((W109-Q109)/W109,"")</f>
        <v/>
      </c>
      <c r="V109" s="83" t="str">
        <f>IFERROR(IF(W109="","",W109/I109-1),"")</f>
        <v/>
      </c>
      <c r="W109" s="84" t="s">
        <v>1269</v>
      </c>
    </row>
    <row r="110" spans="1:24" ht="30" x14ac:dyDescent="0.25">
      <c r="A110" s="80">
        <v>133264</v>
      </c>
      <c r="B110" s="80">
        <f>VLOOKUP($A110,'Выгр Кат'!$A:$R,B$1,0)</f>
        <v>23936</v>
      </c>
      <c r="C110" s="81" t="str">
        <f>VLOOKUP($A110,'Выгр Кат'!$A:$R,C$1,0)</f>
        <v>Балка дополнительного освещения "cm4-36" (LED, белый свет)</v>
      </c>
      <c r="D110" s="80" t="str">
        <f>VLOOKUP($A110,'Выгр Кат'!$A:$R,D$1,0)</f>
        <v>Y</v>
      </c>
      <c r="E110" s="80" t="str">
        <f>VLOOKUP($A110,'Выгр Кат'!$A:$R,E$1,0)</f>
        <v>1</v>
      </c>
      <c r="F110" s="80" t="str">
        <f>VLOOKUP($A110,'Выгр Кат'!$A:$R,F$1,0)</f>
        <v>cm4-36</v>
      </c>
      <c r="G110" s="80">
        <f>VLOOKUP($A110,'Выгр Кат'!$A:$R,G$1,0)</f>
        <v>0</v>
      </c>
      <c r="H110" s="67" t="s">
        <v>3</v>
      </c>
      <c r="I110" s="82">
        <v>700</v>
      </c>
      <c r="J110" s="5">
        <f>VLOOKUP(I110,Наценка!$A$1:$G$8,2,1)</f>
        <v>1.45</v>
      </c>
      <c r="K110" s="34">
        <f>I110*J110</f>
        <v>1015</v>
      </c>
      <c r="L110" s="70">
        <f>IF(K110&lt;=1000,(ROUNDUP(K110,-1)-1),(ROUNDUP(K110,-2)-10))</f>
        <v>1090</v>
      </c>
      <c r="M110" s="80">
        <f>VLOOKUP($A110,'Выгр Кат'!$A:$R,M$1,0)</f>
        <v>700</v>
      </c>
      <c r="N110" s="80">
        <f>VLOOKUP($A110,'Выгр Кат'!$A:$R,N$1,0)</f>
        <v>1090</v>
      </c>
      <c r="O110" s="28">
        <f>M110-I110</f>
        <v>0</v>
      </c>
      <c r="P110" s="28">
        <f>N110-L110</f>
        <v>0</v>
      </c>
      <c r="Q110" s="36">
        <f>IFERROR(L110*(1-$Q$2),"")</f>
        <v>1013.6999999999999</v>
      </c>
      <c r="R110" s="38" t="str">
        <f>IFERROR(VLOOKUP($A110,'Из Гугла'!$B:$G,6,0)*S110,VLOOKUP($A110,'Из Гугла'!$B:$G,6,0))</f>
        <v/>
      </c>
      <c r="S110" s="14">
        <v>1</v>
      </c>
      <c r="T110" s="83">
        <f>IFERROR(Q110/I110-1,"")</f>
        <v>0.44814285714285695</v>
      </c>
      <c r="U110" s="83" t="str">
        <f>IFERROR((W110-Q110)/W110,"")</f>
        <v/>
      </c>
      <c r="V110" s="83" t="str">
        <f>IFERROR(IF(W110="","",W110/I110-1),"")</f>
        <v/>
      </c>
      <c r="W110" s="84" t="s">
        <v>1269</v>
      </c>
    </row>
    <row r="111" spans="1:24" ht="30" x14ac:dyDescent="0.25">
      <c r="A111" s="80">
        <v>133260</v>
      </c>
      <c r="B111" s="80">
        <f>VLOOKUP($A111,'Выгр Кат'!$A:$R,B$1,0)</f>
        <v>23937</v>
      </c>
      <c r="C111" s="81" t="str">
        <f>VLOOKUP($A111,'Выгр Кат'!$A:$R,C$1,0)</f>
        <v>Балка дополнительного освещения "cm2-36" (LED, белый свет)</v>
      </c>
      <c r="D111" s="80" t="str">
        <f>VLOOKUP($A111,'Выгр Кат'!$A:$R,D$1,0)</f>
        <v>Y</v>
      </c>
      <c r="E111" s="80" t="str">
        <f>VLOOKUP($A111,'Выгр Кат'!$A:$R,E$1,0)</f>
        <v>1</v>
      </c>
      <c r="F111" s="80" t="str">
        <f>VLOOKUP($A111,'Выгр Кат'!$A:$R,F$1,0)</f>
        <v>cm2-36</v>
      </c>
      <c r="G111" s="80">
        <f>VLOOKUP($A111,'Выгр Кат'!$A:$R,G$1,0)</f>
        <v>0</v>
      </c>
      <c r="H111" s="67" t="s">
        <v>3</v>
      </c>
      <c r="I111" s="82">
        <v>700</v>
      </c>
      <c r="J111" s="5">
        <f>VLOOKUP(I111,Наценка!$A$1:$G$8,2,1)</f>
        <v>1.45</v>
      </c>
      <c r="K111" s="88">
        <f>I111*J111</f>
        <v>1015</v>
      </c>
      <c r="L111" s="70">
        <f>IF(K111&lt;=1000,(ROUNDUP(K111,-1)-1),(ROUNDUP(K111,-2)-10))</f>
        <v>1090</v>
      </c>
      <c r="M111" s="80">
        <f>VLOOKUP($A111,'Выгр Кат'!$A:$R,M$1,0)</f>
        <v>700</v>
      </c>
      <c r="N111" s="80">
        <f>VLOOKUP($A111,'Выгр Кат'!$A:$R,N$1,0)</f>
        <v>1090</v>
      </c>
      <c r="O111" s="28">
        <f>M111-I111</f>
        <v>0</v>
      </c>
      <c r="P111" s="28">
        <f>N111-L111</f>
        <v>0</v>
      </c>
      <c r="Q111" s="36">
        <f>IFERROR(L111*(1-$Q$2),"")</f>
        <v>1013.6999999999999</v>
      </c>
      <c r="R111" s="38" t="str">
        <f>IFERROR(VLOOKUP($A111,'Из Гугла'!$B:$G,6,0)*S111,VLOOKUP($A111,'Из Гугла'!$B:$G,6,0))</f>
        <v/>
      </c>
      <c r="S111" s="14">
        <v>1</v>
      </c>
      <c r="T111" s="83">
        <f>IFERROR(Q111/I111-1,"")</f>
        <v>0.44814285714285695</v>
      </c>
      <c r="U111" s="83" t="str">
        <f>IFERROR((W111-Q111)/W111,"")</f>
        <v/>
      </c>
      <c r="V111" s="83" t="str">
        <f>IFERROR(IF(W111="","",W111/I111-1),"")</f>
        <v/>
      </c>
      <c r="W111" s="84" t="s">
        <v>1269</v>
      </c>
    </row>
    <row r="112" spans="1:24" ht="45" x14ac:dyDescent="0.25">
      <c r="A112" s="80">
        <v>133257</v>
      </c>
      <c r="B112" s="80">
        <f>VLOOKUP($A112,'Выгр Кат'!$A:$R,B$1,0)</f>
        <v>24027</v>
      </c>
      <c r="C112" s="81" t="str">
        <f>VLOOKUP($A112,'Выгр Кат'!$A:$R,C$1,0)</f>
        <v>Балка дополнительного освещения "cm1-36" (LED, белый свет, прямоугольная)</v>
      </c>
      <c r="D112" s="80" t="str">
        <f>VLOOKUP($A112,'Выгр Кат'!$A:$R,D$1,0)</f>
        <v>Y</v>
      </c>
      <c r="E112" s="80" t="str">
        <f>VLOOKUP($A112,'Выгр Кат'!$A:$R,E$1,0)</f>
        <v>1</v>
      </c>
      <c r="F112" s="80" t="str">
        <f>VLOOKUP($A112,'Выгр Кат'!$A:$R,F$1,0)</f>
        <v>cm1-36</v>
      </c>
      <c r="G112" s="80">
        <f>VLOOKUP($A112,'Выгр Кат'!$A:$R,G$1,0)</f>
        <v>0</v>
      </c>
      <c r="H112" s="67" t="s">
        <v>3</v>
      </c>
      <c r="I112" s="82">
        <v>700</v>
      </c>
      <c r="J112" s="5">
        <f>VLOOKUP(I112,Наценка!$A$1:$G$8,2,1)</f>
        <v>1.45</v>
      </c>
      <c r="K112" s="34">
        <f>I112*J112</f>
        <v>1015</v>
      </c>
      <c r="L112" s="70">
        <f>IF(K112&lt;=1000,(ROUNDUP(K112,-1)-1),(ROUNDUP(K112,-2)-10))</f>
        <v>1090</v>
      </c>
      <c r="M112" s="80">
        <f>VLOOKUP($A112,'Выгр Кат'!$A:$R,M$1,0)</f>
        <v>700</v>
      </c>
      <c r="N112" s="80">
        <f>VLOOKUP($A112,'Выгр Кат'!$A:$R,N$1,0)</f>
        <v>1090</v>
      </c>
      <c r="O112" s="28">
        <f>M112-I112</f>
        <v>0</v>
      </c>
      <c r="P112" s="28">
        <f>N112-L112</f>
        <v>0</v>
      </c>
      <c r="Q112" s="36">
        <f>IFERROR(L112*(1-$Q$2),"")</f>
        <v>1013.6999999999999</v>
      </c>
      <c r="R112" s="38" t="str">
        <f>IFERROR(VLOOKUP($A112,'Из Гугла'!$B:$G,6,0)*S112,VLOOKUP($A112,'Из Гугла'!$B:$G,6,0))</f>
        <v/>
      </c>
      <c r="S112" s="14">
        <v>1</v>
      </c>
      <c r="T112" s="83">
        <f>IFERROR(Q112/I112-1,"")</f>
        <v>0.44814285714285695</v>
      </c>
      <c r="U112" s="83" t="str">
        <f>IFERROR((W112-Q112)/W112,"")</f>
        <v/>
      </c>
      <c r="V112" s="83" t="str">
        <f>IFERROR(IF(W112="","",W112/I112-1),"")</f>
        <v/>
      </c>
      <c r="W112" s="84" t="s">
        <v>1269</v>
      </c>
    </row>
    <row r="113" spans="1:24" ht="30" x14ac:dyDescent="0.25">
      <c r="A113" s="80">
        <v>133262</v>
      </c>
      <c r="B113" s="80">
        <f>VLOOKUP($A113,'Выгр Кат'!$A:$R,B$1,0)</f>
        <v>24031</v>
      </c>
      <c r="C113" s="81" t="str">
        <f>VLOOKUP($A113,'Выгр Кат'!$A:$R,C$1,0)</f>
        <v>Балка дополнительного освещения "cm3-36" (LED, белый свет)</v>
      </c>
      <c r="D113" s="80" t="str">
        <f>VLOOKUP($A113,'Выгр Кат'!$A:$R,D$1,0)</f>
        <v>Y</v>
      </c>
      <c r="E113" s="80" t="str">
        <f>VLOOKUP($A113,'Выгр Кат'!$A:$R,E$1,0)</f>
        <v>1</v>
      </c>
      <c r="F113" s="80" t="str">
        <f>VLOOKUP($A113,'Выгр Кат'!$A:$R,F$1,0)</f>
        <v>cm3-36</v>
      </c>
      <c r="G113" s="80">
        <f>VLOOKUP($A113,'Выгр Кат'!$A:$R,G$1,0)</f>
        <v>0</v>
      </c>
      <c r="H113" s="67" t="s">
        <v>3</v>
      </c>
      <c r="I113" s="82">
        <v>700</v>
      </c>
      <c r="J113" s="5">
        <f>VLOOKUP(I113,Наценка!$A$1:$G$8,2,1)</f>
        <v>1.45</v>
      </c>
      <c r="K113" s="34">
        <f>I113*J113</f>
        <v>1015</v>
      </c>
      <c r="L113" s="70">
        <f>IF(K113&lt;=1000,(ROUNDUP(K113,-1)-1),(ROUNDUP(K113,-2)-10))</f>
        <v>1090</v>
      </c>
      <c r="M113" s="80">
        <f>VLOOKUP($A113,'Выгр Кат'!$A:$R,M$1,0)</f>
        <v>700</v>
      </c>
      <c r="N113" s="80">
        <f>VLOOKUP($A113,'Выгр Кат'!$A:$R,N$1,0)</f>
        <v>1090</v>
      </c>
      <c r="O113" s="28">
        <f>M113-I113</f>
        <v>0</v>
      </c>
      <c r="P113" s="28">
        <f>N113-L113</f>
        <v>0</v>
      </c>
      <c r="Q113" s="36">
        <f>IFERROR(L113*(1-$Q$2),"")</f>
        <v>1013.6999999999999</v>
      </c>
      <c r="R113" s="38" t="str">
        <f>IFERROR(VLOOKUP($A113,'Из Гугла'!$B:$G,6,0)*S113,VLOOKUP($A113,'Из Гугла'!$B:$G,6,0))</f>
        <v/>
      </c>
      <c r="S113" s="14">
        <v>1</v>
      </c>
      <c r="T113" s="83">
        <f>IFERROR(Q113/I113-1,"")</f>
        <v>0.44814285714285695</v>
      </c>
      <c r="U113" s="83" t="str">
        <f>IFERROR((W113-Q113)/W113,"")</f>
        <v/>
      </c>
      <c r="V113" s="83" t="str">
        <f>IFERROR(IF(W113="","",W113/I113-1),"")</f>
        <v/>
      </c>
      <c r="W113" s="84" t="s">
        <v>1269</v>
      </c>
    </row>
    <row r="114" spans="1:24" ht="30" x14ac:dyDescent="0.25">
      <c r="A114" s="80">
        <v>217449</v>
      </c>
      <c r="B114" s="80">
        <f>VLOOKUP($A114,'Выгр Кат'!$A:$R,B$1,0)</f>
        <v>11439</v>
      </c>
      <c r="C114" s="81" t="str">
        <f>VLOOKUP($A114,'Выгр Кат'!$A:$R,C$1,0)</f>
        <v>Стекла фар гладкие для ВАЗ 2105 и 2107</v>
      </c>
      <c r="D114" s="80" t="str">
        <f>VLOOKUP($A114,'Выгр Кат'!$A:$R,D$1,0)</f>
        <v>Y</v>
      </c>
      <c r="E114" s="80" t="str">
        <f>VLOOKUP($A114,'Выгр Кат'!$A:$R,E$1,0)</f>
        <v>1</v>
      </c>
      <c r="F114" s="80">
        <f>VLOOKUP($A114,'Выгр Кат'!$A:$R,F$1,0)</f>
        <v>0</v>
      </c>
      <c r="G114" s="80" t="str">
        <f>VLOOKUP($A114,'Выгр Кат'!$A:$R,G$1,0)</f>
        <v>https://motorring.ru/product/41519-komplekt-gladkih-stekol-far-iz-stekla-vaz-2107</v>
      </c>
      <c r="H114" s="67" t="s">
        <v>3</v>
      </c>
      <c r="I114" s="82">
        <v>700</v>
      </c>
      <c r="J114" s="5">
        <f>VLOOKUP(I114,Наценка!$A$1:$G$8,2,1)</f>
        <v>1.45</v>
      </c>
      <c r="K114" s="31">
        <f>N114</f>
        <v>1190</v>
      </c>
      <c r="L114" s="70">
        <f>IF(K114&lt;=1000,(ROUNDUP(K114,-1)-1),(ROUNDUP(K114,-2)-10))</f>
        <v>1190</v>
      </c>
      <c r="M114" s="80">
        <f>VLOOKUP($A114,'Выгр Кат'!$A:$R,M$1,0)</f>
        <v>700</v>
      </c>
      <c r="N114" s="80">
        <f>VLOOKUP($A114,'Выгр Кат'!$A:$R,N$1,0)</f>
        <v>1190</v>
      </c>
      <c r="O114" s="28">
        <f>M114-I114</f>
        <v>0</v>
      </c>
      <c r="P114" s="28">
        <f>N114-L114</f>
        <v>0</v>
      </c>
      <c r="Q114" s="36">
        <f>IFERROR(L114*(1-$Q$2),"")</f>
        <v>1106.6999999999998</v>
      </c>
      <c r="R114" s="38" t="str">
        <f>IFERROR(VLOOKUP($A114,'Из Гугла'!$B:$G,6,0)*S114,VLOOKUP($A114,'Из Гугла'!$B:$G,6,0))</f>
        <v/>
      </c>
      <c r="S114" s="14">
        <v>1</v>
      </c>
      <c r="T114" s="83">
        <f>IFERROR(Q114/I114-1,"")</f>
        <v>0.58099999999999974</v>
      </c>
      <c r="U114" s="83" t="str">
        <f>IFERROR((W114-Q114)/W114,"")</f>
        <v/>
      </c>
      <c r="V114" s="83" t="str">
        <f>IFERROR(IF(W114="","",W114/I114-1),"")</f>
        <v/>
      </c>
      <c r="W114" s="84"/>
    </row>
    <row r="115" spans="1:24" ht="60" x14ac:dyDescent="0.25">
      <c r="A115" s="80">
        <v>213586</v>
      </c>
      <c r="B115" s="80">
        <f>VLOOKUP($A115,'Выгр Кат'!$A:$R,B$1,0)</f>
        <v>16824</v>
      </c>
      <c r="C115" s="81" t="str">
        <f>VLOOKUP($A115,'Выгр Кат'!$A:$R,C$1,0)</f>
        <v>Светодиодные динамические повторители поворота "Лексус Стайл" в зеркала нового образца для Лада Гранта, Гранта FL</v>
      </c>
      <c r="D115" s="80" t="str">
        <f>VLOOKUP($A115,'Выгр Кат'!$A:$R,D$1,0)</f>
        <v>Y</v>
      </c>
      <c r="E115" s="80" t="str">
        <f>VLOOKUP($A115,'Выгр Кат'!$A:$R,E$1,0)</f>
        <v>1</v>
      </c>
      <c r="F115" s="80" t="str">
        <f>VLOOKUP($A115,'Выгр Кат'!$A:$R,F$1,0)</f>
        <v>Q900</v>
      </c>
      <c r="G115" s="80" t="str">
        <f>VLOOKUP($A115,'Выгр Кат'!$A:$R,G$1,0)</f>
        <v>https://motorring.ru/product/20179-begayuschie-povtoriteli-povorota-leksus-stayl-zerkala</v>
      </c>
      <c r="H115" s="67" t="s">
        <v>3</v>
      </c>
      <c r="I115" s="82">
        <v>750</v>
      </c>
      <c r="J115" s="5">
        <f>VLOOKUP(I115,Наценка!$A$1:$G$8,2,1)</f>
        <v>1.45</v>
      </c>
      <c r="K115" s="89">
        <f>W115*1.07</f>
        <v>1594.3000000000002</v>
      </c>
      <c r="L115" s="70">
        <f>IF(K115&lt;=1000,(ROUNDUP(K115,-1)-1),(ROUNDUP(K115,-2)-10))</f>
        <v>1590</v>
      </c>
      <c r="M115" s="80">
        <f>VLOOKUP($A115,'Выгр Кат'!$A:$R,M$1,0)</f>
        <v>750</v>
      </c>
      <c r="N115" s="80">
        <f>VLOOKUP($A115,'Выгр Кат'!$A:$R,N$1,0)</f>
        <v>1590</v>
      </c>
      <c r="O115" s="28">
        <f>M115-I115</f>
        <v>0</v>
      </c>
      <c r="P115" s="28">
        <f>N115-L115</f>
        <v>0</v>
      </c>
      <c r="Q115" s="36">
        <f>IFERROR(L115*(1-$Q$2),"")</f>
        <v>1478.6999999999998</v>
      </c>
      <c r="R115" s="38">
        <f>IFERROR(VLOOKUP($A115,'Из Гугла'!$B:$G,6,0)*S115,VLOOKUP($A115,'Из Гугла'!$B:$G,6,0))</f>
        <v>1490</v>
      </c>
      <c r="S115" s="14">
        <v>1</v>
      </c>
      <c r="T115" s="83">
        <f>IFERROR(Q115/I115-1,"")</f>
        <v>0.9715999999999998</v>
      </c>
      <c r="U115" s="83">
        <f>IFERROR((W115-Q115)/W115,"")</f>
        <v>7.5838926174497867E-3</v>
      </c>
      <c r="V115" s="83">
        <f>IFERROR(IF(W115="","",W115/I115-1),"")</f>
        <v>0.98666666666666658</v>
      </c>
      <c r="W115" s="84">
        <v>1490</v>
      </c>
      <c r="X115" s="71" t="s">
        <v>1443</v>
      </c>
    </row>
    <row r="116" spans="1:24" ht="45" x14ac:dyDescent="0.25">
      <c r="A116" s="80">
        <v>138486</v>
      </c>
      <c r="B116" s="80">
        <f>VLOOKUP($A116,'Выгр Кат'!$A:$R,B$1,0)</f>
        <v>7459</v>
      </c>
      <c r="C116" s="81" t="str">
        <f>VLOOKUP($A116,'Выгр Кат'!$A:$R,C$1,0)</f>
        <v>Боковые зеркала «3245» (хром, c повторителем) для ВАЗ 2108-21099, 2113-2115</v>
      </c>
      <c r="D116" s="80" t="str">
        <f>VLOOKUP($A116,'Выгр Кат'!$A:$R,D$1,0)</f>
        <v>Y</v>
      </c>
      <c r="E116" s="80" t="str">
        <f>VLOOKUP($A116,'Выгр Кат'!$A:$R,E$1,0)</f>
        <v>1</v>
      </c>
      <c r="F116" s="80">
        <f>VLOOKUP($A116,'Выгр Кат'!$A:$R,F$1,0)</f>
        <v>0</v>
      </c>
      <c r="G116" s="80" t="str">
        <f>VLOOKUP($A116,'Выгр Кат'!$A:$R,G$1,0)</f>
        <v>https://motorring.ru/product/15970-bokovye-zerkala-hrom-povtoritelem-3245-vaz-2108-15</v>
      </c>
      <c r="H116" s="67" t="s">
        <v>3</v>
      </c>
      <c r="I116" s="82">
        <v>750</v>
      </c>
      <c r="J116" s="5">
        <f>VLOOKUP(I116,Наценка!$A$1:$G$8,2,1)</f>
        <v>1.45</v>
      </c>
      <c r="K116" s="89">
        <f>W116*1.07</f>
        <v>1496.93</v>
      </c>
      <c r="L116" s="70">
        <f>IF(K116&lt;=1000,(ROUNDUP(K116,-1)-1),(ROUNDUP(K116,-2)-10))</f>
        <v>1490</v>
      </c>
      <c r="M116" s="80">
        <f>VLOOKUP($A116,'Выгр Кат'!$A:$R,M$1,0)</f>
        <v>750</v>
      </c>
      <c r="N116" s="80">
        <f>VLOOKUP($A116,'Выгр Кат'!$A:$R,N$1,0)</f>
        <v>1490</v>
      </c>
      <c r="O116" s="28">
        <f>M116-I116</f>
        <v>0</v>
      </c>
      <c r="P116" s="28">
        <f>N116-L116</f>
        <v>0</v>
      </c>
      <c r="Q116" s="36">
        <f>IFERROR(L116*(1-$Q$2),"")</f>
        <v>1385.6999999999998</v>
      </c>
      <c r="R116" s="38">
        <f>IFERROR(VLOOKUP($A116,'Из Гугла'!$B:$G,6,0)*S116,VLOOKUP($A116,'Из Гугла'!$B:$G,6,0))</f>
        <v>1399</v>
      </c>
      <c r="S116" s="14">
        <v>1</v>
      </c>
      <c r="T116" s="83">
        <f>IFERROR(Q116/I116-1,"")</f>
        <v>0.84759999999999969</v>
      </c>
      <c r="U116" s="83">
        <f>IFERROR((W116-Q116)/W116,"")</f>
        <v>9.506790564689194E-3</v>
      </c>
      <c r="V116" s="83">
        <f>IFERROR(IF(W116="","",W116/I116-1),"")</f>
        <v>0.86533333333333329</v>
      </c>
      <c r="W116" s="84">
        <v>1399</v>
      </c>
      <c r="X116" s="71" t="s">
        <v>1442</v>
      </c>
    </row>
    <row r="117" spans="1:24" ht="30" x14ac:dyDescent="0.25">
      <c r="A117" s="80">
        <v>223079</v>
      </c>
      <c r="B117" s="80">
        <f>VLOOKUP($A117,'Выгр Кат'!$A:$R,B$1,0)</f>
        <v>8267</v>
      </c>
      <c r="C117" s="81" t="str">
        <f>VLOOKUP($A117,'Выгр Кат'!$A:$R,C$1,0)</f>
        <v>Универсальные ПТФ "DLAA" LA8070RY лазер</v>
      </c>
      <c r="D117" s="80" t="str">
        <f>VLOOKUP($A117,'Выгр Кат'!$A:$R,D$1,0)</f>
        <v>Y</v>
      </c>
      <c r="E117" s="80" t="str">
        <f>VLOOKUP($A117,'Выгр Кат'!$A:$R,E$1,0)</f>
        <v>1</v>
      </c>
      <c r="F117" s="80" t="str">
        <f>VLOOKUP($A117,'Выгр Кат'!$A:$R,F$1,0)</f>
        <v>LA8070RY</v>
      </c>
      <c r="G117" s="80">
        <f>VLOOKUP($A117,'Выгр Кат'!$A:$R,G$1,0)</f>
        <v>0</v>
      </c>
      <c r="H117" s="67" t="s">
        <v>3</v>
      </c>
      <c r="I117" s="82">
        <v>750</v>
      </c>
      <c r="J117" s="5">
        <f>VLOOKUP(I117,Наценка!$A$1:$G$8,2,1)</f>
        <v>1.45</v>
      </c>
      <c r="K117" s="34">
        <f>I117*J117</f>
        <v>1087.5</v>
      </c>
      <c r="L117" s="70">
        <f>IF(K117&lt;=1000,(ROUNDUP(K117,-1)-1),(ROUNDUP(K117,-2)-10))</f>
        <v>1090</v>
      </c>
      <c r="M117" s="80">
        <f>VLOOKUP($A117,'Выгр Кат'!$A:$R,M$1,0)</f>
        <v>750</v>
      </c>
      <c r="N117" s="80">
        <f>VLOOKUP($A117,'Выгр Кат'!$A:$R,N$1,0)</f>
        <v>1090</v>
      </c>
      <c r="O117" s="28">
        <f>M117-I117</f>
        <v>0</v>
      </c>
      <c r="P117" s="28">
        <f>N117-L117</f>
        <v>0</v>
      </c>
      <c r="Q117" s="36">
        <f>IFERROR(L117*(1-$Q$2),"")</f>
        <v>1013.6999999999999</v>
      </c>
      <c r="R117" s="38" t="str">
        <f>IFERROR(VLOOKUP($A117,'Из Гугла'!$B:$G,6,0)*S117,VLOOKUP($A117,'Из Гугла'!$B:$G,6,0))</f>
        <v/>
      </c>
      <c r="S117" s="14">
        <v>1</v>
      </c>
      <c r="T117" s="83">
        <f>IFERROR(Q117/I117-1,"")</f>
        <v>0.35159999999999991</v>
      </c>
      <c r="U117" s="83" t="str">
        <f>IFERROR((W117-Q117)/W117,"")</f>
        <v/>
      </c>
      <c r="V117" s="83" t="str">
        <f>IFERROR(IF(W117="","",W117/I117-1),"")</f>
        <v/>
      </c>
      <c r="W117" s="84" t="s">
        <v>1269</v>
      </c>
    </row>
    <row r="118" spans="1:24" ht="30" x14ac:dyDescent="0.25">
      <c r="A118" s="80">
        <v>223095</v>
      </c>
      <c r="B118" s="80">
        <f>VLOOKUP($A118,'Выгр Кат'!$A:$R,B$1,0)</f>
        <v>8288</v>
      </c>
      <c r="C118" s="81" t="str">
        <f>VLOOKUP($A118,'Выгр Кат'!$A:$R,C$1,0)</f>
        <v>Универсальные ПТФ "DLAA" LA990B-W белые</v>
      </c>
      <c r="D118" s="80" t="str">
        <f>VLOOKUP($A118,'Выгр Кат'!$A:$R,D$1,0)</f>
        <v>Y</v>
      </c>
      <c r="E118" s="80" t="str">
        <f>VLOOKUP($A118,'Выгр Кат'!$A:$R,E$1,0)</f>
        <v>1</v>
      </c>
      <c r="F118" s="80" t="str">
        <f>VLOOKUP($A118,'Выгр Кат'!$A:$R,F$1,0)</f>
        <v>LA990B-W</v>
      </c>
      <c r="G118" s="80">
        <f>VLOOKUP($A118,'Выгр Кат'!$A:$R,G$1,0)</f>
        <v>0</v>
      </c>
      <c r="H118" s="67" t="s">
        <v>3</v>
      </c>
      <c r="I118" s="82">
        <v>750</v>
      </c>
      <c r="J118" s="5">
        <f>VLOOKUP(I118,Наценка!$A$1:$G$8,2,1)</f>
        <v>1.45</v>
      </c>
      <c r="K118" s="34">
        <f>I118*J118</f>
        <v>1087.5</v>
      </c>
      <c r="L118" s="70">
        <f>IF(K118&lt;=1000,(ROUNDUP(K118,-1)-1),(ROUNDUP(K118,-2)-10))</f>
        <v>1090</v>
      </c>
      <c r="M118" s="80">
        <f>VLOOKUP($A118,'Выгр Кат'!$A:$R,M$1,0)</f>
        <v>750</v>
      </c>
      <c r="N118" s="80">
        <f>VLOOKUP($A118,'Выгр Кат'!$A:$R,N$1,0)</f>
        <v>1090</v>
      </c>
      <c r="O118" s="28">
        <f>M118-I118</f>
        <v>0</v>
      </c>
      <c r="P118" s="28">
        <f>N118-L118</f>
        <v>0</v>
      </c>
      <c r="Q118" s="36">
        <f>IFERROR(L118*(1-$Q$2),"")</f>
        <v>1013.6999999999999</v>
      </c>
      <c r="R118" s="38" t="str">
        <f>IFERROR(VLOOKUP($A118,'Из Гугла'!$B:$G,6,0)*S118,VLOOKUP($A118,'Из Гугла'!$B:$G,6,0))</f>
        <v/>
      </c>
      <c r="S118" s="14">
        <v>1</v>
      </c>
      <c r="T118" s="83">
        <f>IFERROR(Q118/I118-1,"")</f>
        <v>0.35159999999999991</v>
      </c>
      <c r="U118" s="83" t="str">
        <f>IFERROR((W118-Q118)/W118,"")</f>
        <v/>
      </c>
      <c r="V118" s="83" t="str">
        <f>IFERROR(IF(W118="","",W118/I118-1),"")</f>
        <v/>
      </c>
      <c r="W118" s="84" t="s">
        <v>1269</v>
      </c>
    </row>
    <row r="119" spans="1:24" ht="45" x14ac:dyDescent="0.25">
      <c r="A119" s="80">
        <v>213587</v>
      </c>
      <c r="B119" s="80">
        <f>VLOOKUP($A119,'Выгр Кат'!$A:$R,B$1,0)</f>
        <v>18238</v>
      </c>
      <c r="C119" s="81" t="str">
        <f>VLOOKUP($A119,'Выгр Кат'!$A:$R,C$1,0)</f>
        <v>Светодиодные динамические повторители поворота (в стиле Lexus) в зеркала, черные для Лада Веста</v>
      </c>
      <c r="D119" s="80" t="str">
        <f>VLOOKUP($A119,'Выгр Кат'!$A:$R,D$1,0)</f>
        <v>Y</v>
      </c>
      <c r="E119" s="80" t="str">
        <f>VLOOKUP($A119,'Выгр Кат'!$A:$R,E$1,0)</f>
        <v>1</v>
      </c>
      <c r="F119" s="80" t="str">
        <f>VLOOKUP($A119,'Выгр Кат'!$A:$R,F$1,0)</f>
        <v>Q-800</v>
      </c>
      <c r="G119" s="80" t="str">
        <f>VLOOKUP($A119,'Выгр Кат'!$A:$R,G$1,0)</f>
        <v>https://motorring.ru/product/20643-svetodiodnye-dinamicheskie-povtoriteli-povorota-leksus</v>
      </c>
      <c r="H119" s="67" t="s">
        <v>3</v>
      </c>
      <c r="I119" s="82">
        <v>750</v>
      </c>
      <c r="J119" s="5">
        <f>VLOOKUP(I119,Наценка!$A$1:$G$8,2,1)</f>
        <v>1.45</v>
      </c>
      <c r="K119" s="91">
        <f>W119*1</f>
        <v>1190</v>
      </c>
      <c r="L119" s="70">
        <f>IF(K119&lt;=1000,(ROUNDUP(K119,-1)-1),(ROUNDUP(K119,-2)-10))</f>
        <v>1190</v>
      </c>
      <c r="M119" s="80">
        <f>VLOOKUP($A119,'Выгр Кат'!$A:$R,M$1,0)</f>
        <v>750</v>
      </c>
      <c r="N119" s="80">
        <f>VLOOKUP($A119,'Выгр Кат'!$A:$R,N$1,0)</f>
        <v>1190</v>
      </c>
      <c r="O119" s="28">
        <f>M119-I119</f>
        <v>0</v>
      </c>
      <c r="P119" s="28">
        <f>N119-L119</f>
        <v>0</v>
      </c>
      <c r="Q119" s="36">
        <f>IFERROR(L119*(1-$Q$2),"")</f>
        <v>1106.6999999999998</v>
      </c>
      <c r="R119" s="38">
        <f>IFERROR(VLOOKUP($A119,'Из Гугла'!$B:$G,6,0)*S119,VLOOKUP($A119,'Из Гугла'!$B:$G,6,0))</f>
        <v>1190</v>
      </c>
      <c r="S119" s="14">
        <v>1</v>
      </c>
      <c r="T119" s="83">
        <f>IFERROR(Q119/I119-1,"")</f>
        <v>0.4755999999999998</v>
      </c>
      <c r="U119" s="83">
        <f>IFERROR((W119-Q119)/W119,"")</f>
        <v>7.0000000000000159E-2</v>
      </c>
      <c r="V119" s="83">
        <f>IFERROR(IF(W119="","",W119/I119-1),"")</f>
        <v>0.58666666666666667</v>
      </c>
      <c r="W119" s="84">
        <v>1190</v>
      </c>
      <c r="X119" s="71" t="s">
        <v>1422</v>
      </c>
    </row>
    <row r="120" spans="1:24" ht="30" x14ac:dyDescent="0.25">
      <c r="A120" s="80">
        <v>223108</v>
      </c>
      <c r="B120" s="80">
        <f>VLOOKUP($A120,'Выгр Кат'!$A:$R,B$1,0)</f>
        <v>8301</v>
      </c>
      <c r="C120" s="81" t="str">
        <f>VLOOKUP($A120,'Выгр Кат'!$A:$R,C$1,0)</f>
        <v>Универсальные ПТФ PT 299</v>
      </c>
      <c r="D120" s="80" t="str">
        <f>VLOOKUP($A120,'Выгр Кат'!$A:$R,D$1,0)</f>
        <v>Y</v>
      </c>
      <c r="E120" s="80" t="str">
        <f>VLOOKUP($A120,'Выгр Кат'!$A:$R,E$1,0)</f>
        <v>1</v>
      </c>
      <c r="F120" s="80" t="str">
        <f>VLOOKUP($A120,'Выгр Кат'!$A:$R,F$1,0)</f>
        <v>PT 299W</v>
      </c>
      <c r="G120" s="80">
        <f>VLOOKUP($A120,'Выгр Кат'!$A:$R,G$1,0)</f>
        <v>0</v>
      </c>
      <c r="H120" s="67" t="s">
        <v>3</v>
      </c>
      <c r="I120" s="82">
        <v>800</v>
      </c>
      <c r="J120" s="5">
        <f>VLOOKUP(I120,Наценка!$A$1:$G$8,2,1)</f>
        <v>1.45</v>
      </c>
      <c r="K120" s="34">
        <f>I120*J120</f>
        <v>1160</v>
      </c>
      <c r="L120" s="70">
        <f>IF(K120&lt;=1000,(ROUNDUP(K120,-1)-1),(ROUNDUP(K120,-2)-10))</f>
        <v>1190</v>
      </c>
      <c r="M120" s="80">
        <f>VLOOKUP($A120,'Выгр Кат'!$A:$R,M$1,0)</f>
        <v>800</v>
      </c>
      <c r="N120" s="80">
        <f>VLOOKUP($A120,'Выгр Кат'!$A:$R,N$1,0)</f>
        <v>1190</v>
      </c>
      <c r="O120" s="28">
        <f>M120-I120</f>
        <v>0</v>
      </c>
      <c r="P120" s="28">
        <f>N120-L120</f>
        <v>0</v>
      </c>
      <c r="Q120" s="36">
        <f>IFERROR(L120*(1-$Q$2),"")</f>
        <v>1106.6999999999998</v>
      </c>
      <c r="R120" s="38" t="str">
        <f>IFERROR(VLOOKUP($A120,'Из Гугла'!$B:$G,6,0)*S120,VLOOKUP($A120,'Из Гугла'!$B:$G,6,0))</f>
        <v/>
      </c>
      <c r="S120" s="14">
        <v>1</v>
      </c>
      <c r="T120" s="83">
        <f>IFERROR(Q120/I120-1,"")</f>
        <v>0.3833749999999998</v>
      </c>
      <c r="U120" s="83" t="str">
        <f>IFERROR((W120-Q120)/W120,"")</f>
        <v/>
      </c>
      <c r="V120" s="83" t="str">
        <f>IFERROR(IF(W120="","",W120/I120-1),"")</f>
        <v/>
      </c>
      <c r="W120" s="84" t="s">
        <v>1269</v>
      </c>
    </row>
    <row r="121" spans="1:24" ht="30" x14ac:dyDescent="0.25">
      <c r="A121" s="80">
        <v>211469</v>
      </c>
      <c r="B121" s="80">
        <f>VLOOKUP($A121,'Выгр Кат'!$A:$R,B$1,0)</f>
        <v>4489</v>
      </c>
      <c r="C121" s="81" t="str">
        <f>VLOOKUP($A121,'Выгр Кат'!$A:$R,C$1,0)</f>
        <v>Руль Rtech Power для ВАЗ</v>
      </c>
      <c r="D121" s="80" t="str">
        <f>VLOOKUP($A121,'Выгр Кат'!$A:$R,D$1,0)</f>
        <v>Y</v>
      </c>
      <c r="E121" s="80" t="str">
        <f>VLOOKUP($A121,'Выгр Кат'!$A:$R,E$1,0)</f>
        <v>1</v>
      </c>
      <c r="F121" s="80" t="str">
        <f>VLOOKUP($A121,'Выгр Кат'!$A:$R,F$1,0)</f>
        <v>13001</v>
      </c>
      <c r="G121" s="80">
        <f>VLOOKUP($A121,'Выгр Кат'!$A:$R,G$1,0)</f>
        <v>0</v>
      </c>
      <c r="H121" s="67" t="s">
        <v>3</v>
      </c>
      <c r="I121" s="82">
        <v>800</v>
      </c>
      <c r="J121" s="5">
        <f>VLOOKUP(I121,Наценка!$A$1:$G$8,2,1)</f>
        <v>1.45</v>
      </c>
      <c r="K121" s="34">
        <f>I121*J121</f>
        <v>1160</v>
      </c>
      <c r="L121" s="70">
        <f>IF(K121&lt;=1000,(ROUNDUP(K121,-1)-1),(ROUNDUP(K121,-2)-10))</f>
        <v>1190</v>
      </c>
      <c r="M121" s="80">
        <f>VLOOKUP($A121,'Выгр Кат'!$A:$R,M$1,0)</f>
        <v>800</v>
      </c>
      <c r="N121" s="80">
        <f>VLOOKUP($A121,'Выгр Кат'!$A:$R,N$1,0)</f>
        <v>1190</v>
      </c>
      <c r="O121" s="28">
        <f>M121-I121</f>
        <v>0</v>
      </c>
      <c r="P121" s="28">
        <f>N121-L121</f>
        <v>0</v>
      </c>
      <c r="Q121" s="36">
        <f>IFERROR(L121*(1-$Q$2),"")</f>
        <v>1106.6999999999998</v>
      </c>
      <c r="R121" s="38" t="str">
        <f>IFERROR(VLOOKUP($A121,'Из Гугла'!$B:$G,6,0)*S121,VLOOKUP($A121,'Из Гугла'!$B:$G,6,0))</f>
        <v/>
      </c>
      <c r="S121" s="14">
        <v>1</v>
      </c>
      <c r="T121" s="83">
        <f>IFERROR(Q121/I121-1,"")</f>
        <v>0.3833749999999998</v>
      </c>
      <c r="U121" s="83" t="str">
        <f>IFERROR((W121-Q121)/W121,"")</f>
        <v/>
      </c>
      <c r="V121" s="83" t="str">
        <f>IFERROR(IF(W121="","",W121/I121-1),"")</f>
        <v/>
      </c>
      <c r="W121" s="84" t="s">
        <v>1269</v>
      </c>
    </row>
    <row r="122" spans="1:24" ht="30" x14ac:dyDescent="0.25">
      <c r="A122" s="80">
        <v>211478</v>
      </c>
      <c r="B122" s="80">
        <f>VLOOKUP($A122,'Выгр Кат'!$A:$R,B$1,0)</f>
        <v>4497</v>
      </c>
      <c r="C122" s="81" t="str">
        <f>VLOOKUP($A122,'Выгр Кат'!$A:$R,C$1,0)</f>
        <v>Руль Sparco не оригинал для ВАЗ</v>
      </c>
      <c r="D122" s="80" t="str">
        <f>VLOOKUP($A122,'Выгр Кат'!$A:$R,D$1,0)</f>
        <v>Y</v>
      </c>
      <c r="E122" s="80" t="str">
        <f>VLOOKUP($A122,'Выгр Кат'!$A:$R,E$1,0)</f>
        <v>1</v>
      </c>
      <c r="F122" s="80">
        <f>VLOOKUP($A122,'Выгр Кат'!$A:$R,F$1,0)</f>
        <v>0</v>
      </c>
      <c r="G122" s="80">
        <f>VLOOKUP($A122,'Выгр Кат'!$A:$R,G$1,0)</f>
        <v>0</v>
      </c>
      <c r="H122" s="67" t="s">
        <v>3</v>
      </c>
      <c r="I122" s="82">
        <v>800</v>
      </c>
      <c r="J122" s="5">
        <f>VLOOKUP(I122,Наценка!$A$1:$G$8,2,1)</f>
        <v>1.45</v>
      </c>
      <c r="K122" s="34">
        <f>I122*J122</f>
        <v>1160</v>
      </c>
      <c r="L122" s="70">
        <f>IF(K122&lt;=1000,(ROUNDUP(K122,-1)-1),(ROUNDUP(K122,-2)-10))</f>
        <v>1190</v>
      </c>
      <c r="M122" s="80">
        <f>VLOOKUP($A122,'Выгр Кат'!$A:$R,M$1,0)</f>
        <v>800</v>
      </c>
      <c r="N122" s="80">
        <f>VLOOKUP($A122,'Выгр Кат'!$A:$R,N$1,0)</f>
        <v>1190</v>
      </c>
      <c r="O122" s="28">
        <f>M122-I122</f>
        <v>0</v>
      </c>
      <c r="P122" s="28">
        <f>N122-L122</f>
        <v>0</v>
      </c>
      <c r="Q122" s="36">
        <f>IFERROR(L122*(1-$Q$2),"")</f>
        <v>1106.6999999999998</v>
      </c>
      <c r="R122" s="38" t="str">
        <f>IFERROR(VLOOKUP($A122,'Из Гугла'!$B:$G,6,0)*S122,VLOOKUP($A122,'Из Гугла'!$B:$G,6,0))</f>
        <v/>
      </c>
      <c r="S122" s="14">
        <v>1</v>
      </c>
      <c r="T122" s="83">
        <f>IFERROR(Q122/I122-1,"")</f>
        <v>0.3833749999999998</v>
      </c>
      <c r="U122" s="83" t="str">
        <f>IFERROR((W122-Q122)/W122,"")</f>
        <v/>
      </c>
      <c r="V122" s="83" t="str">
        <f>IFERROR(IF(W122="","",W122/I122-1),"")</f>
        <v/>
      </c>
      <c r="W122" s="84" t="s">
        <v>1269</v>
      </c>
    </row>
    <row r="123" spans="1:24" ht="30" x14ac:dyDescent="0.25">
      <c r="A123" s="80">
        <v>211435</v>
      </c>
      <c r="B123" s="80">
        <f>VLOOKUP($A123,'Выгр Кат'!$A:$R,B$1,0)</f>
        <v>4521</v>
      </c>
      <c r="C123" s="81" t="str">
        <f>VLOOKUP($A123,'Выгр Кат'!$A:$R,C$1,0)</f>
        <v>Руль "R1" анатомической формы (черныйглянец) для ВАЗ</v>
      </c>
      <c r="D123" s="80" t="str">
        <f>VLOOKUP($A123,'Выгр Кат'!$A:$R,D$1,0)</f>
        <v>Y</v>
      </c>
      <c r="E123" s="80" t="str">
        <f>VLOOKUP($A123,'Выгр Кат'!$A:$R,E$1,0)</f>
        <v>1</v>
      </c>
      <c r="F123" s="80" t="str">
        <f>VLOOKUP($A123,'Выгр Кат'!$A:$R,F$1,0)</f>
        <v>4156К+PVC (черный)</v>
      </c>
      <c r="G123" s="80">
        <f>VLOOKUP($A123,'Выгр Кат'!$A:$R,G$1,0)</f>
        <v>0</v>
      </c>
      <c r="H123" s="67" t="s">
        <v>3</v>
      </c>
      <c r="I123" s="82">
        <v>800</v>
      </c>
      <c r="J123" s="5">
        <f>VLOOKUP(I123,Наценка!$A$1:$G$8,2,1)</f>
        <v>1.45</v>
      </c>
      <c r="K123" s="88">
        <f>I123*J123</f>
        <v>1160</v>
      </c>
      <c r="L123" s="70">
        <f>IF(K123&lt;=1000,(ROUNDUP(K123,-1)-1),(ROUNDUP(K123,-2)-10))</f>
        <v>1190</v>
      </c>
      <c r="M123" s="80">
        <f>VLOOKUP($A123,'Выгр Кат'!$A:$R,M$1,0)</f>
        <v>800</v>
      </c>
      <c r="N123" s="80">
        <f>VLOOKUP($A123,'Выгр Кат'!$A:$R,N$1,0)</f>
        <v>1190</v>
      </c>
      <c r="O123" s="28">
        <f>M123-I123</f>
        <v>0</v>
      </c>
      <c r="P123" s="28">
        <f>N123-L123</f>
        <v>0</v>
      </c>
      <c r="Q123" s="36">
        <f>IFERROR(L123*(1-$Q$2),"")</f>
        <v>1106.6999999999998</v>
      </c>
      <c r="R123" s="38" t="str">
        <f>IFERROR(VLOOKUP($A123,'Из Гугла'!$B:$G,6,0)*S123,VLOOKUP($A123,'Из Гугла'!$B:$G,6,0))</f>
        <v/>
      </c>
      <c r="S123" s="14">
        <v>1</v>
      </c>
      <c r="T123" s="83">
        <f>IFERROR(Q123/I123-1,"")</f>
        <v>0.3833749999999998</v>
      </c>
      <c r="U123" s="83" t="str">
        <f>IFERROR((W123-Q123)/W123,"")</f>
        <v/>
      </c>
      <c r="V123" s="83" t="str">
        <f>IFERROR(IF(W123="","",W123/I123-1),"")</f>
        <v/>
      </c>
      <c r="W123" s="84" t="s">
        <v>1269</v>
      </c>
    </row>
    <row r="124" spans="1:24" ht="30" x14ac:dyDescent="0.25">
      <c r="A124" s="80">
        <v>211436</v>
      </c>
      <c r="B124" s="80">
        <f>VLOOKUP($A124,'Выгр Кат'!$A:$R,B$1,0)</f>
        <v>4527</v>
      </c>
      <c r="C124" s="81" t="str">
        <f>VLOOKUP($A124,'Выгр Кат'!$A:$R,C$1,0)</f>
        <v>Руль "R1" анатомической формы для ВАЗ 4156Н+PVC (хром)</v>
      </c>
      <c r="D124" s="80" t="str">
        <f>VLOOKUP($A124,'Выгр Кат'!$A:$R,D$1,0)</f>
        <v>Y</v>
      </c>
      <c r="E124" s="80" t="str">
        <f>VLOOKUP($A124,'Выгр Кат'!$A:$R,E$1,0)</f>
        <v>1</v>
      </c>
      <c r="F124" s="80" t="str">
        <f>VLOOKUP($A124,'Выгр Кат'!$A:$R,F$1,0)</f>
        <v>4156Н+PVC (хром)</v>
      </c>
      <c r="G124" s="80">
        <f>VLOOKUP($A124,'Выгр Кат'!$A:$R,G$1,0)</f>
        <v>0</v>
      </c>
      <c r="H124" s="67" t="s">
        <v>3</v>
      </c>
      <c r="I124" s="82">
        <v>800</v>
      </c>
      <c r="J124" s="5">
        <f>VLOOKUP(I124,Наценка!$A$1:$G$8,2,1)</f>
        <v>1.45</v>
      </c>
      <c r="K124" s="34">
        <f>I124*J124</f>
        <v>1160</v>
      </c>
      <c r="L124" s="70">
        <f>IF(K124&lt;=1000,(ROUNDUP(K124,-1)-1),(ROUNDUP(K124,-2)-10))</f>
        <v>1190</v>
      </c>
      <c r="M124" s="80">
        <f>VLOOKUP($A124,'Выгр Кат'!$A:$R,M$1,0)</f>
        <v>800</v>
      </c>
      <c r="N124" s="80">
        <f>VLOOKUP($A124,'Выгр Кат'!$A:$R,N$1,0)</f>
        <v>1190</v>
      </c>
      <c r="O124" s="28">
        <f>M124-I124</f>
        <v>0</v>
      </c>
      <c r="P124" s="28">
        <f>N124-L124</f>
        <v>0</v>
      </c>
      <c r="Q124" s="36">
        <f>IFERROR(L124*(1-$Q$2),"")</f>
        <v>1106.6999999999998</v>
      </c>
      <c r="R124" s="38" t="str">
        <f>IFERROR(VLOOKUP($A124,'Из Гугла'!$B:$G,6,0)*S124,VLOOKUP($A124,'Из Гугла'!$B:$G,6,0))</f>
        <v/>
      </c>
      <c r="S124" s="14">
        <v>1</v>
      </c>
      <c r="T124" s="83">
        <f>IFERROR(Q124/I124-1,"")</f>
        <v>0.3833749999999998</v>
      </c>
      <c r="U124" s="83" t="str">
        <f>IFERROR((W124-Q124)/W124,"")</f>
        <v/>
      </c>
      <c r="V124" s="83" t="str">
        <f>IFERROR(IF(W124="","",W124/I124-1),"")</f>
        <v/>
      </c>
      <c r="W124" s="84" t="s">
        <v>1269</v>
      </c>
    </row>
    <row r="125" spans="1:24" ht="30" x14ac:dyDescent="0.25">
      <c r="A125" s="80">
        <v>223083</v>
      </c>
      <c r="B125" s="80">
        <f>VLOOKUP($A125,'Выгр Кат'!$A:$R,B$1,0)</f>
        <v>8272</v>
      </c>
      <c r="C125" s="81" t="str">
        <f>VLOOKUP($A125,'Выгр Кат'!$A:$R,C$1,0)</f>
        <v>Универсальные ПТФ "DLAA" LA8813RY лазер</v>
      </c>
      <c r="D125" s="80" t="str">
        <f>VLOOKUP($A125,'Выгр Кат'!$A:$R,D$1,0)</f>
        <v>Y</v>
      </c>
      <c r="E125" s="80" t="str">
        <f>VLOOKUP($A125,'Выгр Кат'!$A:$R,E$1,0)</f>
        <v>1</v>
      </c>
      <c r="F125" s="80" t="str">
        <f>VLOOKUP($A125,'Выгр Кат'!$A:$R,F$1,0)</f>
        <v>LA8813RY</v>
      </c>
      <c r="G125" s="80">
        <f>VLOOKUP($A125,'Выгр Кат'!$A:$R,G$1,0)</f>
        <v>0</v>
      </c>
      <c r="H125" s="67" t="s">
        <v>3</v>
      </c>
      <c r="I125" s="82">
        <v>800</v>
      </c>
      <c r="J125" s="5">
        <f>VLOOKUP(I125,Наценка!$A$1:$G$8,2,1)</f>
        <v>1.45</v>
      </c>
      <c r="K125" s="34">
        <f>I125*J125</f>
        <v>1160</v>
      </c>
      <c r="L125" s="70">
        <f>IF(K125&lt;=1000,(ROUNDUP(K125,-1)-1),(ROUNDUP(K125,-2)-10))</f>
        <v>1190</v>
      </c>
      <c r="M125" s="80">
        <f>VLOOKUP($A125,'Выгр Кат'!$A:$R,M$1,0)</f>
        <v>800</v>
      </c>
      <c r="N125" s="80">
        <f>VLOOKUP($A125,'Выгр Кат'!$A:$R,N$1,0)</f>
        <v>1190</v>
      </c>
      <c r="O125" s="28">
        <f>M125-I125</f>
        <v>0</v>
      </c>
      <c r="P125" s="28">
        <f>N125-L125</f>
        <v>0</v>
      </c>
      <c r="Q125" s="36">
        <f>IFERROR(L125*(1-$Q$2),"")</f>
        <v>1106.6999999999998</v>
      </c>
      <c r="R125" s="38" t="str">
        <f>IFERROR(VLOOKUP($A125,'Из Гугла'!$B:$G,6,0)*S125,VLOOKUP($A125,'Из Гугла'!$B:$G,6,0))</f>
        <v/>
      </c>
      <c r="S125" s="14">
        <v>1</v>
      </c>
      <c r="T125" s="83">
        <f>IFERROR(Q125/I125-1,"")</f>
        <v>0.3833749999999998</v>
      </c>
      <c r="U125" s="83" t="str">
        <f>IFERROR((W125-Q125)/W125,"")</f>
        <v/>
      </c>
      <c r="V125" s="83" t="str">
        <f>IFERROR(IF(W125="","",W125/I125-1),"")</f>
        <v/>
      </c>
      <c r="W125" s="84" t="s">
        <v>1269</v>
      </c>
    </row>
    <row r="126" spans="1:24" ht="30" x14ac:dyDescent="0.25">
      <c r="A126" s="80">
        <v>223094</v>
      </c>
      <c r="B126" s="80">
        <f>VLOOKUP($A126,'Выгр Кат'!$A:$R,B$1,0)</f>
        <v>8287</v>
      </c>
      <c r="C126" s="81" t="str">
        <f>VLOOKUP($A126,'Выгр Кат'!$A:$R,C$1,0)</f>
        <v>Универсальные ПТФ "DLAA" LA990B-RY лазер</v>
      </c>
      <c r="D126" s="80" t="str">
        <f>VLOOKUP($A126,'Выгр Кат'!$A:$R,D$1,0)</f>
        <v>Y</v>
      </c>
      <c r="E126" s="80" t="str">
        <f>VLOOKUP($A126,'Выгр Кат'!$A:$R,E$1,0)</f>
        <v>1</v>
      </c>
      <c r="F126" s="80" t="str">
        <f>VLOOKUP($A126,'Выгр Кат'!$A:$R,F$1,0)</f>
        <v>LA990B-RY</v>
      </c>
      <c r="G126" s="80">
        <f>VLOOKUP($A126,'Выгр Кат'!$A:$R,G$1,0)</f>
        <v>0</v>
      </c>
      <c r="H126" s="67" t="s">
        <v>3</v>
      </c>
      <c r="I126" s="82">
        <v>800</v>
      </c>
      <c r="J126" s="5">
        <f>VLOOKUP(I126,Наценка!$A$1:$G$8,2,1)</f>
        <v>1.45</v>
      </c>
      <c r="K126" s="34">
        <f>I126*J126</f>
        <v>1160</v>
      </c>
      <c r="L126" s="70">
        <f>IF(K126&lt;=1000,(ROUNDUP(K126,-1)-1),(ROUNDUP(K126,-2)-10))</f>
        <v>1190</v>
      </c>
      <c r="M126" s="80">
        <f>VLOOKUP($A126,'Выгр Кат'!$A:$R,M$1,0)</f>
        <v>800</v>
      </c>
      <c r="N126" s="80">
        <f>VLOOKUP($A126,'Выгр Кат'!$A:$R,N$1,0)</f>
        <v>1190</v>
      </c>
      <c r="O126" s="28">
        <f>M126-I126</f>
        <v>0</v>
      </c>
      <c r="P126" s="28">
        <f>N126-L126</f>
        <v>0</v>
      </c>
      <c r="Q126" s="36">
        <f>IFERROR(L126*(1-$Q$2),"")</f>
        <v>1106.6999999999998</v>
      </c>
      <c r="R126" s="38" t="str">
        <f>IFERROR(VLOOKUP($A126,'Из Гугла'!$B:$G,6,0)*S126,VLOOKUP($A126,'Из Гугла'!$B:$G,6,0))</f>
        <v/>
      </c>
      <c r="S126" s="14">
        <v>1</v>
      </c>
      <c r="T126" s="83">
        <f>IFERROR(Q126/I126-1,"")</f>
        <v>0.3833749999999998</v>
      </c>
      <c r="U126" s="83" t="str">
        <f>IFERROR((W126-Q126)/W126,"")</f>
        <v/>
      </c>
      <c r="V126" s="83" t="str">
        <f>IFERROR(IF(W126="","",W126/I126-1),"")</f>
        <v/>
      </c>
      <c r="W126" s="84" t="s">
        <v>1269</v>
      </c>
    </row>
    <row r="127" spans="1:24" ht="30" x14ac:dyDescent="0.25">
      <c r="A127" s="80">
        <v>211446</v>
      </c>
      <c r="B127" s="80">
        <f>VLOOKUP($A127,'Выгр Кат'!$A:$R,B$1,0)</f>
        <v>13660</v>
      </c>
      <c r="C127" s="81" t="str">
        <f>VLOOKUP($A127,'Выгр Кат'!$A:$R,C$1,0)</f>
        <v>Руль F1 "MOMO" анатомической формы для ВАЗ</v>
      </c>
      <c r="D127" s="80" t="str">
        <f>VLOOKUP($A127,'Выгр Кат'!$A:$R,D$1,0)</f>
        <v>Y</v>
      </c>
      <c r="E127" s="80" t="str">
        <f>VLOOKUP($A127,'Выгр Кат'!$A:$R,E$1,0)</f>
        <v>1</v>
      </c>
      <c r="F127" s="80" t="str">
        <f>VLOOKUP($A127,'Выгр Кат'!$A:$R,F$1,0)</f>
        <v>4156A+PVC+черный</v>
      </c>
      <c r="G127" s="80">
        <f>VLOOKUP($A127,'Выгр Кат'!$A:$R,G$1,0)</f>
        <v>0</v>
      </c>
      <c r="H127" s="67" t="s">
        <v>3</v>
      </c>
      <c r="I127" s="82">
        <v>800</v>
      </c>
      <c r="J127" s="5">
        <f>VLOOKUP(I127,Наценка!$A$1:$G$8,2,1)</f>
        <v>1.45</v>
      </c>
      <c r="K127" s="34">
        <f>I127*J127</f>
        <v>1160</v>
      </c>
      <c r="L127" s="70">
        <f>IF(K127&lt;=1000,(ROUNDUP(K127,-1)-1),(ROUNDUP(K127,-2)-10))</f>
        <v>1190</v>
      </c>
      <c r="M127" s="80">
        <f>VLOOKUP($A127,'Выгр Кат'!$A:$R,M$1,0)</f>
        <v>800</v>
      </c>
      <c r="N127" s="80">
        <f>VLOOKUP($A127,'Выгр Кат'!$A:$R,N$1,0)</f>
        <v>1190</v>
      </c>
      <c r="O127" s="28">
        <f>M127-I127</f>
        <v>0</v>
      </c>
      <c r="P127" s="28">
        <f>N127-L127</f>
        <v>0</v>
      </c>
      <c r="Q127" s="36">
        <f>IFERROR(L127*(1-$Q$2),"")</f>
        <v>1106.6999999999998</v>
      </c>
      <c r="R127" s="38" t="str">
        <f>IFERROR(VLOOKUP($A127,'Из Гугла'!$B:$G,6,0)*S127,VLOOKUP($A127,'Из Гугла'!$B:$G,6,0))</f>
        <v/>
      </c>
      <c r="S127" s="14">
        <v>1</v>
      </c>
      <c r="T127" s="83">
        <f>IFERROR(Q127/I127-1,"")</f>
        <v>0.3833749999999998</v>
      </c>
      <c r="U127" s="83" t="str">
        <f>IFERROR((W127-Q127)/W127,"")</f>
        <v/>
      </c>
      <c r="V127" s="83" t="str">
        <f>IFERROR(IF(W127="","",W127/I127-1),"")</f>
        <v/>
      </c>
      <c r="W127" s="84" t="s">
        <v>1269</v>
      </c>
    </row>
    <row r="128" spans="1:24" ht="30" x14ac:dyDescent="0.25">
      <c r="A128" s="80">
        <v>211445</v>
      </c>
      <c r="B128" s="80">
        <f>VLOOKUP($A128,'Выгр Кат'!$A:$R,B$1,0)</f>
        <v>13661</v>
      </c>
      <c r="C128" s="81" t="str">
        <f>VLOOKUP($A128,'Выгр Кат'!$A:$R,C$1,0)</f>
        <v>Руль F1 "MOMO" анатомической формы для ВАЗ</v>
      </c>
      <c r="D128" s="80" t="str">
        <f>VLOOKUP($A128,'Выгр Кат'!$A:$R,D$1,0)</f>
        <v>Y</v>
      </c>
      <c r="E128" s="80" t="str">
        <f>VLOOKUP($A128,'Выгр Кат'!$A:$R,E$1,0)</f>
        <v>1</v>
      </c>
      <c r="F128" s="80" t="str">
        <f>VLOOKUP($A128,'Выгр Кат'!$A:$R,F$1,0)</f>
        <v>4156A+PVC+синий</v>
      </c>
      <c r="G128" s="80">
        <f>VLOOKUP($A128,'Выгр Кат'!$A:$R,G$1,0)</f>
        <v>0</v>
      </c>
      <c r="H128" s="67" t="s">
        <v>3</v>
      </c>
      <c r="I128" s="82">
        <v>800</v>
      </c>
      <c r="J128" s="5">
        <f>VLOOKUP(I128,Наценка!$A$1:$G$8,2,1)</f>
        <v>1.45</v>
      </c>
      <c r="K128" s="34">
        <f>I128*J128</f>
        <v>1160</v>
      </c>
      <c r="L128" s="70">
        <f>IF(K128&lt;=1000,(ROUNDUP(K128,-1)-1),(ROUNDUP(K128,-2)-10))</f>
        <v>1190</v>
      </c>
      <c r="M128" s="80">
        <f>VLOOKUP($A128,'Выгр Кат'!$A:$R,M$1,0)</f>
        <v>800</v>
      </c>
      <c r="N128" s="80">
        <f>VLOOKUP($A128,'Выгр Кат'!$A:$R,N$1,0)</f>
        <v>1190</v>
      </c>
      <c r="O128" s="28">
        <f>M128-I128</f>
        <v>0</v>
      </c>
      <c r="P128" s="28">
        <f>N128-L128</f>
        <v>0</v>
      </c>
      <c r="Q128" s="36">
        <f>IFERROR(L128*(1-$Q$2),"")</f>
        <v>1106.6999999999998</v>
      </c>
      <c r="R128" s="38" t="str">
        <f>IFERROR(VLOOKUP($A128,'Из Гугла'!$B:$G,6,0)*S128,VLOOKUP($A128,'Из Гугла'!$B:$G,6,0))</f>
        <v/>
      </c>
      <c r="S128" s="14">
        <v>1</v>
      </c>
      <c r="T128" s="83">
        <f>IFERROR(Q128/I128-1,"")</f>
        <v>0.3833749999999998</v>
      </c>
      <c r="U128" s="83" t="str">
        <f>IFERROR((W128-Q128)/W128,"")</f>
        <v/>
      </c>
      <c r="V128" s="83" t="str">
        <f>IFERROR(IF(W128="","",W128/I128-1),"")</f>
        <v/>
      </c>
      <c r="W128" s="84" t="s">
        <v>1269</v>
      </c>
    </row>
    <row r="129" spans="1:24" ht="30" x14ac:dyDescent="0.25">
      <c r="A129" s="80">
        <v>133252</v>
      </c>
      <c r="B129" s="80">
        <f>VLOOKUP($A129,'Выгр Кат'!$A:$R,B$1,0)</f>
        <v>23947</v>
      </c>
      <c r="C129" s="81" t="str">
        <f>VLOOKUP($A129,'Выгр Кат'!$A:$R,C$1,0)</f>
        <v>Балка дополнительного освещения "C6-144"</v>
      </c>
      <c r="D129" s="80" t="str">
        <f>VLOOKUP($A129,'Выгр Кат'!$A:$R,D$1,0)</f>
        <v>Y</v>
      </c>
      <c r="E129" s="80" t="str">
        <f>VLOOKUP($A129,'Выгр Кат'!$A:$R,E$1,0)</f>
        <v>1</v>
      </c>
      <c r="F129" s="80" t="str">
        <f>VLOOKUP($A129,'Выгр Кат'!$A:$R,F$1,0)</f>
        <v>C6-144</v>
      </c>
      <c r="G129" s="80">
        <f>VLOOKUP($A129,'Выгр Кат'!$A:$R,G$1,0)</f>
        <v>0</v>
      </c>
      <c r="H129" s="67" t="s">
        <v>3</v>
      </c>
      <c r="I129" s="82">
        <v>800</v>
      </c>
      <c r="J129" s="5">
        <f>VLOOKUP(I129,Наценка!$A$1:$G$8,2,1)</f>
        <v>1.45</v>
      </c>
      <c r="K129" s="88">
        <f>I129*J129</f>
        <v>1160</v>
      </c>
      <c r="L129" s="70">
        <f>IF(K129&lt;=1000,(ROUNDUP(K129,-1)-1),(ROUNDUP(K129,-2)-10))</f>
        <v>1190</v>
      </c>
      <c r="M129" s="80">
        <f>VLOOKUP($A129,'Выгр Кат'!$A:$R,M$1,0)</f>
        <v>800</v>
      </c>
      <c r="N129" s="80">
        <f>VLOOKUP($A129,'Выгр Кат'!$A:$R,N$1,0)</f>
        <v>1190</v>
      </c>
      <c r="O129" s="28">
        <f>M129-I129</f>
        <v>0</v>
      </c>
      <c r="P129" s="28">
        <f>N129-L129</f>
        <v>0</v>
      </c>
      <c r="Q129" s="36">
        <f>IFERROR(L129*(1-$Q$2),"")</f>
        <v>1106.6999999999998</v>
      </c>
      <c r="R129" s="38" t="str">
        <f>IFERROR(VLOOKUP($A129,'Из Гугла'!$B:$G,6,0)*S129,VLOOKUP($A129,'Из Гугла'!$B:$G,6,0))</f>
        <v/>
      </c>
      <c r="S129" s="14">
        <v>1</v>
      </c>
      <c r="T129" s="83">
        <f>IFERROR(Q129/I129-1,"")</f>
        <v>0.3833749999999998</v>
      </c>
      <c r="U129" s="83" t="str">
        <f>IFERROR((W129-Q129)/W129,"")</f>
        <v/>
      </c>
      <c r="V129" s="83" t="str">
        <f>IFERROR(IF(W129="","",W129/I129-1),"")</f>
        <v/>
      </c>
      <c r="W129" s="84" t="s">
        <v>1269</v>
      </c>
    </row>
    <row r="130" spans="1:24" ht="45" x14ac:dyDescent="0.25">
      <c r="A130" s="80">
        <v>133247</v>
      </c>
      <c r="B130" s="80">
        <f>VLOOKUP($A130,'Выгр Кат'!$A:$R,B$1,0)</f>
        <v>24012</v>
      </c>
      <c r="C130" s="81" t="str">
        <f>VLOOKUP($A130,'Выгр Кат'!$A:$R,C$1,0)</f>
        <v>Балка дополнительного освещения "51R 51W" (красный круг, белый свет, LED)</v>
      </c>
      <c r="D130" s="80" t="str">
        <f>VLOOKUP($A130,'Выгр Кат'!$A:$R,D$1,0)</f>
        <v>Y</v>
      </c>
      <c r="E130" s="80" t="str">
        <f>VLOOKUP($A130,'Выгр Кат'!$A:$R,E$1,0)</f>
        <v>1</v>
      </c>
      <c r="F130" s="80" t="str">
        <f>VLOOKUP($A130,'Выгр Кат'!$A:$R,F$1,0)</f>
        <v>51R(Red) 51W</v>
      </c>
      <c r="G130" s="80">
        <f>VLOOKUP($A130,'Выгр Кат'!$A:$R,G$1,0)</f>
        <v>0</v>
      </c>
      <c r="H130" s="67" t="s">
        <v>3</v>
      </c>
      <c r="I130" s="82">
        <v>800</v>
      </c>
      <c r="J130" s="5">
        <f>VLOOKUP(I130,Наценка!$A$1:$G$8,2,1)</f>
        <v>1.45</v>
      </c>
      <c r="K130" s="34">
        <f>I130*J130</f>
        <v>1160</v>
      </c>
      <c r="L130" s="70">
        <f>IF(K130&lt;=1000,(ROUNDUP(K130,-1)-1),(ROUNDUP(K130,-2)-10))</f>
        <v>1190</v>
      </c>
      <c r="M130" s="80">
        <f>VLOOKUP($A130,'Выгр Кат'!$A:$R,M$1,0)</f>
        <v>800</v>
      </c>
      <c r="N130" s="80">
        <f>VLOOKUP($A130,'Выгр Кат'!$A:$R,N$1,0)</f>
        <v>1190</v>
      </c>
      <c r="O130" s="28">
        <f>M130-I130</f>
        <v>0</v>
      </c>
      <c r="P130" s="28">
        <f>N130-L130</f>
        <v>0</v>
      </c>
      <c r="Q130" s="36">
        <f>IFERROR(L130*(1-$Q$2),"")</f>
        <v>1106.6999999999998</v>
      </c>
      <c r="R130" s="38" t="str">
        <f>IFERROR(VLOOKUP($A130,'Из Гугла'!$B:$G,6,0)*S130,VLOOKUP($A130,'Из Гугла'!$B:$G,6,0))</f>
        <v/>
      </c>
      <c r="S130" s="14">
        <v>1</v>
      </c>
      <c r="T130" s="83">
        <f>IFERROR(Q130/I130-1,"")</f>
        <v>0.3833749999999998</v>
      </c>
      <c r="U130" s="83" t="str">
        <f>IFERROR((W130-Q130)/W130,"")</f>
        <v/>
      </c>
      <c r="V130" s="83" t="str">
        <f>IFERROR(IF(W130="","",W130/I130-1),"")</f>
        <v/>
      </c>
      <c r="W130" s="84" t="s">
        <v>1269</v>
      </c>
    </row>
    <row r="131" spans="1:24" ht="45" x14ac:dyDescent="0.25">
      <c r="A131" s="80">
        <v>133248</v>
      </c>
      <c r="B131" s="80">
        <f>VLOOKUP($A131,'Выгр Кат'!$A:$R,B$1,0)</f>
        <v>24013</v>
      </c>
      <c r="C131" s="81" t="str">
        <f>VLOOKUP($A131,'Выгр Кат'!$A:$R,C$1,0)</f>
        <v>Балка дополнительного освещения "51R 51W" (черный круг, белый свет, LED)</v>
      </c>
      <c r="D131" s="80" t="str">
        <f>VLOOKUP($A131,'Выгр Кат'!$A:$R,D$1,0)</f>
        <v>Y</v>
      </c>
      <c r="E131" s="80" t="str">
        <f>VLOOKUP($A131,'Выгр Кат'!$A:$R,E$1,0)</f>
        <v>1</v>
      </c>
      <c r="F131" s="80" t="str">
        <f>VLOOKUP($A131,'Выгр Кат'!$A:$R,F$1,0)</f>
        <v>51R(Black) 51W</v>
      </c>
      <c r="G131" s="80">
        <f>VLOOKUP($A131,'Выгр Кат'!$A:$R,G$1,0)</f>
        <v>0</v>
      </c>
      <c r="H131" s="67" t="s">
        <v>3</v>
      </c>
      <c r="I131" s="82">
        <v>800</v>
      </c>
      <c r="J131" s="5">
        <f>VLOOKUP(I131,Наценка!$A$1:$G$8,2,1)</f>
        <v>1.45</v>
      </c>
      <c r="K131" s="34">
        <f>I131*J131</f>
        <v>1160</v>
      </c>
      <c r="L131" s="70">
        <f>IF(K131&lt;=1000,(ROUNDUP(K131,-1)-1),(ROUNDUP(K131,-2)-10))</f>
        <v>1190</v>
      </c>
      <c r="M131" s="80">
        <f>VLOOKUP($A131,'Выгр Кат'!$A:$R,M$1,0)</f>
        <v>800</v>
      </c>
      <c r="N131" s="80">
        <f>VLOOKUP($A131,'Выгр Кат'!$A:$R,N$1,0)</f>
        <v>1190</v>
      </c>
      <c r="O131" s="28">
        <f>M131-I131</f>
        <v>0</v>
      </c>
      <c r="P131" s="28">
        <f>N131-L131</f>
        <v>0</v>
      </c>
      <c r="Q131" s="36">
        <f>IFERROR(L131*(1-$Q$2),"")</f>
        <v>1106.6999999999998</v>
      </c>
      <c r="R131" s="38" t="str">
        <f>IFERROR(VLOOKUP($A131,'Из Гугла'!$B:$G,6,0)*S131,VLOOKUP($A131,'Из Гугла'!$B:$G,6,0))</f>
        <v/>
      </c>
      <c r="S131" s="14">
        <v>1</v>
      </c>
      <c r="T131" s="83">
        <f>IFERROR(Q131/I131-1,"")</f>
        <v>0.3833749999999998</v>
      </c>
      <c r="U131" s="83" t="str">
        <f>IFERROR((W131-Q131)/W131,"")</f>
        <v/>
      </c>
      <c r="V131" s="83" t="str">
        <f>IFERROR(IF(W131="","",W131/I131-1),"")</f>
        <v/>
      </c>
      <c r="W131" s="84" t="s">
        <v>1269</v>
      </c>
    </row>
    <row r="132" spans="1:24" ht="30" x14ac:dyDescent="0.25">
      <c r="A132" s="80">
        <v>223100</v>
      </c>
      <c r="B132" s="80">
        <f>VLOOKUP($A132,'Выгр Кат'!$A:$R,B$1,0)</f>
        <v>8292</v>
      </c>
      <c r="C132" s="81" t="str">
        <f>VLOOKUP($A132,'Выгр Кат'!$A:$R,C$1,0)</f>
        <v>Универсальные ПТФ "DLAA" LA994W белые</v>
      </c>
      <c r="D132" s="80" t="str">
        <f>VLOOKUP($A132,'Выгр Кат'!$A:$R,D$1,0)</f>
        <v>Y</v>
      </c>
      <c r="E132" s="80" t="str">
        <f>VLOOKUP($A132,'Выгр Кат'!$A:$R,E$1,0)</f>
        <v>1</v>
      </c>
      <c r="F132" s="80" t="str">
        <f>VLOOKUP($A132,'Выгр Кат'!$A:$R,F$1,0)</f>
        <v>LA994W</v>
      </c>
      <c r="G132" s="80">
        <f>VLOOKUP($A132,'Выгр Кат'!$A:$R,G$1,0)</f>
        <v>0</v>
      </c>
      <c r="H132" s="67" t="s">
        <v>3</v>
      </c>
      <c r="I132" s="82">
        <v>850</v>
      </c>
      <c r="J132" s="5">
        <f>VLOOKUP(I132,Наценка!$A$1:$G$8,2,1)</f>
        <v>1.45</v>
      </c>
      <c r="K132" s="88">
        <f>I132*J132</f>
        <v>1232.5</v>
      </c>
      <c r="L132" s="70">
        <f>IF(K132&lt;=1000,(ROUNDUP(K132,-1)-1),(ROUNDUP(K132,-2)-10))</f>
        <v>1290</v>
      </c>
      <c r="M132" s="80">
        <f>VLOOKUP($A132,'Выгр Кат'!$A:$R,M$1,0)</f>
        <v>850</v>
      </c>
      <c r="N132" s="80">
        <f>VLOOKUP($A132,'Выгр Кат'!$A:$R,N$1,0)</f>
        <v>1290</v>
      </c>
      <c r="O132" s="28">
        <f>M132-I132</f>
        <v>0</v>
      </c>
      <c r="P132" s="28">
        <f>N132-L132</f>
        <v>0</v>
      </c>
      <c r="Q132" s="36">
        <f>IFERROR(L132*(1-$Q$2),"")</f>
        <v>1199.6999999999998</v>
      </c>
      <c r="R132" s="38" t="str">
        <f>IFERROR(VLOOKUP($A132,'Из Гугла'!$B:$G,6,0)*S132,VLOOKUP($A132,'Из Гугла'!$B:$G,6,0))</f>
        <v/>
      </c>
      <c r="S132" s="14">
        <v>1</v>
      </c>
      <c r="T132" s="83">
        <f>IFERROR(Q132/I132-1,"")</f>
        <v>0.41141176470588214</v>
      </c>
      <c r="U132" s="83" t="str">
        <f>IFERROR((W132-Q132)/W132,"")</f>
        <v/>
      </c>
      <c r="V132" s="83" t="str">
        <f>IFERROR(IF(W132="","",W132/I132-1),"")</f>
        <v/>
      </c>
      <c r="W132" s="84" t="s">
        <v>1269</v>
      </c>
    </row>
    <row r="133" spans="1:24" ht="30" x14ac:dyDescent="0.25">
      <c r="A133" s="80">
        <v>223063</v>
      </c>
      <c r="B133" s="80">
        <f>VLOOKUP($A133,'Выгр Кат'!$A:$R,B$1,0)</f>
        <v>8299</v>
      </c>
      <c r="C133" s="81" t="str">
        <f>VLOOKUP($A133,'Выгр Кат'!$A:$R,C$1,0)</f>
        <v>Универсальная ПТФ PT298H3 (D-14)</v>
      </c>
      <c r="D133" s="80" t="str">
        <f>VLOOKUP($A133,'Выгр Кат'!$A:$R,D$1,0)</f>
        <v>Y</v>
      </c>
      <c r="E133" s="80" t="str">
        <f>VLOOKUP($A133,'Выгр Кат'!$A:$R,E$1,0)</f>
        <v>1</v>
      </c>
      <c r="F133" s="80" t="str">
        <f>VLOOKUP($A133,'Выгр Кат'!$A:$R,F$1,0)</f>
        <v>PT298H3</v>
      </c>
      <c r="G133" s="80">
        <f>VLOOKUP($A133,'Выгр Кат'!$A:$R,G$1,0)</f>
        <v>0</v>
      </c>
      <c r="H133" s="67" t="s">
        <v>3</v>
      </c>
      <c r="I133" s="82">
        <v>850</v>
      </c>
      <c r="J133" s="5">
        <f>VLOOKUP(I133,Наценка!$A$1:$G$8,2,1)</f>
        <v>1.45</v>
      </c>
      <c r="K133" s="34">
        <f>I133*J133</f>
        <v>1232.5</v>
      </c>
      <c r="L133" s="70">
        <f>IF(K133&lt;=1000,(ROUNDUP(K133,-1)-1),(ROUNDUP(K133,-2)-10))</f>
        <v>1290</v>
      </c>
      <c r="M133" s="80">
        <f>VLOOKUP($A133,'Выгр Кат'!$A:$R,M$1,0)</f>
        <v>850</v>
      </c>
      <c r="N133" s="80">
        <f>VLOOKUP($A133,'Выгр Кат'!$A:$R,N$1,0)</f>
        <v>1290</v>
      </c>
      <c r="O133" s="28">
        <f>M133-I133</f>
        <v>0</v>
      </c>
      <c r="P133" s="28">
        <f>N133-L133</f>
        <v>0</v>
      </c>
      <c r="Q133" s="36">
        <f>IFERROR(L133*(1-$Q$2),"")</f>
        <v>1199.6999999999998</v>
      </c>
      <c r="R133" s="38" t="str">
        <f>IFERROR(VLOOKUP($A133,'Из Гугла'!$B:$G,6,0)*S133,VLOOKUP($A133,'Из Гугла'!$B:$G,6,0))</f>
        <v/>
      </c>
      <c r="S133" s="14">
        <v>1</v>
      </c>
      <c r="T133" s="83">
        <f>IFERROR(Q133/I133-1,"")</f>
        <v>0.41141176470588214</v>
      </c>
      <c r="U133" s="83" t="str">
        <f>IFERROR((W133-Q133)/W133,"")</f>
        <v/>
      </c>
      <c r="V133" s="83" t="str">
        <f>IFERROR(IF(W133="","",W133/I133-1),"")</f>
        <v/>
      </c>
      <c r="W133" s="84" t="s">
        <v>1269</v>
      </c>
    </row>
    <row r="134" spans="1:24" ht="30" x14ac:dyDescent="0.25">
      <c r="A134" s="80">
        <v>211447</v>
      </c>
      <c r="B134" s="80">
        <f>VLOOKUP($A134,'Выгр Кат'!$A:$R,B$1,0)</f>
        <v>13656</v>
      </c>
      <c r="C134" s="81" t="str">
        <f>VLOOKUP($A134,'Выгр Кат'!$A:$R,C$1,0)</f>
        <v>Руль F1 "MOMO" анатомической формы для ВАЗ</v>
      </c>
      <c r="D134" s="80" t="str">
        <f>VLOOKUP($A134,'Выгр Кат'!$A:$R,D$1,0)</f>
        <v>Y</v>
      </c>
      <c r="E134" s="80" t="str">
        <f>VLOOKUP($A134,'Выгр Кат'!$A:$R,E$1,0)</f>
        <v>1</v>
      </c>
      <c r="F134" s="80" t="str">
        <f>VLOOKUP($A134,'Выгр Кат'!$A:$R,F$1,0)</f>
        <v>4156H+PVC белый карбон+черная спица+белый круг</v>
      </c>
      <c r="G134" s="80">
        <f>VLOOKUP($A134,'Выгр Кат'!$A:$R,G$1,0)</f>
        <v>0</v>
      </c>
      <c r="H134" s="67" t="s">
        <v>3</v>
      </c>
      <c r="I134" s="82">
        <v>850</v>
      </c>
      <c r="J134" s="5">
        <f>VLOOKUP(I134,Наценка!$A$1:$G$8,2,1)</f>
        <v>1.45</v>
      </c>
      <c r="K134" s="34">
        <f>I134*J134</f>
        <v>1232.5</v>
      </c>
      <c r="L134" s="70">
        <f>IF(K134&lt;=1000,(ROUNDUP(K134,-1)-1),(ROUNDUP(K134,-2)-10))</f>
        <v>1290</v>
      </c>
      <c r="M134" s="80">
        <f>VLOOKUP($A134,'Выгр Кат'!$A:$R,M$1,0)</f>
        <v>850</v>
      </c>
      <c r="N134" s="80">
        <f>VLOOKUP($A134,'Выгр Кат'!$A:$R,N$1,0)</f>
        <v>1290</v>
      </c>
      <c r="O134" s="28">
        <f>M134-I134</f>
        <v>0</v>
      </c>
      <c r="P134" s="28">
        <f>N134-L134</f>
        <v>0</v>
      </c>
      <c r="Q134" s="36">
        <f>IFERROR(L134*(1-$Q$2),"")</f>
        <v>1199.6999999999998</v>
      </c>
      <c r="R134" s="38" t="str">
        <f>IFERROR(VLOOKUP($A134,'Из Гугла'!$B:$G,6,0)*S134,VLOOKUP($A134,'Из Гугла'!$B:$G,6,0))</f>
        <v/>
      </c>
      <c r="S134" s="14">
        <v>1</v>
      </c>
      <c r="T134" s="83">
        <f>IFERROR(Q134/I134-1,"")</f>
        <v>0.41141176470588214</v>
      </c>
      <c r="U134" s="83" t="str">
        <f>IFERROR((W134-Q134)/W134,"")</f>
        <v/>
      </c>
      <c r="V134" s="83" t="str">
        <f>IFERROR(IF(W134="","",W134/I134-1),"")</f>
        <v/>
      </c>
      <c r="W134" s="84" t="s">
        <v>1269</v>
      </c>
    </row>
    <row r="135" spans="1:24" ht="30" x14ac:dyDescent="0.25">
      <c r="A135" s="80">
        <v>211444</v>
      </c>
      <c r="B135" s="80">
        <f>VLOOKUP($A135,'Выгр Кат'!$A:$R,B$1,0)</f>
        <v>13664</v>
      </c>
      <c r="C135" s="81" t="str">
        <f>VLOOKUP($A135,'Выгр Кат'!$A:$R,C$1,0)</f>
        <v>Руль F1 "MOMO" анатомической формы для ВАЗ</v>
      </c>
      <c r="D135" s="80" t="str">
        <f>VLOOKUP($A135,'Выгр Кат'!$A:$R,D$1,0)</f>
        <v>Y</v>
      </c>
      <c r="E135" s="80" t="str">
        <f>VLOOKUP($A135,'Выгр Кат'!$A:$R,E$1,0)</f>
        <v>1</v>
      </c>
      <c r="F135" s="80" t="str">
        <f>VLOOKUP($A135,'Выгр Кат'!$A:$R,F$1,0)</f>
        <v>4156A+PVC+карбон черный</v>
      </c>
      <c r="G135" s="80">
        <f>VLOOKUP($A135,'Выгр Кат'!$A:$R,G$1,0)</f>
        <v>0</v>
      </c>
      <c r="H135" s="67" t="s">
        <v>3</v>
      </c>
      <c r="I135" s="82">
        <v>850</v>
      </c>
      <c r="J135" s="5">
        <f>VLOOKUP(I135,Наценка!$A$1:$G$8,2,1)</f>
        <v>1.45</v>
      </c>
      <c r="K135" s="34">
        <f>I135*J135</f>
        <v>1232.5</v>
      </c>
      <c r="L135" s="70">
        <f>IF(K135&lt;=1000,(ROUNDUP(K135,-1)-1),(ROUNDUP(K135,-2)-10))</f>
        <v>1290</v>
      </c>
      <c r="M135" s="80">
        <f>VLOOKUP($A135,'Выгр Кат'!$A:$R,M$1,0)</f>
        <v>850</v>
      </c>
      <c r="N135" s="80">
        <f>VLOOKUP($A135,'Выгр Кат'!$A:$R,N$1,0)</f>
        <v>1290</v>
      </c>
      <c r="O135" s="28">
        <f>M135-I135</f>
        <v>0</v>
      </c>
      <c r="P135" s="28">
        <f>N135-L135</f>
        <v>0</v>
      </c>
      <c r="Q135" s="36">
        <f>IFERROR(L135*(1-$Q$2),"")</f>
        <v>1199.6999999999998</v>
      </c>
      <c r="R135" s="38" t="str">
        <f>IFERROR(VLOOKUP($A135,'Из Гугла'!$B:$G,6,0)*S135,VLOOKUP($A135,'Из Гугла'!$B:$G,6,0))</f>
        <v/>
      </c>
      <c r="S135" s="14">
        <v>1</v>
      </c>
      <c r="T135" s="83">
        <f>IFERROR(Q135/I135-1,"")</f>
        <v>0.41141176470588214</v>
      </c>
      <c r="U135" s="83" t="str">
        <f>IFERROR((W135-Q135)/W135,"")</f>
        <v/>
      </c>
      <c r="V135" s="83" t="str">
        <f>IFERROR(IF(W135="","",W135/I135-1),"")</f>
        <v/>
      </c>
      <c r="W135" s="84" t="s">
        <v>1269</v>
      </c>
    </row>
    <row r="136" spans="1:24" ht="30" x14ac:dyDescent="0.25">
      <c r="A136" s="80">
        <v>133269</v>
      </c>
      <c r="B136" s="80">
        <f>VLOOKUP($A136,'Выгр Кат'!$A:$R,B$1,0)</f>
        <v>24038</v>
      </c>
      <c r="C136" s="81" t="str">
        <f>VLOOKUP($A136,'Выгр Кат'!$A:$R,C$1,0)</f>
        <v>Балка дополнительного освещения "HP-CTD-4D-001"</v>
      </c>
      <c r="D136" s="80" t="str">
        <f>VLOOKUP($A136,'Выгр Кат'!$A:$R,D$1,0)</f>
        <v>Y</v>
      </c>
      <c r="E136" s="80" t="str">
        <f>VLOOKUP($A136,'Выгр Кат'!$A:$R,E$1,0)</f>
        <v>1</v>
      </c>
      <c r="F136" s="80" t="str">
        <f>VLOOKUP($A136,'Выгр Кат'!$A:$R,F$1,0)</f>
        <v>HP-CTD-4D-001</v>
      </c>
      <c r="G136" s="80">
        <f>VLOOKUP($A136,'Выгр Кат'!$A:$R,G$1,0)</f>
        <v>0</v>
      </c>
      <c r="H136" s="67" t="s">
        <v>3</v>
      </c>
      <c r="I136" s="82">
        <v>850</v>
      </c>
      <c r="J136" s="5">
        <f>VLOOKUP(I136,Наценка!$A$1:$G$8,2,1)</f>
        <v>1.45</v>
      </c>
      <c r="K136" s="34">
        <f>I136*J136</f>
        <v>1232.5</v>
      </c>
      <c r="L136" s="70">
        <f>IF(K136&lt;=1000,(ROUNDUP(K136,-1)-1),(ROUNDUP(K136,-2)-10))</f>
        <v>1290</v>
      </c>
      <c r="M136" s="80">
        <f>VLOOKUP($A136,'Выгр Кат'!$A:$R,M$1,0)</f>
        <v>850</v>
      </c>
      <c r="N136" s="80">
        <f>VLOOKUP($A136,'Выгр Кат'!$A:$R,N$1,0)</f>
        <v>1290</v>
      </c>
      <c r="O136" s="28">
        <f>M136-I136</f>
        <v>0</v>
      </c>
      <c r="P136" s="28">
        <f>N136-L136</f>
        <v>0</v>
      </c>
      <c r="Q136" s="36">
        <f>IFERROR(L136*(1-$Q$2),"")</f>
        <v>1199.6999999999998</v>
      </c>
      <c r="R136" s="38" t="str">
        <f>IFERROR(VLOOKUP($A136,'Из Гугла'!$B:$G,6,0)*S136,VLOOKUP($A136,'Из Гугла'!$B:$G,6,0))</f>
        <v/>
      </c>
      <c r="S136" s="14">
        <v>1</v>
      </c>
      <c r="T136" s="83">
        <f>IFERROR(Q136/I136-1,"")</f>
        <v>0.41141176470588214</v>
      </c>
      <c r="U136" s="83" t="str">
        <f>IFERROR((W136-Q136)/W136,"")</f>
        <v/>
      </c>
      <c r="V136" s="83" t="str">
        <f>IFERROR(IF(W136="","",W136/I136-1),"")</f>
        <v/>
      </c>
      <c r="W136" s="84" t="s">
        <v>1269</v>
      </c>
    </row>
    <row r="137" spans="1:24" ht="30" x14ac:dyDescent="0.25">
      <c r="A137" s="80">
        <v>133274</v>
      </c>
      <c r="B137" s="80">
        <f>VLOOKUP($A137,'Выгр Кат'!$A:$R,B$1,0)</f>
        <v>24048</v>
      </c>
      <c r="C137" s="81" t="str">
        <f>VLOOKUP($A137,'Выгр Кат'!$A:$R,C$1,0)</f>
        <v>Балка дополнительного освещения "HP-U405W" (узкая, черная, LED)</v>
      </c>
      <c r="D137" s="80" t="str">
        <f>VLOOKUP($A137,'Выгр Кат'!$A:$R,D$1,0)</f>
        <v>Y</v>
      </c>
      <c r="E137" s="80" t="str">
        <f>VLOOKUP($A137,'Выгр Кат'!$A:$R,E$1,0)</f>
        <v>1</v>
      </c>
      <c r="F137" s="80" t="str">
        <f>VLOOKUP($A137,'Выгр Кат'!$A:$R,F$1,0)</f>
        <v>HP-U405W</v>
      </c>
      <c r="G137" s="80">
        <f>VLOOKUP($A137,'Выгр Кат'!$A:$R,G$1,0)</f>
        <v>0</v>
      </c>
      <c r="H137" s="67" t="s">
        <v>3</v>
      </c>
      <c r="I137" s="82">
        <v>850</v>
      </c>
      <c r="J137" s="5">
        <f>VLOOKUP(I137,Наценка!$A$1:$G$8,2,1)</f>
        <v>1.45</v>
      </c>
      <c r="K137" s="34">
        <f>I137*J137</f>
        <v>1232.5</v>
      </c>
      <c r="L137" s="70">
        <f>IF(K137&lt;=1000,(ROUNDUP(K137,-1)-1),(ROUNDUP(K137,-2)-10))</f>
        <v>1290</v>
      </c>
      <c r="M137" s="80">
        <f>VLOOKUP($A137,'Выгр Кат'!$A:$R,M$1,0)</f>
        <v>850</v>
      </c>
      <c r="N137" s="80">
        <f>VLOOKUP($A137,'Выгр Кат'!$A:$R,N$1,0)</f>
        <v>1290</v>
      </c>
      <c r="O137" s="28">
        <f>M137-I137</f>
        <v>0</v>
      </c>
      <c r="P137" s="28">
        <f>N137-L137</f>
        <v>0</v>
      </c>
      <c r="Q137" s="36">
        <f>IFERROR(L137*(1-$Q$2),"")</f>
        <v>1199.6999999999998</v>
      </c>
      <c r="R137" s="38" t="str">
        <f>IFERROR(VLOOKUP($A137,'Из Гугла'!$B:$G,6,0)*S137,VLOOKUP($A137,'Из Гугла'!$B:$G,6,0))</f>
        <v/>
      </c>
      <c r="S137" s="14">
        <v>1</v>
      </c>
      <c r="T137" s="83">
        <f>IFERROR(Q137/I137-1,"")</f>
        <v>0.41141176470588214</v>
      </c>
      <c r="U137" s="83" t="str">
        <f>IFERROR((W137-Q137)/W137,"")</f>
        <v/>
      </c>
      <c r="V137" s="83" t="str">
        <f>IFERROR(IF(W137="","",W137/I137-1),"")</f>
        <v/>
      </c>
      <c r="W137" s="84" t="s">
        <v>1269</v>
      </c>
    </row>
    <row r="138" spans="1:24" ht="30" x14ac:dyDescent="0.25">
      <c r="A138" s="80">
        <v>201802</v>
      </c>
      <c r="B138" s="80">
        <f>VLOOKUP($A138,'Выгр Кат'!$A:$R,B$1,0)</f>
        <v>4257</v>
      </c>
      <c r="C138" s="81" t="str">
        <f>VLOOKUP($A138,'Выгр Кат'!$A:$R,C$1,0)</f>
        <v>Противотуманные фары диодные, с рамками для Лада Калина</v>
      </c>
      <c r="D138" s="80" t="str">
        <f>VLOOKUP($A138,'Выгр Кат'!$A:$R,D$1,0)</f>
        <v>Y</v>
      </c>
      <c r="E138" s="80" t="str">
        <f>VLOOKUP($A138,'Выгр Кат'!$A:$R,E$1,0)</f>
        <v>1</v>
      </c>
      <c r="F138" s="80" t="str">
        <f>VLOOKUP($A138,'Выгр Кат'!$A:$R,F$1,0)</f>
        <v>LD-089L</v>
      </c>
      <c r="G138" s="80" t="str">
        <f>VLOOKUP($A138,'Выгр Кат'!$A:$R,G$1,0)</f>
        <v>https://motorring.ru/product/8343-protivotumannye-fary-diodnye-ld-089l-ramkami-lada-kalina</v>
      </c>
      <c r="H138" s="67" t="s">
        <v>3</v>
      </c>
      <c r="I138" s="82">
        <v>900</v>
      </c>
      <c r="J138" s="5">
        <f>VLOOKUP(I138,Наценка!$A$1:$G$8,2,1)</f>
        <v>1.45</v>
      </c>
      <c r="K138" s="89">
        <f>W138*1.07</f>
        <v>1594.3000000000002</v>
      </c>
      <c r="L138" s="70">
        <f>IF(K138&lt;=1000,(ROUNDUP(K138,-1)-1),(ROUNDUP(K138,-2)-10))</f>
        <v>1590</v>
      </c>
      <c r="M138" s="80">
        <f>VLOOKUP($A138,'Выгр Кат'!$A:$R,M$1,0)</f>
        <v>900</v>
      </c>
      <c r="N138" s="80">
        <f>VLOOKUP($A138,'Выгр Кат'!$A:$R,N$1,0)</f>
        <v>1590</v>
      </c>
      <c r="O138" s="28">
        <f>M138-I138</f>
        <v>0</v>
      </c>
      <c r="P138" s="28">
        <f>N138-L138</f>
        <v>0</v>
      </c>
      <c r="Q138" s="36">
        <f>IFERROR(L138*(1-$Q$2),"")</f>
        <v>1478.6999999999998</v>
      </c>
      <c r="R138" s="38">
        <f>IFERROR(VLOOKUP($A138,'Из Гугла'!$B:$G,6,0)*S138,VLOOKUP($A138,'Из Гугла'!$B:$G,6,0))</f>
        <v>1490</v>
      </c>
      <c r="S138" s="14">
        <v>1</v>
      </c>
      <c r="T138" s="83">
        <f>IFERROR(Q138/I138-1,"")</f>
        <v>0.64299999999999979</v>
      </c>
      <c r="U138" s="83">
        <f>IFERROR((W138-Q138)/W138,"")</f>
        <v>7.5838926174497867E-3</v>
      </c>
      <c r="V138" s="83">
        <f>IFERROR(IF(W138="","",W138/I138-1),"")</f>
        <v>0.65555555555555545</v>
      </c>
      <c r="W138" s="93">
        <v>1490</v>
      </c>
      <c r="X138" s="71" t="s">
        <v>835</v>
      </c>
    </row>
    <row r="139" spans="1:24" ht="30" x14ac:dyDescent="0.25">
      <c r="A139" s="80">
        <v>201806</v>
      </c>
      <c r="B139" s="80">
        <f>VLOOKUP($A139,'Выгр Кат'!$A:$R,B$1,0)</f>
        <v>4266</v>
      </c>
      <c r="C139" s="81" t="str">
        <f>VLOOKUP($A139,'Выгр Кат'!$A:$R,C$1,0)</f>
        <v>Противотуманные фары для Лада Приора, Шевроле Нива</v>
      </c>
      <c r="D139" s="80" t="str">
        <f>VLOOKUP($A139,'Выгр Кат'!$A:$R,D$1,0)</f>
        <v>Y</v>
      </c>
      <c r="E139" s="80" t="str">
        <f>VLOOKUP($A139,'Выгр Кат'!$A:$R,E$1,0)</f>
        <v>1</v>
      </c>
      <c r="F139" s="80" t="str">
        <f>VLOOKUP($A139,'Выгр Кат'!$A:$R,F$1,0)</f>
        <v>LD-093</v>
      </c>
      <c r="G139" s="80" t="str">
        <f>VLOOKUP($A139,'Выгр Кат'!$A:$R,G$1,0)</f>
        <v>https://motorring.ru/product/8348-protivotumannye-fary-ld-093-pod-kirghach-lada-priora</v>
      </c>
      <c r="H139" s="67" t="s">
        <v>3</v>
      </c>
      <c r="I139" s="82">
        <v>900</v>
      </c>
      <c r="J139" s="5">
        <f>VLOOKUP(I139,Наценка!$A$1:$G$8,2,1)</f>
        <v>1.45</v>
      </c>
      <c r="K139" s="89">
        <f>W139*1.07</f>
        <v>1594.3000000000002</v>
      </c>
      <c r="L139" s="70">
        <f>IF(K139&lt;=1000,(ROUNDUP(K139,-1)-1),(ROUNDUP(K139,-2)-10))</f>
        <v>1590</v>
      </c>
      <c r="M139" s="80">
        <f>VLOOKUP($A139,'Выгр Кат'!$A:$R,M$1,0)</f>
        <v>900</v>
      </c>
      <c r="N139" s="80">
        <f>VLOOKUP($A139,'Выгр Кат'!$A:$R,N$1,0)</f>
        <v>1590</v>
      </c>
      <c r="O139" s="28">
        <f>M139-I139</f>
        <v>0</v>
      </c>
      <c r="P139" s="28">
        <f>N139-L139</f>
        <v>0</v>
      </c>
      <c r="Q139" s="36">
        <f>IFERROR(L139*(1-$Q$2),"")</f>
        <v>1478.6999999999998</v>
      </c>
      <c r="R139" s="38">
        <f>IFERROR(VLOOKUP($A139,'Из Гугла'!$B:$G,6,0)*S139,VLOOKUP($A139,'Из Гугла'!$B:$G,6,0))</f>
        <v>1490</v>
      </c>
      <c r="S139" s="14">
        <v>1</v>
      </c>
      <c r="T139" s="83">
        <f>IFERROR(Q139/I139-1,"")</f>
        <v>0.64299999999999979</v>
      </c>
      <c r="U139" s="83">
        <f>IFERROR((W139-Q139)/W139,"")</f>
        <v>7.5838926174497867E-3</v>
      </c>
      <c r="V139" s="83">
        <f>IFERROR(IF(W139="","",W139/I139-1),"")</f>
        <v>0.65555555555555545</v>
      </c>
      <c r="W139" s="93">
        <v>1490</v>
      </c>
      <c r="X139" s="71" t="s">
        <v>834</v>
      </c>
    </row>
    <row r="140" spans="1:24" ht="30" x14ac:dyDescent="0.25">
      <c r="A140" s="80">
        <v>212186</v>
      </c>
      <c r="B140" s="80">
        <f>VLOOKUP($A140,'Выгр Кат'!$A:$R,B$1,0)</f>
        <v>4499</v>
      </c>
      <c r="C140" s="81" t="str">
        <f>VLOOKUP($A140,'Выгр Кат'!$A:$R,C$1,0)</f>
        <v>Руль с анатомической формой для ВАЗ</v>
      </c>
      <c r="D140" s="80" t="str">
        <f>VLOOKUP($A140,'Выгр Кат'!$A:$R,D$1,0)</f>
        <v>Y</v>
      </c>
      <c r="E140" s="80" t="str">
        <f>VLOOKUP($A140,'Выгр Кат'!$A:$R,E$1,0)</f>
        <v>1</v>
      </c>
      <c r="F140" s="80" t="str">
        <f>VLOOKUP($A140,'Выгр Кат'!$A:$R,F$1,0)</f>
        <v>4163</v>
      </c>
      <c r="G140" s="80">
        <f>VLOOKUP($A140,'Выгр Кат'!$A:$R,G$1,0)</f>
        <v>0</v>
      </c>
      <c r="H140" s="67" t="s">
        <v>3</v>
      </c>
      <c r="I140" s="82">
        <v>900</v>
      </c>
      <c r="J140" s="5">
        <f>VLOOKUP(I140,Наценка!$A$1:$G$8,2,1)</f>
        <v>1.45</v>
      </c>
      <c r="K140" s="34">
        <f>I140*J140</f>
        <v>1305</v>
      </c>
      <c r="L140" s="70">
        <f>IF(K140&lt;=1000,(ROUNDUP(K140,-1)-1),(ROUNDUP(K140,-2)-10))</f>
        <v>1390</v>
      </c>
      <c r="M140" s="80">
        <f>VLOOKUP($A140,'Выгр Кат'!$A:$R,M$1,0)</f>
        <v>900</v>
      </c>
      <c r="N140" s="80">
        <f>VLOOKUP($A140,'Выгр Кат'!$A:$R,N$1,0)</f>
        <v>1390</v>
      </c>
      <c r="O140" s="28">
        <f>M140-I140</f>
        <v>0</v>
      </c>
      <c r="P140" s="28">
        <f>N140-L140</f>
        <v>0</v>
      </c>
      <c r="Q140" s="36">
        <f>IFERROR(L140*(1-$Q$2),"")</f>
        <v>1292.6999999999998</v>
      </c>
      <c r="R140" s="38" t="str">
        <f>IFERROR(VLOOKUP($A140,'Из Гугла'!$B:$G,6,0)*S140,VLOOKUP($A140,'Из Гугла'!$B:$G,6,0))</f>
        <v/>
      </c>
      <c r="S140" s="14">
        <v>1</v>
      </c>
      <c r="T140" s="83">
        <f>IFERROR(Q140/I140-1,"")</f>
        <v>0.43633333333333324</v>
      </c>
      <c r="U140" s="83" t="str">
        <f>IFERROR((W140-Q140)/W140,"")</f>
        <v/>
      </c>
      <c r="V140" s="83" t="str">
        <f>IFERROR(IF(W140="","",W140/I140-1),"")</f>
        <v/>
      </c>
      <c r="W140" s="84" t="s">
        <v>1269</v>
      </c>
    </row>
    <row r="141" spans="1:24" ht="30" x14ac:dyDescent="0.25">
      <c r="A141" s="80">
        <v>211462</v>
      </c>
      <c r="B141" s="80">
        <f>VLOOKUP($A141,'Выгр Кат'!$A:$R,B$1,0)</f>
        <v>4508</v>
      </c>
      <c r="C141" s="81" t="str">
        <f>VLOOKUP($A141,'Выгр Кат'!$A:$R,C$1,0)</f>
        <v>Руль R1 с кнопками для ВАЗ</v>
      </c>
      <c r="D141" s="80" t="str">
        <f>VLOOKUP($A141,'Выгр Кат'!$A:$R,D$1,0)</f>
        <v>Y</v>
      </c>
      <c r="E141" s="80" t="str">
        <f>VLOOKUP($A141,'Выгр Кат'!$A:$R,E$1,0)</f>
        <v>1</v>
      </c>
      <c r="F141" s="80" t="str">
        <f>VLOOKUP($A141,'Выгр Кат'!$A:$R,F$1,0)</f>
        <v>4100A</v>
      </c>
      <c r="G141" s="80">
        <f>VLOOKUP($A141,'Выгр Кат'!$A:$R,G$1,0)</f>
        <v>0</v>
      </c>
      <c r="H141" s="67" t="s">
        <v>3</v>
      </c>
      <c r="I141" s="82">
        <v>900</v>
      </c>
      <c r="J141" s="5">
        <f>VLOOKUP(I141,Наценка!$A$1:$G$8,2,1)</f>
        <v>1.45</v>
      </c>
      <c r="K141" s="34">
        <f>I141*J141</f>
        <v>1305</v>
      </c>
      <c r="L141" s="70">
        <f>IF(K141&lt;=1000,(ROUNDUP(K141,-1)-1),(ROUNDUP(K141,-2)-10))</f>
        <v>1390</v>
      </c>
      <c r="M141" s="80">
        <f>VLOOKUP($A141,'Выгр Кат'!$A:$R,M$1,0)</f>
        <v>900</v>
      </c>
      <c r="N141" s="80">
        <f>VLOOKUP($A141,'Выгр Кат'!$A:$R,N$1,0)</f>
        <v>1390</v>
      </c>
      <c r="O141" s="28">
        <f>M141-I141</f>
        <v>0</v>
      </c>
      <c r="P141" s="28">
        <f>N141-L141</f>
        <v>0</v>
      </c>
      <c r="Q141" s="36">
        <f>IFERROR(L141*(1-$Q$2),"")</f>
        <v>1292.6999999999998</v>
      </c>
      <c r="R141" s="38" t="str">
        <f>IFERROR(VLOOKUP($A141,'Из Гугла'!$B:$G,6,0)*S141,VLOOKUP($A141,'Из Гугла'!$B:$G,6,0))</f>
        <v/>
      </c>
      <c r="S141" s="14">
        <v>1</v>
      </c>
      <c r="T141" s="83">
        <f>IFERROR(Q141/I141-1,"")</f>
        <v>0.43633333333333324</v>
      </c>
      <c r="U141" s="83" t="str">
        <f>IFERROR((W141-Q141)/W141,"")</f>
        <v/>
      </c>
      <c r="V141" s="83" t="str">
        <f>IFERROR(IF(W141="","",W141/I141-1),"")</f>
        <v/>
      </c>
      <c r="W141" s="84" t="s">
        <v>1269</v>
      </c>
    </row>
    <row r="142" spans="1:24" ht="30" x14ac:dyDescent="0.25">
      <c r="A142" s="80">
        <v>211460</v>
      </c>
      <c r="B142" s="80">
        <f>VLOOKUP($A142,'Выгр Кат'!$A:$R,B$1,0)</f>
        <v>4512</v>
      </c>
      <c r="C142" s="81" t="str">
        <f>VLOOKUP($A142,'Выгр Кат'!$A:$R,C$1,0)</f>
        <v>Руль R1 для ВАЗ</v>
      </c>
      <c r="D142" s="80" t="str">
        <f>VLOOKUP($A142,'Выгр Кат'!$A:$R,D$1,0)</f>
        <v>Y</v>
      </c>
      <c r="E142" s="80" t="str">
        <f>VLOOKUP($A142,'Выгр Кат'!$A:$R,E$1,0)</f>
        <v>1</v>
      </c>
      <c r="F142" s="80" t="str">
        <f>VLOOKUP($A142,'Выгр Кат'!$A:$R,F$1,0)</f>
        <v>5117</v>
      </c>
      <c r="G142" s="80">
        <f>VLOOKUP($A142,'Выгр Кат'!$A:$R,G$1,0)</f>
        <v>0</v>
      </c>
      <c r="H142" s="67" t="s">
        <v>3</v>
      </c>
      <c r="I142" s="82">
        <v>900</v>
      </c>
      <c r="J142" s="5">
        <f>VLOOKUP(I142,Наценка!$A$1:$G$8,2,1)</f>
        <v>1.45</v>
      </c>
      <c r="K142" s="34">
        <f>I142*J142</f>
        <v>1305</v>
      </c>
      <c r="L142" s="70">
        <f>IF(K142&lt;=1000,(ROUNDUP(K142,-1)-1),(ROUNDUP(K142,-2)-10))</f>
        <v>1390</v>
      </c>
      <c r="M142" s="80">
        <f>VLOOKUP($A142,'Выгр Кат'!$A:$R,M$1,0)</f>
        <v>900</v>
      </c>
      <c r="N142" s="80">
        <f>VLOOKUP($A142,'Выгр Кат'!$A:$R,N$1,0)</f>
        <v>1390</v>
      </c>
      <c r="O142" s="28">
        <f>M142-I142</f>
        <v>0</v>
      </c>
      <c r="P142" s="28">
        <f>N142-L142</f>
        <v>0</v>
      </c>
      <c r="Q142" s="36">
        <f>IFERROR(L142*(1-$Q$2),"")</f>
        <v>1292.6999999999998</v>
      </c>
      <c r="R142" s="38" t="str">
        <f>IFERROR(VLOOKUP($A142,'Из Гугла'!$B:$G,6,0)*S142,VLOOKUP($A142,'Из Гугла'!$B:$G,6,0))</f>
        <v/>
      </c>
      <c r="S142" s="14">
        <v>1</v>
      </c>
      <c r="T142" s="83">
        <f>IFERROR(Q142/I142-1,"")</f>
        <v>0.43633333333333324</v>
      </c>
      <c r="U142" s="83" t="str">
        <f>IFERROR((W142-Q142)/W142,"")</f>
        <v/>
      </c>
      <c r="V142" s="83" t="str">
        <f>IFERROR(IF(W142="","",W142/I142-1),"")</f>
        <v/>
      </c>
      <c r="W142" s="84" t="s">
        <v>1269</v>
      </c>
    </row>
    <row r="143" spans="1:24" ht="45" x14ac:dyDescent="0.25">
      <c r="A143" s="80">
        <v>138538</v>
      </c>
      <c r="B143" s="80">
        <f>VLOOKUP($A143,'Выгр Кат'!$A:$R,B$1,0)</f>
        <v>7448</v>
      </c>
      <c r="C143" s="81" t="str">
        <f>VLOOKUP($A143,'Выгр Кат'!$A:$R,C$1,0)</f>
        <v>Боковые зеркала (3286) хром с повторителем для ВАЗ 2108-21099, 2113-2115</v>
      </c>
      <c r="D143" s="80" t="str">
        <f>VLOOKUP($A143,'Выгр Кат'!$A:$R,D$1,0)</f>
        <v>Y</v>
      </c>
      <c r="E143" s="80" t="str">
        <f>VLOOKUP($A143,'Выгр Кат'!$A:$R,E$1,0)</f>
        <v>1</v>
      </c>
      <c r="F143" s="80">
        <f>VLOOKUP($A143,'Выгр Кат'!$A:$R,F$1,0)</f>
        <v>0</v>
      </c>
      <c r="G143" s="80" t="str">
        <f>VLOOKUP($A143,'Выгр Кат'!$A:$R,G$1,0)</f>
        <v>https://motorring.ru/product/15965-bokovye-zerkala-hrom-povtoritelem-vaz-2108-21099-2113-2115</v>
      </c>
      <c r="H143" s="67" t="s">
        <v>3</v>
      </c>
      <c r="I143" s="82">
        <v>900</v>
      </c>
      <c r="J143" s="5">
        <f>VLOOKUP(I143,Наценка!$A$1:$G$8,2,1)</f>
        <v>1.45</v>
      </c>
      <c r="K143" s="91">
        <f>W143*1</f>
        <v>1390</v>
      </c>
      <c r="L143" s="70">
        <f>IF(K143&lt;=1000,(ROUNDUP(K143,-1)-1),(ROUNDUP(K143,-2)-10))</f>
        <v>1390</v>
      </c>
      <c r="M143" s="80">
        <f>VLOOKUP($A143,'Выгр Кат'!$A:$R,M$1,0)</f>
        <v>900</v>
      </c>
      <c r="N143" s="80">
        <f>VLOOKUP($A143,'Выгр Кат'!$A:$R,N$1,0)</f>
        <v>1390</v>
      </c>
      <c r="O143" s="28">
        <f>M143-I143</f>
        <v>0</v>
      </c>
      <c r="P143" s="28">
        <f>N143-L143</f>
        <v>0</v>
      </c>
      <c r="Q143" s="36">
        <f>IFERROR(L143*(1-$Q$2),"")</f>
        <v>1292.6999999999998</v>
      </c>
      <c r="R143" s="38">
        <f>IFERROR(VLOOKUP($A143,'Из Гугла'!$B:$G,6,0)*S143,VLOOKUP($A143,'Из Гугла'!$B:$G,6,0))</f>
        <v>1390</v>
      </c>
      <c r="S143" s="14">
        <v>1</v>
      </c>
      <c r="T143" s="83">
        <f>IFERROR(Q143/I143-1,"")</f>
        <v>0.43633333333333324</v>
      </c>
      <c r="U143" s="83">
        <f>IFERROR((W143-Q143)/W143,"")</f>
        <v>7.0000000000000132E-2</v>
      </c>
      <c r="V143" s="83">
        <f>IFERROR(IF(W143="","",W143/I143-1),"")</f>
        <v>0.54444444444444451</v>
      </c>
      <c r="W143" s="84">
        <v>1390</v>
      </c>
      <c r="X143" s="71" t="s">
        <v>1440</v>
      </c>
    </row>
    <row r="144" spans="1:24" ht="45" x14ac:dyDescent="0.25">
      <c r="A144" s="80">
        <v>138487</v>
      </c>
      <c r="B144" s="80">
        <f>VLOOKUP($A144,'Выгр Кат'!$A:$R,B$1,0)</f>
        <v>7457</v>
      </c>
      <c r="C144" s="81" t="str">
        <f>VLOOKUP($A144,'Выгр Кат'!$A:$R,C$1,0)</f>
        <v>Боковые зеркала «3245» белые c повторителем для ВАЗ 2108-21099, 2113-2115</v>
      </c>
      <c r="D144" s="80" t="str">
        <f>VLOOKUP($A144,'Выгр Кат'!$A:$R,D$1,0)</f>
        <v>Y</v>
      </c>
      <c r="E144" s="80" t="str">
        <f>VLOOKUP($A144,'Выгр Кат'!$A:$R,E$1,0)</f>
        <v>1</v>
      </c>
      <c r="F144" s="80">
        <f>VLOOKUP($A144,'Выгр Кат'!$A:$R,F$1,0)</f>
        <v>0</v>
      </c>
      <c r="G144" s="80" t="str">
        <f>VLOOKUP($A144,'Выгр Кат'!$A:$R,G$1,0)</f>
        <v>https://motorring.ru/product/15958-bokovye-zerkala-belye-chernye-povtoritelem-vaz-2108-2115</v>
      </c>
      <c r="H144" s="67" t="s">
        <v>3</v>
      </c>
      <c r="I144" s="82">
        <v>900</v>
      </c>
      <c r="J144" s="5">
        <f>VLOOKUP(I144,Наценка!$A$1:$G$8,2,1)</f>
        <v>1.45</v>
      </c>
      <c r="K144" s="89">
        <f>W144*1.07</f>
        <v>1496.93</v>
      </c>
      <c r="L144" s="70">
        <f>IF(K144&lt;=1000,(ROUNDUP(K144,-1)-1),(ROUNDUP(K144,-2)-10))</f>
        <v>1490</v>
      </c>
      <c r="M144" s="80">
        <f>VLOOKUP($A144,'Выгр Кат'!$A:$R,M$1,0)</f>
        <v>900</v>
      </c>
      <c r="N144" s="80">
        <f>VLOOKUP($A144,'Выгр Кат'!$A:$R,N$1,0)</f>
        <v>1490</v>
      </c>
      <c r="O144" s="28">
        <f>M144-I144</f>
        <v>0</v>
      </c>
      <c r="P144" s="28">
        <f>N144-L144</f>
        <v>0</v>
      </c>
      <c r="Q144" s="36">
        <f>IFERROR(L144*(1-$Q$2),"")</f>
        <v>1385.6999999999998</v>
      </c>
      <c r="R144" s="38">
        <f>IFERROR(VLOOKUP($A144,'Из Гугла'!$B:$G,6,0)*S144,VLOOKUP($A144,'Из Гугла'!$B:$G,6,0))</f>
        <v>1399</v>
      </c>
      <c r="S144" s="14">
        <v>1</v>
      </c>
      <c r="T144" s="83">
        <f>IFERROR(Q144/I144-1,"")</f>
        <v>0.53966666666666652</v>
      </c>
      <c r="U144" s="83">
        <f>IFERROR((W144-Q144)/W144,"")</f>
        <v>9.506790564689194E-3</v>
      </c>
      <c r="V144" s="83">
        <f>IFERROR(IF(W144="","",W144/I144-1),"")</f>
        <v>0.55444444444444452</v>
      </c>
      <c r="W144" s="84">
        <v>1399</v>
      </c>
      <c r="X144" s="71" t="s">
        <v>1441</v>
      </c>
    </row>
    <row r="145" spans="1:24" ht="30" x14ac:dyDescent="0.25">
      <c r="A145" s="80">
        <v>223073</v>
      </c>
      <c r="B145" s="80">
        <f>VLOOKUP($A145,'Выгр Кат'!$A:$R,B$1,0)</f>
        <v>8276</v>
      </c>
      <c r="C145" s="81" t="str">
        <f>VLOOKUP($A145,'Выгр Кат'!$A:$R,C$1,0)</f>
        <v>Универсальные ПТФ "DLAA" LA 886B-W белые</v>
      </c>
      <c r="D145" s="80" t="str">
        <f>VLOOKUP($A145,'Выгр Кат'!$A:$R,D$1,0)</f>
        <v>Y</v>
      </c>
      <c r="E145" s="80" t="str">
        <f>VLOOKUP($A145,'Выгр Кат'!$A:$R,E$1,0)</f>
        <v>1</v>
      </c>
      <c r="F145" s="80" t="str">
        <f>VLOOKUP($A145,'Выгр Кат'!$A:$R,F$1,0)</f>
        <v>LA886B-W</v>
      </c>
      <c r="G145" s="80">
        <f>VLOOKUP($A145,'Выгр Кат'!$A:$R,G$1,0)</f>
        <v>0</v>
      </c>
      <c r="H145" s="67" t="s">
        <v>3</v>
      </c>
      <c r="I145" s="82">
        <v>900</v>
      </c>
      <c r="J145" s="5">
        <f>VLOOKUP(I145,Наценка!$A$1:$G$8,2,1)</f>
        <v>1.45</v>
      </c>
      <c r="K145" s="34">
        <f>I145*J145</f>
        <v>1305</v>
      </c>
      <c r="L145" s="70">
        <f>IF(K145&lt;=1000,(ROUNDUP(K145,-1)-1),(ROUNDUP(K145,-2)-10))</f>
        <v>1390</v>
      </c>
      <c r="M145" s="80">
        <f>VLOOKUP($A145,'Выгр Кат'!$A:$R,M$1,0)</f>
        <v>900</v>
      </c>
      <c r="N145" s="80">
        <f>VLOOKUP($A145,'Выгр Кат'!$A:$R,N$1,0)</f>
        <v>1390</v>
      </c>
      <c r="O145" s="28">
        <f>M145-I145</f>
        <v>0</v>
      </c>
      <c r="P145" s="28">
        <f>N145-L145</f>
        <v>0</v>
      </c>
      <c r="Q145" s="36">
        <f>IFERROR(L145*(1-$Q$2),"")</f>
        <v>1292.6999999999998</v>
      </c>
      <c r="R145" s="38" t="str">
        <f>IFERROR(VLOOKUP($A145,'Из Гугла'!$B:$G,6,0)*S145,VLOOKUP($A145,'Из Гугла'!$B:$G,6,0))</f>
        <v/>
      </c>
      <c r="S145" s="14">
        <v>1</v>
      </c>
      <c r="T145" s="83">
        <f>IFERROR(Q145/I145-1,"")</f>
        <v>0.43633333333333324</v>
      </c>
      <c r="U145" s="83" t="str">
        <f>IFERROR((W145-Q145)/W145,"")</f>
        <v/>
      </c>
      <c r="V145" s="83" t="str">
        <f>IFERROR(IF(W145="","",W145/I145-1),"")</f>
        <v/>
      </c>
      <c r="W145" s="84" t="s">
        <v>1269</v>
      </c>
    </row>
    <row r="146" spans="1:24" ht="30" x14ac:dyDescent="0.25">
      <c r="A146" s="80">
        <v>223099</v>
      </c>
      <c r="B146" s="80">
        <f>VLOOKUP($A146,'Выгр Кат'!$A:$R,B$1,0)</f>
        <v>8293</v>
      </c>
      <c r="C146" s="81" t="str">
        <f>VLOOKUP($A146,'Выгр Кат'!$A:$R,C$1,0)</f>
        <v>Универсальные ПТФ "DLAA" LA994RY лазер</v>
      </c>
      <c r="D146" s="80" t="str">
        <f>VLOOKUP($A146,'Выгр Кат'!$A:$R,D$1,0)</f>
        <v>Y</v>
      </c>
      <c r="E146" s="80" t="str">
        <f>VLOOKUP($A146,'Выгр Кат'!$A:$R,E$1,0)</f>
        <v>1</v>
      </c>
      <c r="F146" s="80" t="str">
        <f>VLOOKUP($A146,'Выгр Кат'!$A:$R,F$1,0)</f>
        <v>LA994RY</v>
      </c>
      <c r="G146" s="80">
        <f>VLOOKUP($A146,'Выгр Кат'!$A:$R,G$1,0)</f>
        <v>0</v>
      </c>
      <c r="H146" s="67" t="s">
        <v>3</v>
      </c>
      <c r="I146" s="82">
        <v>900</v>
      </c>
      <c r="J146" s="5">
        <f>VLOOKUP(I146,Наценка!$A$1:$G$8,2,1)</f>
        <v>1.45</v>
      </c>
      <c r="K146" s="34">
        <f>I146*J146</f>
        <v>1305</v>
      </c>
      <c r="L146" s="70">
        <f>IF(K146&lt;=1000,(ROUNDUP(K146,-1)-1),(ROUNDUP(K146,-2)-10))</f>
        <v>1390</v>
      </c>
      <c r="M146" s="80">
        <f>VLOOKUP($A146,'Выгр Кат'!$A:$R,M$1,0)</f>
        <v>900</v>
      </c>
      <c r="N146" s="80">
        <f>VLOOKUP($A146,'Выгр Кат'!$A:$R,N$1,0)</f>
        <v>1390</v>
      </c>
      <c r="O146" s="28">
        <f>M146-I146</f>
        <v>0</v>
      </c>
      <c r="P146" s="28">
        <f>N146-L146</f>
        <v>0</v>
      </c>
      <c r="Q146" s="36">
        <f>IFERROR(L146*(1-$Q$2),"")</f>
        <v>1292.6999999999998</v>
      </c>
      <c r="R146" s="38" t="str">
        <f>IFERROR(VLOOKUP($A146,'Из Гугла'!$B:$G,6,0)*S146,VLOOKUP($A146,'Из Гугла'!$B:$G,6,0))</f>
        <v/>
      </c>
      <c r="S146" s="14">
        <v>1</v>
      </c>
      <c r="T146" s="83">
        <f>IFERROR(Q146/I146-1,"")</f>
        <v>0.43633333333333324</v>
      </c>
      <c r="U146" s="83" t="str">
        <f>IFERROR((W146-Q146)/W146,"")</f>
        <v/>
      </c>
      <c r="V146" s="83" t="str">
        <f>IFERROR(IF(W146="","",W146/I146-1),"")</f>
        <v/>
      </c>
      <c r="W146" s="84" t="s">
        <v>1269</v>
      </c>
    </row>
    <row r="147" spans="1:24" ht="30.75" thickBot="1" x14ac:dyDescent="0.3">
      <c r="A147" s="80">
        <v>223101</v>
      </c>
      <c r="B147" s="80">
        <f>VLOOKUP($A147,'Выгр Кат'!$A:$R,B$1,0)</f>
        <v>8294</v>
      </c>
      <c r="C147" s="81" t="str">
        <f>VLOOKUP($A147,'Выгр Кат'!$A:$R,C$1,0)</f>
        <v>Универсальные ПТФ "DLAA" LA994Y желтые</v>
      </c>
      <c r="D147" s="80" t="str">
        <f>VLOOKUP($A147,'Выгр Кат'!$A:$R,D$1,0)</f>
        <v>Y</v>
      </c>
      <c r="E147" s="80" t="str">
        <f>VLOOKUP($A147,'Выгр Кат'!$A:$R,E$1,0)</f>
        <v>1</v>
      </c>
      <c r="F147" s="80" t="str">
        <f>VLOOKUP($A147,'Выгр Кат'!$A:$R,F$1,0)</f>
        <v>LA994Y</v>
      </c>
      <c r="G147" s="80">
        <f>VLOOKUP($A147,'Выгр Кат'!$A:$R,G$1,0)</f>
        <v>0</v>
      </c>
      <c r="H147" s="67" t="s">
        <v>3</v>
      </c>
      <c r="I147" s="82">
        <v>900</v>
      </c>
      <c r="J147" s="5">
        <f>VLOOKUP(I147,Наценка!$A$1:$G$8,2,1)</f>
        <v>1.45</v>
      </c>
      <c r="K147" s="88">
        <f>I147*J147</f>
        <v>1305</v>
      </c>
      <c r="L147" s="70">
        <f>IF(K147&lt;=1000,(ROUNDUP(K147,-1)-1),(ROUNDUP(K147,-2)-10))</f>
        <v>1390</v>
      </c>
      <c r="M147" s="80">
        <f>VLOOKUP($A147,'Выгр Кат'!$A:$R,M$1,0)</f>
        <v>900</v>
      </c>
      <c r="N147" s="80">
        <f>VLOOKUP($A147,'Выгр Кат'!$A:$R,N$1,0)</f>
        <v>1390</v>
      </c>
      <c r="O147" s="28">
        <f>M147-I147</f>
        <v>0</v>
      </c>
      <c r="P147" s="28">
        <f>N147-L147</f>
        <v>0</v>
      </c>
      <c r="Q147" s="36">
        <f>IFERROR(L147*(1-$Q$2),"")</f>
        <v>1292.6999999999998</v>
      </c>
      <c r="R147" s="38" t="str">
        <f>IFERROR(VLOOKUP($A147,'Из Гугла'!$B:$G,6,0)*S147,VLOOKUP($A147,'Из Гугла'!$B:$G,6,0))</f>
        <v/>
      </c>
      <c r="S147" s="14">
        <v>1</v>
      </c>
      <c r="T147" s="83">
        <f>IFERROR(Q147/I147-1,"")</f>
        <v>0.43633333333333324</v>
      </c>
      <c r="U147" s="83" t="str">
        <f>IFERROR((W147-Q147)/W147,"")</f>
        <v/>
      </c>
      <c r="V147" s="83" t="str">
        <f>IFERROR(IF(W147="","",W147/I147-1),"")</f>
        <v/>
      </c>
      <c r="W147" s="94" t="s">
        <v>1269</v>
      </c>
    </row>
    <row r="148" spans="1:24" ht="45.75" thickTop="1" x14ac:dyDescent="0.25">
      <c r="A148" s="80">
        <v>201800</v>
      </c>
      <c r="B148" s="80">
        <f>VLOOKUP($A148,'Выгр Кат'!$A:$R,B$1,0)</f>
        <v>4240</v>
      </c>
      <c r="C148" s="81" t="str">
        <f>VLOOKUP($A148,'Выгр Кат'!$A:$R,C$1,0)</f>
        <v>Противотуманные фары диодные 093L "под Киржач" для Лада Приора, Шевроле Нива</v>
      </c>
      <c r="D148" s="80" t="str">
        <f>VLOOKUP($A148,'Выгр Кат'!$A:$R,D$1,0)</f>
        <v>Y</v>
      </c>
      <c r="E148" s="80" t="str">
        <f>VLOOKUP($A148,'Выгр Кат'!$A:$R,E$1,0)</f>
        <v>1</v>
      </c>
      <c r="F148" s="80" t="str">
        <f>VLOOKUP($A148,'Выгр Кат'!$A:$R,F$1,0)</f>
        <v>093L</v>
      </c>
      <c r="G148" s="80" t="str">
        <f>VLOOKUP($A148,'Выгр Кат'!$A:$R,G$1,0)</f>
        <v>https://motorring.ru/product/4599-protivotumannye-fary-diodov-dlya-lada-priora</v>
      </c>
      <c r="H148" s="67" t="s">
        <v>3</v>
      </c>
      <c r="I148" s="82">
        <v>950</v>
      </c>
      <c r="J148" s="5">
        <f>VLOOKUP(I148,Наценка!$A$1:$G$8,2,1)</f>
        <v>1.45</v>
      </c>
      <c r="K148" s="89">
        <f>W148*1.07</f>
        <v>1594.3000000000002</v>
      </c>
      <c r="L148" s="70">
        <f>IF(K148&lt;=1000,(ROUNDUP(K148,-1)-1),(ROUNDUP(K148,-2)-10))</f>
        <v>1590</v>
      </c>
      <c r="M148" s="80">
        <f>VLOOKUP($A148,'Выгр Кат'!$A:$R,M$1,0)</f>
        <v>950</v>
      </c>
      <c r="N148" s="80">
        <f>VLOOKUP($A148,'Выгр Кат'!$A:$R,N$1,0)</f>
        <v>1590</v>
      </c>
      <c r="O148" s="28">
        <f>M148-I148</f>
        <v>0</v>
      </c>
      <c r="P148" s="28">
        <f>N148-L148</f>
        <v>0</v>
      </c>
      <c r="Q148" s="36">
        <f>IFERROR(L148*(1-$Q$2),"")</f>
        <v>1478.6999999999998</v>
      </c>
      <c r="R148" s="38" t="str">
        <f>IFERROR(VLOOKUP($A148,'Из Гугла'!$B:$G,6,0)*S148,VLOOKUP($A148,'Из Гугла'!$B:$G,6,0))</f>
        <v/>
      </c>
      <c r="S148" s="14">
        <v>1</v>
      </c>
      <c r="T148" s="83">
        <f>IFERROR(Q148/I148-1,"")</f>
        <v>0.55652631578947354</v>
      </c>
      <c r="U148" s="83">
        <f>IFERROR((W148-Q148)/W148,"")</f>
        <v>7.5838926174497867E-3</v>
      </c>
      <c r="V148" s="83">
        <f>IFERROR(IF(W148="","",W148/I148-1),"")</f>
        <v>0.56842105263157894</v>
      </c>
      <c r="W148" s="93">
        <v>1490</v>
      </c>
      <c r="X148" s="71" t="s">
        <v>1476</v>
      </c>
    </row>
    <row r="149" spans="1:24" ht="45" x14ac:dyDescent="0.25">
      <c r="A149" s="80">
        <v>201784</v>
      </c>
      <c r="B149" s="80">
        <f>VLOOKUP($A149,'Выгр Кат'!$A:$R,B$1,0)</f>
        <v>4269</v>
      </c>
      <c r="C149" s="81" t="str">
        <f>VLOOKUP($A149,'Выгр Кат'!$A:$R,C$1,0)</f>
        <v>Противотуманные фары (ПТФ) LD-472 для Лада Калина, Калина 2, Гранта, Ларгус</v>
      </c>
      <c r="D149" s="80" t="str">
        <f>VLOOKUP($A149,'Выгр Кат'!$A:$R,D$1,0)</f>
        <v>Y</v>
      </c>
      <c r="E149" s="80" t="str">
        <f>VLOOKUP($A149,'Выгр Кат'!$A:$R,E$1,0)</f>
        <v>1</v>
      </c>
      <c r="F149" s="80" t="str">
        <f>VLOOKUP($A149,'Выгр Кат'!$A:$R,F$1,0)</f>
        <v>LD-472</v>
      </c>
      <c r="G149" s="80" t="str">
        <f>VLOOKUP($A149,'Выгр Кат'!$A:$R,G$1,0)</f>
        <v>https://motorring.ru/product/8326-protivotumannye-fary-ld-472-lada-kalina-granta-largus</v>
      </c>
      <c r="H149" s="67" t="s">
        <v>3</v>
      </c>
      <c r="I149" s="82">
        <v>950</v>
      </c>
      <c r="J149" s="5">
        <f>VLOOKUP(I149,Наценка!$A$1:$G$8,2,1)</f>
        <v>1.45</v>
      </c>
      <c r="K149" s="89">
        <f>W149*1.07</f>
        <v>1594.3000000000002</v>
      </c>
      <c r="L149" s="70">
        <f>IF(K149&lt;=1000,(ROUNDUP(K149,-1)-1),(ROUNDUP(K149,-2)-10))</f>
        <v>1590</v>
      </c>
      <c r="M149" s="80">
        <f>VLOOKUP($A149,'Выгр Кат'!$A:$R,M$1,0)</f>
        <v>950</v>
      </c>
      <c r="N149" s="80">
        <f>VLOOKUP($A149,'Выгр Кат'!$A:$R,N$1,0)</f>
        <v>1590</v>
      </c>
      <c r="O149" s="28">
        <f>M149-I149</f>
        <v>0</v>
      </c>
      <c r="P149" s="28">
        <f>N149-L149</f>
        <v>0</v>
      </c>
      <c r="Q149" s="36">
        <f>IFERROR(L149*(1-$Q$2),"")</f>
        <v>1478.6999999999998</v>
      </c>
      <c r="R149" s="38">
        <f>IFERROR(VLOOKUP($A149,'Из Гугла'!$B:$G,6,0)*S149,VLOOKUP($A149,'Из Гугла'!$B:$G,6,0))</f>
        <v>1490</v>
      </c>
      <c r="S149" s="14">
        <v>1</v>
      </c>
      <c r="T149" s="83">
        <f>IFERROR(Q149/I149-1,"")</f>
        <v>0.55652631578947354</v>
      </c>
      <c r="U149" s="83">
        <f>IFERROR((W149-Q149)/W149,"")</f>
        <v>7.5838926174497867E-3</v>
      </c>
      <c r="V149" s="83">
        <f>IFERROR(IF(W149="","",W149/I149-1),"")</f>
        <v>0.56842105263157894</v>
      </c>
      <c r="W149" s="93">
        <v>1490</v>
      </c>
      <c r="X149" s="71" t="s">
        <v>838</v>
      </c>
    </row>
    <row r="150" spans="1:24" ht="30" x14ac:dyDescent="0.25">
      <c r="A150" s="80">
        <v>145553</v>
      </c>
      <c r="B150" s="80">
        <f>VLOOKUP($A150,'Выгр Кат'!$A:$R,B$1,0)</f>
        <v>5116</v>
      </c>
      <c r="C150" s="81" t="str">
        <f>VLOOKUP($A150,'Выгр Кат'!$A:$R,C$1,0)</f>
        <v>Задние фонари (черные) для Лада Нива 4х4</v>
      </c>
      <c r="D150" s="80" t="str">
        <f>VLOOKUP($A150,'Выгр Кат'!$A:$R,D$1,0)</f>
        <v>Y</v>
      </c>
      <c r="E150" s="80" t="str">
        <f>VLOOKUP($A150,'Выгр Кат'!$A:$R,E$1,0)</f>
        <v>1</v>
      </c>
      <c r="F150" s="80">
        <f>VLOOKUP($A150,'Выгр Кат'!$A:$R,F$1,0)</f>
        <v>0</v>
      </c>
      <c r="G150" s="80" t="str">
        <f>VLOOKUP($A150,'Выгр Кат'!$A:$R,G$1,0)</f>
        <v>https://motorring.ru/product/15868-tuning-fonari-lada-niva-4x4-chernye</v>
      </c>
      <c r="H150" s="67" t="s">
        <v>3</v>
      </c>
      <c r="I150" s="82">
        <v>950</v>
      </c>
      <c r="J150" s="5">
        <f>VLOOKUP(I150,Наценка!$A$1:$G$8,2,1)</f>
        <v>1.45</v>
      </c>
      <c r="K150" s="87">
        <f>W150*1.06</f>
        <v>1897.4</v>
      </c>
      <c r="L150" s="70">
        <f>IF(K150&lt;=1000,(ROUNDUP(K150,-1)-1),(ROUNDUP(K150,-2)-10))</f>
        <v>1890</v>
      </c>
      <c r="M150" s="80">
        <f>VLOOKUP($A150,'Выгр Кат'!$A:$R,M$1,0)</f>
        <v>950</v>
      </c>
      <c r="N150" s="80">
        <f>VLOOKUP($A150,'Выгр Кат'!$A:$R,N$1,0)</f>
        <v>1890</v>
      </c>
      <c r="O150" s="28">
        <f>M150-I150</f>
        <v>0</v>
      </c>
      <c r="P150" s="28">
        <f>N150-L150</f>
        <v>0</v>
      </c>
      <c r="Q150" s="36">
        <f>IFERROR(L150*(1-$Q$2),"")</f>
        <v>1757.6999999999998</v>
      </c>
      <c r="R150" s="38" t="str">
        <f>IFERROR(VLOOKUP($A150,'Из Гугла'!$B:$G,6,0)*S150,VLOOKUP($A150,'Из Гугла'!$B:$G,6,0))</f>
        <v/>
      </c>
      <c r="S150" s="14">
        <v>1</v>
      </c>
      <c r="T150" s="83">
        <f>IFERROR(Q150/I150-1,"")</f>
        <v>0.85021052631578931</v>
      </c>
      <c r="U150" s="83">
        <f>IFERROR((W150-Q150)/W150,"")</f>
        <v>1.8044692737430271E-2</v>
      </c>
      <c r="V150" s="83">
        <f>IFERROR(IF(W150="","",W150/I150-1),"")</f>
        <v>0.88421052631578956</v>
      </c>
      <c r="W150" s="93">
        <v>1790</v>
      </c>
      <c r="X150" s="71" t="s">
        <v>840</v>
      </c>
    </row>
    <row r="151" spans="1:24" ht="30" x14ac:dyDescent="0.25">
      <c r="A151" s="80">
        <v>137271</v>
      </c>
      <c r="B151" s="80">
        <f>VLOOKUP($A151,'Выгр Кат'!$A:$R,B$1,0)</f>
        <v>5286</v>
      </c>
      <c r="C151" s="81" t="str">
        <f>VLOOKUP($A151,'Выгр Кат'!$A:$R,C$1,0)</f>
        <v>Боковые зеркала "F2" (белые) универсальные</v>
      </c>
      <c r="D151" s="80" t="str">
        <f>VLOOKUP($A151,'Выгр Кат'!$A:$R,D$1,0)</f>
        <v>Y</v>
      </c>
      <c r="E151" s="80" t="str">
        <f>VLOOKUP($A151,'Выгр Кат'!$A:$R,E$1,0)</f>
        <v>1</v>
      </c>
      <c r="F151" s="80">
        <f>VLOOKUP($A151,'Выгр Кат'!$A:$R,F$1,0)</f>
        <v>0</v>
      </c>
      <c r="G151" s="80" t="str">
        <f>VLOOKUP($A151,'Выгр Кат'!$A:$R,G$1,0)</f>
        <v>https://motorring.ru/product/15988-bokovye-zerkala-f2-belye</v>
      </c>
      <c r="H151" s="67" t="s">
        <v>3</v>
      </c>
      <c r="I151" s="82">
        <v>950</v>
      </c>
      <c r="J151" s="5">
        <f>VLOOKUP(I151,Наценка!$A$1:$G$8,2,1)</f>
        <v>1.45</v>
      </c>
      <c r="K151" s="91">
        <f>W151*1</f>
        <v>1390</v>
      </c>
      <c r="L151" s="70">
        <f>IF(K151&lt;=1000,(ROUNDUP(K151,-1)-1),(ROUNDUP(K151,-2)-10))</f>
        <v>1390</v>
      </c>
      <c r="M151" s="80">
        <f>VLOOKUP($A151,'Выгр Кат'!$A:$R,M$1,0)</f>
        <v>950</v>
      </c>
      <c r="N151" s="80">
        <f>VLOOKUP($A151,'Выгр Кат'!$A:$R,N$1,0)</f>
        <v>1390</v>
      </c>
      <c r="O151" s="28">
        <f>M151-I151</f>
        <v>0</v>
      </c>
      <c r="P151" s="28">
        <f>N151-L151</f>
        <v>0</v>
      </c>
      <c r="Q151" s="36">
        <f>IFERROR(L151*(1-$Q$2),"")</f>
        <v>1292.6999999999998</v>
      </c>
      <c r="R151" s="38">
        <f>IFERROR(VLOOKUP($A151,'Из Гугла'!$B:$G,6,0)*S151,VLOOKUP($A151,'Из Гугла'!$B:$G,6,0))</f>
        <v>1390</v>
      </c>
      <c r="S151" s="14">
        <v>1</v>
      </c>
      <c r="T151" s="83">
        <f>IFERROR(Q151/I151-1,"")</f>
        <v>0.36073684210526302</v>
      </c>
      <c r="U151" s="83">
        <f>IFERROR((W151-Q151)/W151,"")</f>
        <v>7.0000000000000132E-2</v>
      </c>
      <c r="V151" s="83">
        <f>IFERROR(IF(W151="","",W151/I151-1),"")</f>
        <v>0.46315789473684221</v>
      </c>
      <c r="W151" s="84">
        <v>1390</v>
      </c>
      <c r="X151" s="71" t="s">
        <v>1438</v>
      </c>
    </row>
    <row r="152" spans="1:24" ht="30" x14ac:dyDescent="0.25">
      <c r="A152" s="80">
        <v>137272</v>
      </c>
      <c r="B152" s="80">
        <f>VLOOKUP($A152,'Выгр Кат'!$A:$R,B$1,0)</f>
        <v>5287</v>
      </c>
      <c r="C152" s="81" t="str">
        <f>VLOOKUP($A152,'Выгр Кат'!$A:$R,C$1,0)</f>
        <v>Боковые зеркала "F2" (карбон) универсальные</v>
      </c>
      <c r="D152" s="80" t="str">
        <f>VLOOKUP($A152,'Выгр Кат'!$A:$R,D$1,0)</f>
        <v>Y</v>
      </c>
      <c r="E152" s="80" t="str">
        <f>VLOOKUP($A152,'Выгр Кат'!$A:$R,E$1,0)</f>
        <v>1ск1</v>
      </c>
      <c r="F152" s="80">
        <f>VLOOKUP($A152,'Выгр Кат'!$A:$R,F$1,0)</f>
        <v>0</v>
      </c>
      <c r="G152" s="80" t="str">
        <f>VLOOKUP($A152,'Выгр Кат'!$A:$R,G$1,0)</f>
        <v>https://motorring.ru/product/15989-bokovye-zerkala-karbon</v>
      </c>
      <c r="H152" s="67" t="s">
        <v>3</v>
      </c>
      <c r="I152" s="82">
        <v>950</v>
      </c>
      <c r="J152" s="5">
        <f>VLOOKUP(I152,Наценка!$A$1:$G$8,2,1)</f>
        <v>1.45</v>
      </c>
      <c r="K152" s="91">
        <f>W152*1</f>
        <v>1290</v>
      </c>
      <c r="L152" s="70">
        <f>IF(K152&lt;=1000,(ROUNDUP(K152,-1)-1),(ROUNDUP(K152,-2)-10))</f>
        <v>1290</v>
      </c>
      <c r="M152" s="80">
        <f>VLOOKUP($A152,'Выгр Кат'!$A:$R,M$1,0)</f>
        <v>950</v>
      </c>
      <c r="N152" s="80">
        <f>VLOOKUP($A152,'Выгр Кат'!$A:$R,N$1,0)</f>
        <v>1290</v>
      </c>
      <c r="O152" s="28">
        <f>M152-I152</f>
        <v>0</v>
      </c>
      <c r="P152" s="28">
        <f>N152-L152</f>
        <v>0</v>
      </c>
      <c r="Q152" s="36">
        <f>IFERROR(L152*(1-$Q$2),"")</f>
        <v>1199.6999999999998</v>
      </c>
      <c r="R152" s="38">
        <f>IFERROR(VLOOKUP($A152,'Из Гугла'!$B:$G,6,0)*S152,VLOOKUP($A152,'Из Гугла'!$B:$G,6,0))</f>
        <v>1290</v>
      </c>
      <c r="S152" s="14">
        <v>1</v>
      </c>
      <c r="T152" s="83">
        <f>IFERROR(Q152/I152-1,"")</f>
        <v>0.26284210526315777</v>
      </c>
      <c r="U152" s="83">
        <f>IFERROR((W152-Q152)/W152,"")</f>
        <v>7.0000000000000145E-2</v>
      </c>
      <c r="V152" s="83">
        <f>IFERROR(IF(W152="","",W152/I152-1),"")</f>
        <v>0.35789473684210527</v>
      </c>
      <c r="W152" s="84">
        <v>1290</v>
      </c>
      <c r="X152" s="71" t="s">
        <v>1439</v>
      </c>
    </row>
    <row r="153" spans="1:24" ht="30" x14ac:dyDescent="0.25">
      <c r="A153" s="80">
        <v>223086</v>
      </c>
      <c r="B153" s="80">
        <f>VLOOKUP($A153,'Выгр Кат'!$A:$R,B$1,0)</f>
        <v>8274</v>
      </c>
      <c r="C153" s="81" t="str">
        <f>VLOOKUP($A153,'Выгр Кат'!$A:$R,C$1,0)</f>
        <v>Универсальные ПТФ "DLAA" LA8829RY лазер</v>
      </c>
      <c r="D153" s="80" t="str">
        <f>VLOOKUP($A153,'Выгр Кат'!$A:$R,D$1,0)</f>
        <v>Y</v>
      </c>
      <c r="E153" s="80" t="str">
        <f>VLOOKUP($A153,'Выгр Кат'!$A:$R,E$1,0)</f>
        <v>1</v>
      </c>
      <c r="F153" s="80" t="str">
        <f>VLOOKUP($A153,'Выгр Кат'!$A:$R,F$1,0)</f>
        <v>LA8829RY</v>
      </c>
      <c r="G153" s="80">
        <f>VLOOKUP($A153,'Выгр Кат'!$A:$R,G$1,0)</f>
        <v>0</v>
      </c>
      <c r="H153" s="67" t="s">
        <v>3</v>
      </c>
      <c r="I153" s="82">
        <v>950</v>
      </c>
      <c r="J153" s="5">
        <f>VLOOKUP(I153,Наценка!$A$1:$G$8,2,1)</f>
        <v>1.45</v>
      </c>
      <c r="K153" s="34">
        <f>I153*J153</f>
        <v>1377.5</v>
      </c>
      <c r="L153" s="70">
        <f>IF(K153&lt;=1000,(ROUNDUP(K153,-1)-1),(ROUNDUP(K153,-2)-10))</f>
        <v>1390</v>
      </c>
      <c r="M153" s="80">
        <f>VLOOKUP($A153,'Выгр Кат'!$A:$R,M$1,0)</f>
        <v>950</v>
      </c>
      <c r="N153" s="80">
        <f>VLOOKUP($A153,'Выгр Кат'!$A:$R,N$1,0)</f>
        <v>1390</v>
      </c>
      <c r="O153" s="28">
        <f>M153-I153</f>
        <v>0</v>
      </c>
      <c r="P153" s="28">
        <f>N153-L153</f>
        <v>0</v>
      </c>
      <c r="Q153" s="36">
        <f>IFERROR(L153*(1-$Q$2),"")</f>
        <v>1292.6999999999998</v>
      </c>
      <c r="R153" s="38" t="str">
        <f>IFERROR(VLOOKUP($A153,'Из Гугла'!$B:$G,6,0)*S153,VLOOKUP($A153,'Из Гугла'!$B:$G,6,0))</f>
        <v/>
      </c>
      <c r="S153" s="14">
        <v>1</v>
      </c>
      <c r="T153" s="83">
        <f>IFERROR(Q153/I153-1,"")</f>
        <v>0.36073684210526302</v>
      </c>
      <c r="U153" s="83" t="str">
        <f>IFERROR((W153-Q153)/W153,"")</f>
        <v/>
      </c>
      <c r="V153" s="83" t="str">
        <f>IFERROR(IF(W153="","",W153/I153-1),"")</f>
        <v/>
      </c>
      <c r="W153" s="84" t="s">
        <v>1269</v>
      </c>
    </row>
    <row r="154" spans="1:24" ht="30" x14ac:dyDescent="0.25">
      <c r="A154" s="80">
        <v>223072</v>
      </c>
      <c r="B154" s="80">
        <f>VLOOKUP($A154,'Выгр Кат'!$A:$R,B$1,0)</f>
        <v>8277</v>
      </c>
      <c r="C154" s="81" t="str">
        <f>VLOOKUP($A154,'Выгр Кат'!$A:$R,C$1,0)</f>
        <v>Универсальные ПТФ "DLAA" LA 886B-RY лазер</v>
      </c>
      <c r="D154" s="80" t="str">
        <f>VLOOKUP($A154,'Выгр Кат'!$A:$R,D$1,0)</f>
        <v>Y</v>
      </c>
      <c r="E154" s="80" t="str">
        <f>VLOOKUP($A154,'Выгр Кат'!$A:$R,E$1,0)</f>
        <v>1</v>
      </c>
      <c r="F154" s="80" t="str">
        <f>VLOOKUP($A154,'Выгр Кат'!$A:$R,F$1,0)</f>
        <v>LA886B-RY</v>
      </c>
      <c r="G154" s="80">
        <f>VLOOKUP($A154,'Выгр Кат'!$A:$R,G$1,0)</f>
        <v>0</v>
      </c>
      <c r="H154" s="67" t="s">
        <v>3</v>
      </c>
      <c r="I154" s="82">
        <v>950</v>
      </c>
      <c r="J154" s="5">
        <f>VLOOKUP(I154,Наценка!$A$1:$G$8,2,1)</f>
        <v>1.45</v>
      </c>
      <c r="K154" s="34">
        <f>I154*J154</f>
        <v>1377.5</v>
      </c>
      <c r="L154" s="70">
        <f>IF(K154&lt;=1000,(ROUNDUP(K154,-1)-1),(ROUNDUP(K154,-2)-10))</f>
        <v>1390</v>
      </c>
      <c r="M154" s="80">
        <f>VLOOKUP($A154,'Выгр Кат'!$A:$R,M$1,0)</f>
        <v>950</v>
      </c>
      <c r="N154" s="80">
        <f>VLOOKUP($A154,'Выгр Кат'!$A:$R,N$1,0)</f>
        <v>1390</v>
      </c>
      <c r="O154" s="28">
        <f>M154-I154</f>
        <v>0</v>
      </c>
      <c r="P154" s="28">
        <f>N154-L154</f>
        <v>0</v>
      </c>
      <c r="Q154" s="36">
        <f>IFERROR(L154*(1-$Q$2),"")</f>
        <v>1292.6999999999998</v>
      </c>
      <c r="R154" s="38" t="str">
        <f>IFERROR(VLOOKUP($A154,'Из Гугла'!$B:$G,6,0)*S154,VLOOKUP($A154,'Из Гугла'!$B:$G,6,0))</f>
        <v/>
      </c>
      <c r="S154" s="14">
        <v>1</v>
      </c>
      <c r="T154" s="83">
        <f>IFERROR(Q154/I154-1,"")</f>
        <v>0.36073684210526302</v>
      </c>
      <c r="U154" s="83" t="str">
        <f>IFERROR((W154-Q154)/W154,"")</f>
        <v/>
      </c>
      <c r="V154" s="83" t="str">
        <f>IFERROR(IF(W154="","",W154/I154-1),"")</f>
        <v/>
      </c>
      <c r="W154" s="84" t="s">
        <v>1269</v>
      </c>
    </row>
    <row r="155" spans="1:24" ht="30" x14ac:dyDescent="0.25">
      <c r="A155" s="80">
        <v>223103</v>
      </c>
      <c r="B155" s="80">
        <f>VLOOKUP($A155,'Выгр Кат'!$A:$R,B$1,0)</f>
        <v>8297</v>
      </c>
      <c r="C155" s="81" t="str">
        <f>VLOOKUP($A155,'Выгр Кат'!$A:$R,C$1,0)</f>
        <v>Универсальные ПТФ "DLAA" PL99RY лазер</v>
      </c>
      <c r="D155" s="80" t="str">
        <f>VLOOKUP($A155,'Выгр Кат'!$A:$R,D$1,0)</f>
        <v>Y</v>
      </c>
      <c r="E155" s="80" t="str">
        <f>VLOOKUP($A155,'Выгр Кат'!$A:$R,E$1,0)</f>
        <v>1</v>
      </c>
      <c r="F155" s="80" t="str">
        <f>VLOOKUP($A155,'Выгр Кат'!$A:$R,F$1,0)</f>
        <v>PL99RY</v>
      </c>
      <c r="G155" s="80">
        <f>VLOOKUP($A155,'Выгр Кат'!$A:$R,G$1,0)</f>
        <v>0</v>
      </c>
      <c r="H155" s="67" t="s">
        <v>3</v>
      </c>
      <c r="I155" s="82">
        <v>950</v>
      </c>
      <c r="J155" s="5">
        <f>VLOOKUP(I155,Наценка!$A$1:$G$8,2,1)</f>
        <v>1.45</v>
      </c>
      <c r="K155" s="34">
        <f>I155*J155</f>
        <v>1377.5</v>
      </c>
      <c r="L155" s="70">
        <f>IF(K155&lt;=1000,(ROUNDUP(K155,-1)-1),(ROUNDUP(K155,-2)-10))</f>
        <v>1390</v>
      </c>
      <c r="M155" s="80">
        <f>VLOOKUP($A155,'Выгр Кат'!$A:$R,M$1,0)</f>
        <v>950</v>
      </c>
      <c r="N155" s="80">
        <f>VLOOKUP($A155,'Выгр Кат'!$A:$R,N$1,0)</f>
        <v>1390</v>
      </c>
      <c r="O155" s="28">
        <f>M155-I155</f>
        <v>0</v>
      </c>
      <c r="P155" s="28">
        <f>N155-L155</f>
        <v>0</v>
      </c>
      <c r="Q155" s="36">
        <f>IFERROR(L155*(1-$Q$2),"")</f>
        <v>1292.6999999999998</v>
      </c>
      <c r="R155" s="38" t="str">
        <f>IFERROR(VLOOKUP($A155,'Из Гугла'!$B:$G,6,0)*S155,VLOOKUP($A155,'Из Гугла'!$B:$G,6,0))</f>
        <v/>
      </c>
      <c r="S155" s="14">
        <v>1</v>
      </c>
      <c r="T155" s="83">
        <f>IFERROR(Q155/I155-1,"")</f>
        <v>0.36073684210526302</v>
      </c>
      <c r="U155" s="83" t="str">
        <f>IFERROR((W155-Q155)/W155,"")</f>
        <v/>
      </c>
      <c r="V155" s="83" t="str">
        <f>IFERROR(IF(W155="","",W155/I155-1),"")</f>
        <v/>
      </c>
      <c r="W155" s="84" t="s">
        <v>1269</v>
      </c>
    </row>
    <row r="156" spans="1:24" ht="30.75" thickBot="1" x14ac:dyDescent="0.3">
      <c r="A156" s="80">
        <v>138545</v>
      </c>
      <c r="B156" s="80">
        <f>VLOOKUP($A156,'Выгр Кат'!$A:$R,B$1,0)</f>
        <v>11423</v>
      </c>
      <c r="C156" s="81" t="str">
        <f>VLOOKUP($A156,'Выгр Кат'!$A:$R,C$1,0)</f>
        <v>Боковые зеркала 3250 механические (белые) для ВАЗ 2104, 2105, 2107</v>
      </c>
      <c r="D156" s="80" t="str">
        <f>VLOOKUP($A156,'Выгр Кат'!$A:$R,D$1,0)</f>
        <v>Y</v>
      </c>
      <c r="E156" s="80" t="str">
        <f>VLOOKUP($A156,'Выгр Кат'!$A:$R,E$1,0)</f>
        <v>1</v>
      </c>
      <c r="F156" s="80">
        <f>VLOOKUP($A156,'Выгр Кат'!$A:$R,F$1,0)</f>
        <v>0</v>
      </c>
      <c r="G156" s="80">
        <f>VLOOKUP($A156,'Выгр Кат'!$A:$R,G$1,0)</f>
        <v>0</v>
      </c>
      <c r="H156" s="67" t="s">
        <v>3</v>
      </c>
      <c r="I156" s="82">
        <v>950</v>
      </c>
      <c r="J156" s="5">
        <f>VLOOKUP(I156,Наценка!$A$1:$G$8,2,1)</f>
        <v>1.45</v>
      </c>
      <c r="K156" s="88">
        <f>I156*J156</f>
        <v>1377.5</v>
      </c>
      <c r="L156" s="70">
        <f>IF(K156&lt;=1000,(ROUNDUP(K156,-1)-1),(ROUNDUP(K156,-2)-10))</f>
        <v>1390</v>
      </c>
      <c r="M156" s="80">
        <f>VLOOKUP($A156,'Выгр Кат'!$A:$R,M$1,0)</f>
        <v>950</v>
      </c>
      <c r="N156" s="80">
        <f>VLOOKUP($A156,'Выгр Кат'!$A:$R,N$1,0)</f>
        <v>1390</v>
      </c>
      <c r="O156" s="28">
        <f>M156-I156</f>
        <v>0</v>
      </c>
      <c r="P156" s="28">
        <f>N156-L156</f>
        <v>0</v>
      </c>
      <c r="Q156" s="36">
        <f>IFERROR(L156*(1-$Q$2),"")</f>
        <v>1292.6999999999998</v>
      </c>
      <c r="R156" s="38" t="str">
        <f>IFERROR(VLOOKUP($A156,'Из Гугла'!$B:$G,6,0)*S156,VLOOKUP($A156,'Из Гугла'!$B:$G,6,0))</f>
        <v/>
      </c>
      <c r="S156" s="14">
        <v>1</v>
      </c>
      <c r="T156" s="83">
        <f>IFERROR(Q156/I156-1,"")</f>
        <v>0.36073684210526302</v>
      </c>
      <c r="U156" s="83" t="str">
        <f>IFERROR((W156-Q156)/W156,"")</f>
        <v/>
      </c>
      <c r="V156" s="83" t="str">
        <f>IFERROR(IF(W156="","",W156/I156-1),"")</f>
        <v/>
      </c>
      <c r="W156" s="94" t="s">
        <v>1269</v>
      </c>
    </row>
    <row r="157" spans="1:24" ht="31.5" thickTop="1" thickBot="1" x14ac:dyDescent="0.3">
      <c r="A157" s="80">
        <v>211412</v>
      </c>
      <c r="B157" s="80">
        <f>VLOOKUP($A157,'Выгр Кат'!$A:$R,B$1,0)</f>
        <v>19392</v>
      </c>
      <c r="C157" s="81" t="str">
        <f>VLOOKUP($A157,'Выгр Кат'!$A:$R,C$1,0)</f>
        <v>Руль "F-1" (малый вылет) чёрный</v>
      </c>
      <c r="D157" s="80" t="str">
        <f>VLOOKUP($A157,'Выгр Кат'!$A:$R,D$1,0)</f>
        <v>Y</v>
      </c>
      <c r="E157" s="80" t="str">
        <f>VLOOKUP($A157,'Выгр Кат'!$A:$R,E$1,0)</f>
        <v>1</v>
      </c>
      <c r="F157" s="80" t="str">
        <f>VLOOKUP($A157,'Выгр Кат'!$A:$R,F$1,0)</f>
        <v>4156K+PVC чёрный</v>
      </c>
      <c r="G157" s="80">
        <f>VLOOKUP($A157,'Выгр Кат'!$A:$R,G$1,0)</f>
        <v>0</v>
      </c>
      <c r="H157" s="67" t="s">
        <v>3</v>
      </c>
      <c r="I157" s="82">
        <v>1000</v>
      </c>
      <c r="J157" s="5">
        <f>VLOOKUP(I157,Наценка!$A$1:$G$8,2,1)</f>
        <v>1.3</v>
      </c>
      <c r="K157" s="88">
        <f>I157*J157</f>
        <v>1300</v>
      </c>
      <c r="L157" s="70">
        <f>IF(K157&lt;=1000,(ROUNDUP(K157,-1)-1),(ROUNDUP(K157,-2)-10))</f>
        <v>1290</v>
      </c>
      <c r="M157" s="80">
        <f>VLOOKUP($A157,'Выгр Кат'!$A:$R,M$1,0)</f>
        <v>1000</v>
      </c>
      <c r="N157" s="80">
        <f>VLOOKUP($A157,'Выгр Кат'!$A:$R,N$1,0)</f>
        <v>1290</v>
      </c>
      <c r="O157" s="28">
        <f>M157-I157</f>
        <v>0</v>
      </c>
      <c r="P157" s="28">
        <f>N157-L157</f>
        <v>0</v>
      </c>
      <c r="Q157" s="36">
        <f>IFERROR(L157*(1-$Q$2),"")</f>
        <v>1199.6999999999998</v>
      </c>
      <c r="R157" s="38" t="str">
        <f>IFERROR(VLOOKUP($A157,'Из Гугла'!$B:$G,6,0)*S157,VLOOKUP($A157,'Из Гугла'!$B:$G,6,0))</f>
        <v/>
      </c>
      <c r="S157" s="14">
        <v>1</v>
      </c>
      <c r="T157" s="83">
        <f>IFERROR(Q157/I157-1,"")</f>
        <v>0.19969999999999977</v>
      </c>
      <c r="U157" s="83" t="str">
        <f>IFERROR((W157-Q157)/W157,"")</f>
        <v/>
      </c>
      <c r="V157" s="83" t="str">
        <f>IFERROR(IF(W157="","",W157/I157-1),"")</f>
        <v/>
      </c>
      <c r="W157" s="94" t="s">
        <v>1269</v>
      </c>
    </row>
    <row r="158" spans="1:24" ht="31.5" thickTop="1" thickBot="1" x14ac:dyDescent="0.3">
      <c r="A158" s="80">
        <v>201778</v>
      </c>
      <c r="B158" s="80">
        <f>VLOOKUP($A158,'Выгр Кат'!$A:$R,B$1,0)</f>
        <v>4337</v>
      </c>
      <c r="C158" s="81" t="str">
        <f>VLOOKUP($A158,'Выгр Кат'!$A:$R,C$1,0)</f>
        <v>Противотуманные фары (ПТФ) LA-519DB W для ВАЗ 2110-2112, 2113-2115</v>
      </c>
      <c r="D158" s="80" t="str">
        <f>VLOOKUP($A158,'Выгр Кат'!$A:$R,D$1,0)</f>
        <v>Y</v>
      </c>
      <c r="E158" s="80" t="str">
        <f>VLOOKUP($A158,'Выгр Кат'!$A:$R,E$1,0)</f>
        <v>1</v>
      </c>
      <c r="F158" s="80" t="str">
        <f>VLOOKUP($A158,'Выгр Кат'!$A:$R,F$1,0)</f>
        <v>LA-519DB W</v>
      </c>
      <c r="G158" s="80" t="str">
        <f>VLOOKUP($A158,'Выгр Кат'!$A:$R,G$1,0)</f>
        <v>https://motorring.ru/product/8328-klassicheskie-protivotumannye-fary-dlaa-dlya-vaz-2110-2112</v>
      </c>
      <c r="H158" s="67" t="s">
        <v>3</v>
      </c>
      <c r="I158" s="82">
        <v>1000</v>
      </c>
      <c r="J158" s="5">
        <f>VLOOKUP(I158,Наценка!$A$1:$G$8,2,1)</f>
        <v>1.3</v>
      </c>
      <c r="K158" s="53">
        <f>W158*1</f>
        <v>1190</v>
      </c>
      <c r="L158" s="70">
        <f>IF(K158&lt;=1000,(ROUNDUP(K158,-1)-1),(ROUNDUP(K158,-2)-10))</f>
        <v>1190</v>
      </c>
      <c r="M158" s="80">
        <f>VLOOKUP($A158,'Выгр Кат'!$A:$R,M$1,0)</f>
        <v>1000</v>
      </c>
      <c r="N158" s="80">
        <f>VLOOKUP($A158,'Выгр Кат'!$A:$R,N$1,0)</f>
        <v>1390</v>
      </c>
      <c r="O158" s="28">
        <f>M158-I158</f>
        <v>0</v>
      </c>
      <c r="P158" s="28">
        <f>N158-L158</f>
        <v>200</v>
      </c>
      <c r="Q158" s="36">
        <f>IFERROR(L158*(1-$Q$2),"")</f>
        <v>1106.6999999999998</v>
      </c>
      <c r="R158" s="38">
        <f>IFERROR(VLOOKUP($A158,'Из Гугла'!$B:$G,6,0)*S158,VLOOKUP($A158,'Из Гугла'!$B:$G,6,0))</f>
        <v>1190</v>
      </c>
      <c r="S158" s="14">
        <v>1</v>
      </c>
      <c r="T158" s="83">
        <f>IFERROR(Q158/I158-1,"")</f>
        <v>0.1066999999999998</v>
      </c>
      <c r="U158" s="83">
        <f>IFERROR((W158-Q158)/W158,"")</f>
        <v>7.0000000000000159E-2</v>
      </c>
      <c r="V158" s="83">
        <f>IFERROR(IF(W158="","",W158/I158-1),"")</f>
        <v>0.18999999999999995</v>
      </c>
      <c r="W158" s="85">
        <v>1190</v>
      </c>
      <c r="X158" s="71" t="s">
        <v>836</v>
      </c>
    </row>
    <row r="159" spans="1:24" ht="30.75" thickTop="1" x14ac:dyDescent="0.25">
      <c r="A159" s="80">
        <v>201780</v>
      </c>
      <c r="B159" s="80">
        <f>VLOOKUP($A159,'Выгр Кат'!$A:$R,B$1,0)</f>
        <v>4319</v>
      </c>
      <c r="C159" s="81" t="str">
        <f>VLOOKUP($A159,'Выгр Кат'!$A:$R,C$1,0)</f>
        <v>Противотуманные фары (ПТФ) LD-088 для ВАЗ 2110-2112, 2113-2115</v>
      </c>
      <c r="D159" s="80" t="str">
        <f>VLOOKUP($A159,'Выгр Кат'!$A:$R,D$1,0)</f>
        <v>Y</v>
      </c>
      <c r="E159" s="80" t="str">
        <f>VLOOKUP($A159,'Выгр Кат'!$A:$R,E$1,0)</f>
        <v>1</v>
      </c>
      <c r="F159" s="80">
        <f>VLOOKUP($A159,'Выгр Кат'!$A:$R,F$1,0)</f>
        <v>0</v>
      </c>
      <c r="G159" s="80" t="str">
        <f>VLOOKUP($A159,'Выгр Кат'!$A:$R,G$1,0)</f>
        <v>https://motorring.ru/product/8334-protivotumannye-fary-ld-088-chernye-vaz-2110-12-2113-15</v>
      </c>
      <c r="H159" s="67" t="s">
        <v>3</v>
      </c>
      <c r="I159" s="82">
        <v>1000</v>
      </c>
      <c r="J159" s="5">
        <f>VLOOKUP(I159,Наценка!$A$1:$G$8,2,1)</f>
        <v>1.3</v>
      </c>
      <c r="K159" s="91">
        <f>W159*1</f>
        <v>1390</v>
      </c>
      <c r="L159" s="70">
        <f>IF(K159&lt;=1000,(ROUNDUP(K159,-1)-1),(ROUNDUP(K159,-2)-10))</f>
        <v>1390</v>
      </c>
      <c r="M159" s="80">
        <f>VLOOKUP($A159,'Выгр Кат'!$A:$R,M$1,0)</f>
        <v>1000</v>
      </c>
      <c r="N159" s="80">
        <f>VLOOKUP($A159,'Выгр Кат'!$A:$R,N$1,0)</f>
        <v>1390</v>
      </c>
      <c r="O159" s="28">
        <f>M159-I159</f>
        <v>0</v>
      </c>
      <c r="P159" s="28">
        <f>N159-L159</f>
        <v>0</v>
      </c>
      <c r="Q159" s="36">
        <f>IFERROR(L159*(1-$Q$2),"")</f>
        <v>1292.6999999999998</v>
      </c>
      <c r="R159" s="38">
        <f>IFERROR(VLOOKUP($A159,'Из Гугла'!$B:$G,6,0)*S159,VLOOKUP($A159,'Из Гугла'!$B:$G,6,0))</f>
        <v>1390</v>
      </c>
      <c r="S159" s="14">
        <v>1</v>
      </c>
      <c r="T159" s="83">
        <f>IFERROR(Q159/I159-1,"")</f>
        <v>0.29269999999999974</v>
      </c>
      <c r="U159" s="83">
        <f>IFERROR((W159-Q159)/W159,"")</f>
        <v>7.0000000000000132E-2</v>
      </c>
      <c r="V159" s="83">
        <f>IFERROR(IF(W159="","",W159/I159-1),"")</f>
        <v>0.3899999999999999</v>
      </c>
      <c r="W159" s="93">
        <v>1390</v>
      </c>
      <c r="X159" s="71" t="s">
        <v>839</v>
      </c>
    </row>
    <row r="160" spans="1:24" ht="30" x14ac:dyDescent="0.25">
      <c r="A160" s="80">
        <v>201777</v>
      </c>
      <c r="B160" s="80">
        <f>VLOOKUP($A160,'Выгр Кат'!$A:$R,B$1,0)</f>
        <v>13776</v>
      </c>
      <c r="C160" s="81" t="str">
        <f>VLOOKUP($A160,'Выгр Кат'!$A:$R,C$1,0)</f>
        <v>Противотуманные фары (ПТФ) DLAA для ВАЗ 2110-2112, 2113-2115</v>
      </c>
      <c r="D160" s="80" t="str">
        <f>VLOOKUP($A160,'Выгр Кат'!$A:$R,D$1,0)</f>
        <v>Y</v>
      </c>
      <c r="E160" s="80" t="str">
        <f>VLOOKUP($A160,'Выгр Кат'!$A:$R,E$1,0)</f>
        <v>1</v>
      </c>
      <c r="F160" s="80" t="str">
        <f>VLOOKUP($A160,'Выгр Кат'!$A:$R,F$1,0)</f>
        <v>519 DBW</v>
      </c>
      <c r="G160" s="80" t="str">
        <f>VLOOKUP($A160,'Выгр Кат'!$A:$R,G$1,0)</f>
        <v>https://motorring.ru/product/8329-protivotumannye-fary-dlaa-vaz-2110-2112-2113-2115</v>
      </c>
      <c r="H160" s="67" t="s">
        <v>3</v>
      </c>
      <c r="I160" s="82">
        <v>1000</v>
      </c>
      <c r="J160" s="5">
        <f>VLOOKUP(I160,Наценка!$A$1:$G$8,2,1)</f>
        <v>1.3</v>
      </c>
      <c r="K160" s="87">
        <f>W160*1.06</f>
        <v>1685.4</v>
      </c>
      <c r="L160" s="70">
        <f>IF(K160&lt;=1000,(ROUNDUP(K160,-1)-1),(ROUNDUP(K160,-2)-10))</f>
        <v>1690</v>
      </c>
      <c r="M160" s="80">
        <f>VLOOKUP($A160,'Выгр Кат'!$A:$R,M$1,0)</f>
        <v>1000</v>
      </c>
      <c r="N160" s="80">
        <f>VLOOKUP($A160,'Выгр Кат'!$A:$R,N$1,0)</f>
        <v>1690</v>
      </c>
      <c r="O160" s="28">
        <f>M160-I160</f>
        <v>0</v>
      </c>
      <c r="P160" s="28">
        <f>N160-L160</f>
        <v>0</v>
      </c>
      <c r="Q160" s="36">
        <f>IFERROR(L160*(1-$Q$2),"")</f>
        <v>1571.6999999999998</v>
      </c>
      <c r="R160" s="38">
        <f>IFERROR(VLOOKUP($A160,'Из Гугла'!$B:$G,6,0)*S160,VLOOKUP($A160,'Из Гугла'!$B:$G,6,0))</f>
        <v>1590</v>
      </c>
      <c r="S160" s="14">
        <v>1</v>
      </c>
      <c r="T160" s="83">
        <f>IFERROR(Q160/I160-1,"")</f>
        <v>0.57169999999999987</v>
      </c>
      <c r="U160" s="83">
        <f>IFERROR((W160-Q160)/W160,"")</f>
        <v>1.1509433962264266E-2</v>
      </c>
      <c r="V160" s="83">
        <f>IFERROR(IF(W160="","",W160/I160-1),"")</f>
        <v>0.59000000000000008</v>
      </c>
      <c r="W160" s="93">
        <v>1590</v>
      </c>
      <c r="X160" s="71" t="s">
        <v>841</v>
      </c>
    </row>
    <row r="161" spans="1:24" ht="30" x14ac:dyDescent="0.25">
      <c r="A161" s="80">
        <v>211441</v>
      </c>
      <c r="B161" s="80">
        <f>VLOOKUP($A161,'Выгр Кат'!$A:$R,B$1,0)</f>
        <v>18948</v>
      </c>
      <c r="C161" s="81" t="str">
        <f>VLOOKUP($A161,'Выгр Кат'!$A:$R,C$1,0)</f>
        <v>Руль F-1 срезанная форма (малый вылет) черный</v>
      </c>
      <c r="D161" s="80" t="str">
        <f>VLOOKUP($A161,'Выгр Кат'!$A:$R,D$1,0)</f>
        <v>Y</v>
      </c>
      <c r="E161" s="80" t="str">
        <f>VLOOKUP($A161,'Выгр Кат'!$A:$R,E$1,0)</f>
        <v>1</v>
      </c>
      <c r="F161" s="80" t="str">
        <f>VLOOKUP($A161,'Выгр Кат'!$A:$R,F$1,0)</f>
        <v>4156F+PVC+черный</v>
      </c>
      <c r="G161" s="80">
        <f>VLOOKUP($A161,'Выгр Кат'!$A:$R,G$1,0)</f>
        <v>0</v>
      </c>
      <c r="H161" s="67" t="s">
        <v>3</v>
      </c>
      <c r="I161" s="82">
        <v>1000</v>
      </c>
      <c r="J161" s="5">
        <f>VLOOKUP(I161,Наценка!$A$1:$G$8,2,1)</f>
        <v>1.3</v>
      </c>
      <c r="K161" s="34">
        <f>I161*J161</f>
        <v>1300</v>
      </c>
      <c r="L161" s="70">
        <f>IF(K161&lt;=1000,(ROUNDUP(K161,-1)-1),(ROUNDUP(K161,-2)-10))</f>
        <v>1290</v>
      </c>
      <c r="M161" s="80">
        <f>VLOOKUP($A161,'Выгр Кат'!$A:$R,M$1,0)</f>
        <v>1000</v>
      </c>
      <c r="N161" s="80">
        <f>VLOOKUP($A161,'Выгр Кат'!$A:$R,N$1,0)</f>
        <v>1290</v>
      </c>
      <c r="O161" s="28">
        <f>M161-I161</f>
        <v>0</v>
      </c>
      <c r="P161" s="28">
        <f>N161-L161</f>
        <v>0</v>
      </c>
      <c r="Q161" s="36">
        <f>IFERROR(L161*(1-$Q$2),"")</f>
        <v>1199.6999999999998</v>
      </c>
      <c r="R161" s="38" t="str">
        <f>IFERROR(VLOOKUP($A161,'Из Гугла'!$B:$G,6,0)*S161,VLOOKUP($A161,'Из Гугла'!$B:$G,6,0))</f>
        <v/>
      </c>
      <c r="S161" s="14">
        <v>1</v>
      </c>
      <c r="T161" s="83">
        <f>IFERROR(Q161/I161-1,"")</f>
        <v>0.19969999999999977</v>
      </c>
      <c r="U161" s="83" t="str">
        <f>IFERROR((W161-Q161)/W161,"")</f>
        <v/>
      </c>
      <c r="V161" s="83" t="str">
        <f>IFERROR(IF(W161="","",W161/I161-1),"")</f>
        <v/>
      </c>
      <c r="W161" s="84" t="s">
        <v>1269</v>
      </c>
    </row>
    <row r="162" spans="1:24" ht="30" x14ac:dyDescent="0.25">
      <c r="A162" s="80">
        <v>211448</v>
      </c>
      <c r="B162" s="80">
        <f>VLOOKUP($A162,'Выгр Кат'!$A:$R,B$1,0)</f>
        <v>13663</v>
      </c>
      <c r="C162" s="81" t="str">
        <f>VLOOKUP($A162,'Выгр Кат'!$A:$R,C$1,0)</f>
        <v>Руль F1 "MOMO" анатомической формы для ВАЗ</v>
      </c>
      <c r="D162" s="80" t="str">
        <f>VLOOKUP($A162,'Выгр Кат'!$A:$R,D$1,0)</f>
        <v>Y</v>
      </c>
      <c r="E162" s="80" t="str">
        <f>VLOOKUP($A162,'Выгр Кат'!$A:$R,E$1,0)</f>
        <v>1</v>
      </c>
      <c r="F162" s="80" t="str">
        <f>VLOOKUP($A162,'Выгр Кат'!$A:$R,F$1,0)</f>
        <v>4156H+PVC+черный</v>
      </c>
      <c r="G162" s="80">
        <f>VLOOKUP($A162,'Выгр Кат'!$A:$R,G$1,0)</f>
        <v>0</v>
      </c>
      <c r="H162" s="67" t="s">
        <v>3</v>
      </c>
      <c r="I162" s="82">
        <v>1000</v>
      </c>
      <c r="J162" s="5">
        <f>VLOOKUP(I162,Наценка!$A$1:$G$8,2,1)</f>
        <v>1.3</v>
      </c>
      <c r="K162" s="88">
        <f>I162*J162</f>
        <v>1300</v>
      </c>
      <c r="L162" s="70">
        <f>IF(K162&lt;=1000,(ROUNDUP(K162,-1)-1),(ROUNDUP(K162,-2)-10))</f>
        <v>1290</v>
      </c>
      <c r="M162" s="80">
        <f>VLOOKUP($A162,'Выгр Кат'!$A:$R,M$1,0)</f>
        <v>1000</v>
      </c>
      <c r="N162" s="80">
        <f>VLOOKUP($A162,'Выгр Кат'!$A:$R,N$1,0)</f>
        <v>1290</v>
      </c>
      <c r="O162" s="28">
        <f>M162-I162</f>
        <v>0</v>
      </c>
      <c r="P162" s="28">
        <f>N162-L162</f>
        <v>0</v>
      </c>
      <c r="Q162" s="36">
        <f>IFERROR(L162*(1-$Q$2),"")</f>
        <v>1199.6999999999998</v>
      </c>
      <c r="R162" s="38" t="str">
        <f>IFERROR(VLOOKUP($A162,'Из Гугла'!$B:$G,6,0)*S162,VLOOKUP($A162,'Из Гугла'!$B:$G,6,0))</f>
        <v/>
      </c>
      <c r="S162" s="14">
        <v>1</v>
      </c>
      <c r="T162" s="83">
        <f>IFERROR(Q162/I162-1,"")</f>
        <v>0.19969999999999977</v>
      </c>
      <c r="U162" s="83" t="str">
        <f>IFERROR((W162-Q162)/W162,"")</f>
        <v/>
      </c>
      <c r="V162" s="83" t="str">
        <f>IFERROR(IF(W162="","",W162/I162-1),"")</f>
        <v/>
      </c>
      <c r="W162" s="84" t="s">
        <v>1269</v>
      </c>
    </row>
    <row r="163" spans="1:24" ht="30" x14ac:dyDescent="0.25">
      <c r="A163" s="80">
        <v>211422</v>
      </c>
      <c r="B163" s="80">
        <f>VLOOKUP($A163,'Выгр Кат'!$A:$R,B$1,0)</f>
        <v>19115</v>
      </c>
      <c r="C163" s="81" t="str">
        <f>VLOOKUP($A163,'Выгр Кат'!$A:$R,C$1,0)</f>
        <v>Руль "F-1" черный, клепаный (малый вылет)</v>
      </c>
      <c r="D163" s="80" t="str">
        <f>VLOOKUP($A163,'Выгр Кат'!$A:$R,D$1,0)</f>
        <v>Y</v>
      </c>
      <c r="E163" s="80" t="str">
        <f>VLOOKUP($A163,'Выгр Кат'!$A:$R,E$1,0)</f>
        <v>1</v>
      </c>
      <c r="F163" s="80" t="str">
        <f>VLOOKUP($A163,'Выгр Кат'!$A:$R,F$1,0)</f>
        <v>4156А+PVC+черный</v>
      </c>
      <c r="G163" s="80">
        <f>VLOOKUP($A163,'Выгр Кат'!$A:$R,G$1,0)</f>
        <v>0</v>
      </c>
      <c r="H163" s="67" t="s">
        <v>3</v>
      </c>
      <c r="I163" s="82">
        <v>1000</v>
      </c>
      <c r="J163" s="5">
        <f>VLOOKUP(I163,Наценка!$A$1:$G$8,2,1)</f>
        <v>1.3</v>
      </c>
      <c r="K163" s="88">
        <f>I163*J163</f>
        <v>1300</v>
      </c>
      <c r="L163" s="70">
        <f>IF(K163&lt;=1000,(ROUNDUP(K163,-1)-1),(ROUNDUP(K163,-2)-10))</f>
        <v>1290</v>
      </c>
      <c r="M163" s="80">
        <f>VLOOKUP($A163,'Выгр Кат'!$A:$R,M$1,0)</f>
        <v>1000</v>
      </c>
      <c r="N163" s="80">
        <f>VLOOKUP($A163,'Выгр Кат'!$A:$R,N$1,0)</f>
        <v>1290</v>
      </c>
      <c r="O163" s="28">
        <f>M163-I163</f>
        <v>0</v>
      </c>
      <c r="P163" s="28">
        <f>N163-L163</f>
        <v>0</v>
      </c>
      <c r="Q163" s="36">
        <f>IFERROR(L163*(1-$Q$2),"")</f>
        <v>1199.6999999999998</v>
      </c>
      <c r="R163" s="38" t="str">
        <f>IFERROR(VLOOKUP($A163,'Из Гугла'!$B:$G,6,0)*S163,VLOOKUP($A163,'Из Гугла'!$B:$G,6,0))</f>
        <v/>
      </c>
      <c r="S163" s="14">
        <v>1</v>
      </c>
      <c r="T163" s="83">
        <f>IFERROR(Q163/I163-1,"")</f>
        <v>0.19969999999999977</v>
      </c>
      <c r="U163" s="83" t="str">
        <f>IFERROR((W163-Q163)/W163,"")</f>
        <v/>
      </c>
      <c r="V163" s="83" t="str">
        <f>IFERROR(IF(W163="","",W163/I163-1),"")</f>
        <v/>
      </c>
      <c r="W163" s="84" t="s">
        <v>1269</v>
      </c>
    </row>
    <row r="164" spans="1:24" ht="30" x14ac:dyDescent="0.25">
      <c r="A164" s="80">
        <v>211442</v>
      </c>
      <c r="B164" s="80">
        <f>VLOOKUP($A164,'Выгр Кат'!$A:$R,B$1,0)</f>
        <v>19181</v>
      </c>
      <c r="C164" s="81" t="str">
        <f>VLOOKUP($A164,'Выгр Кат'!$A:$R,C$1,0)</f>
        <v>Руль F-1 чёрный (без вылета)</v>
      </c>
      <c r="D164" s="80" t="str">
        <f>VLOOKUP($A164,'Выгр Кат'!$A:$R,D$1,0)</f>
        <v>Y</v>
      </c>
      <c r="E164" s="80" t="str">
        <f>VLOOKUP($A164,'Выгр Кат'!$A:$R,E$1,0)</f>
        <v>1</v>
      </c>
      <c r="F164" s="80" t="str">
        <f>VLOOKUP($A164,'Выгр Кат'!$A:$R,F$1,0)</f>
        <v>5151</v>
      </c>
      <c r="G164" s="80">
        <f>VLOOKUP($A164,'Выгр Кат'!$A:$R,G$1,0)</f>
        <v>0</v>
      </c>
      <c r="H164" s="67" t="s">
        <v>3</v>
      </c>
      <c r="I164" s="82">
        <v>1000</v>
      </c>
      <c r="J164" s="5">
        <f>VLOOKUP(I164,Наценка!$A$1:$G$8,2,1)</f>
        <v>1.3</v>
      </c>
      <c r="K164" s="34">
        <f>I164*J164</f>
        <v>1300</v>
      </c>
      <c r="L164" s="70">
        <f>IF(K164&lt;=1000,(ROUNDUP(K164,-1)-1),(ROUNDUP(K164,-2)-10))</f>
        <v>1290</v>
      </c>
      <c r="M164" s="80">
        <f>VLOOKUP($A164,'Выгр Кат'!$A:$R,M$1,0)</f>
        <v>1000</v>
      </c>
      <c r="N164" s="80">
        <f>VLOOKUP($A164,'Выгр Кат'!$A:$R,N$1,0)</f>
        <v>1290</v>
      </c>
      <c r="O164" s="28">
        <f>M164-I164</f>
        <v>0</v>
      </c>
      <c r="P164" s="28">
        <f>N164-L164</f>
        <v>0</v>
      </c>
      <c r="Q164" s="36">
        <f>IFERROR(L164*(1-$Q$2),"")</f>
        <v>1199.6999999999998</v>
      </c>
      <c r="R164" s="38" t="str">
        <f>IFERROR(VLOOKUP($A164,'Из Гугла'!$B:$G,6,0)*S164,VLOOKUP($A164,'Из Гугла'!$B:$G,6,0))</f>
        <v/>
      </c>
      <c r="S164" s="14">
        <v>1</v>
      </c>
      <c r="T164" s="83">
        <f>IFERROR(Q164/I164-1,"")</f>
        <v>0.19969999999999977</v>
      </c>
      <c r="U164" s="83" t="str">
        <f>IFERROR((W164-Q164)/W164,"")</f>
        <v/>
      </c>
      <c r="V164" s="83" t="str">
        <f>IFERROR(IF(W164="","",W164/I164-1),"")</f>
        <v/>
      </c>
      <c r="W164" s="84" t="s">
        <v>1269</v>
      </c>
    </row>
    <row r="165" spans="1:24" ht="30" x14ac:dyDescent="0.25">
      <c r="A165" s="80">
        <v>211437</v>
      </c>
      <c r="B165" s="80">
        <f>VLOOKUP($A165,'Выгр Кат'!$A:$R,B$1,0)</f>
        <v>4550</v>
      </c>
      <c r="C165" s="81" t="str">
        <f>VLOOKUP($A165,'Выгр Кат'!$A:$R,C$1,0)</f>
        <v>Руль "R1" спортивный (черный) для ВАЗ</v>
      </c>
      <c r="D165" s="80" t="str">
        <f>VLOOKUP($A165,'Выгр Кат'!$A:$R,D$1,0)</f>
        <v>Y</v>
      </c>
      <c r="E165" s="80" t="str">
        <f>VLOOKUP($A165,'Выгр Кат'!$A:$R,E$1,0)</f>
        <v>1</v>
      </c>
      <c r="F165" s="80" t="str">
        <f>VLOOKUP($A165,'Выгр Кат'!$A:$R,F$1,0)</f>
        <v>5150А</v>
      </c>
      <c r="G165" s="80">
        <f>VLOOKUP($A165,'Выгр Кат'!$A:$R,G$1,0)</f>
        <v>0</v>
      </c>
      <c r="H165" s="67" t="s">
        <v>3</v>
      </c>
      <c r="I165" s="82">
        <v>1000</v>
      </c>
      <c r="J165" s="5">
        <f>VLOOKUP(I165,Наценка!$A$1:$G$8,2,1)</f>
        <v>1.3</v>
      </c>
      <c r="K165" s="34">
        <f>I165*J165</f>
        <v>1300</v>
      </c>
      <c r="L165" s="70">
        <f>IF(K165&lt;=1000,(ROUNDUP(K165,-1)-1),(ROUNDUP(K165,-2)-10))</f>
        <v>1290</v>
      </c>
      <c r="M165" s="80">
        <f>VLOOKUP($A165,'Выгр Кат'!$A:$R,M$1,0)</f>
        <v>1000</v>
      </c>
      <c r="N165" s="80">
        <f>VLOOKUP($A165,'Выгр Кат'!$A:$R,N$1,0)</f>
        <v>1290</v>
      </c>
      <c r="O165" s="28">
        <f>M165-I165</f>
        <v>0</v>
      </c>
      <c r="P165" s="28">
        <f>N165-L165</f>
        <v>0</v>
      </c>
      <c r="Q165" s="36">
        <f>IFERROR(L165*(1-$Q$2),"")</f>
        <v>1199.6999999999998</v>
      </c>
      <c r="R165" s="38" t="str">
        <f>IFERROR(VLOOKUP($A165,'Из Гугла'!$B:$G,6,0)*S165,VLOOKUP($A165,'Из Гугла'!$B:$G,6,0))</f>
        <v/>
      </c>
      <c r="S165" s="14">
        <v>1</v>
      </c>
      <c r="T165" s="83">
        <f>IFERROR(Q165/I165-1,"")</f>
        <v>0.19969999999999977</v>
      </c>
      <c r="U165" s="83" t="str">
        <f>IFERROR((W165-Q165)/W165,"")</f>
        <v/>
      </c>
      <c r="V165" s="83" t="str">
        <f>IFERROR(IF(W165="","",W165/I165-1),"")</f>
        <v/>
      </c>
      <c r="W165" s="84" t="s">
        <v>1269</v>
      </c>
    </row>
    <row r="166" spans="1:24" ht="30" x14ac:dyDescent="0.25">
      <c r="A166" s="80">
        <v>194416</v>
      </c>
      <c r="B166" s="80">
        <f>VLOOKUP($A166,'Выгр Кат'!$A:$R,B$1,0)</f>
        <v>12221</v>
      </c>
      <c r="C166" s="81" t="str">
        <f>VLOOKUP($A166,'Выгр Кат'!$A:$R,C$1,0)</f>
        <v>Подлокотник-бокс для ВАЗ 2108-21099</v>
      </c>
      <c r="D166" s="80" t="str">
        <f>VLOOKUP($A166,'Выгр Кат'!$A:$R,D$1,0)</f>
        <v>Y</v>
      </c>
      <c r="E166" s="80" t="str">
        <f>VLOOKUP($A166,'Выгр Кат'!$A:$R,E$1,0)</f>
        <v>1</v>
      </c>
      <c r="F166" s="80">
        <f>VLOOKUP($A166,'Выгр Кат'!$A:$R,F$1,0)</f>
        <v>0</v>
      </c>
      <c r="G166" s="80" t="str">
        <f>VLOOKUP($A166,'Выгр Кат'!$A:$R,G$1,0)</f>
        <v>https://motorring.ru/product/12868-podlokotnik-boks-vaz-2108-2109-21099</v>
      </c>
      <c r="H166" s="67" t="s">
        <v>3</v>
      </c>
      <c r="I166" s="82">
        <v>1000</v>
      </c>
      <c r="J166" s="5">
        <f>VLOOKUP(I166,Наценка!$A$1:$G$8,2,1)</f>
        <v>1.3</v>
      </c>
      <c r="K166" s="87">
        <f>W166*1.06</f>
        <v>1897.4</v>
      </c>
      <c r="L166" s="70">
        <f>IF(K166&lt;=1000,(ROUNDUP(K166,-1)-1),(ROUNDUP(K166,-2)-10))</f>
        <v>1890</v>
      </c>
      <c r="M166" s="80">
        <f>VLOOKUP($A166,'Выгр Кат'!$A:$R,M$1,0)</f>
        <v>1000</v>
      </c>
      <c r="N166" s="80">
        <f>VLOOKUP($A166,'Выгр Кат'!$A:$R,N$1,0)</f>
        <v>1890</v>
      </c>
      <c r="O166" s="28">
        <f>M166-I166</f>
        <v>0</v>
      </c>
      <c r="P166" s="28">
        <f>N166-L166</f>
        <v>0</v>
      </c>
      <c r="Q166" s="36">
        <f>IFERROR(L166*(1-$Q$2),"")</f>
        <v>1757.6999999999998</v>
      </c>
      <c r="R166" s="38">
        <f>IFERROR(VLOOKUP($A166,'Из Гугла'!$B:$G,6,0)*S166,VLOOKUP($A166,'Из Гугла'!$B:$G,6,0))</f>
        <v>1790</v>
      </c>
      <c r="S166" s="14">
        <v>1</v>
      </c>
      <c r="T166" s="83">
        <f>IFERROR(Q166/I166-1,"")</f>
        <v>0.75769999999999982</v>
      </c>
      <c r="U166" s="83">
        <f>IFERROR((W166-Q166)/W166,"")</f>
        <v>1.8044692737430271E-2</v>
      </c>
      <c r="V166" s="83">
        <f>IFERROR(IF(W166="","",W166/I166-1),"")</f>
        <v>0.79</v>
      </c>
      <c r="W166" s="84">
        <v>1790</v>
      </c>
      <c r="X166" s="71" t="s">
        <v>1436</v>
      </c>
    </row>
    <row r="167" spans="1:24" ht="30.75" thickBot="1" x14ac:dyDescent="0.3">
      <c r="A167" s="80">
        <v>211411</v>
      </c>
      <c r="B167" s="80">
        <f>VLOOKUP($A167,'Выгр Кат'!$A:$R,B$1,0)</f>
        <v>19390</v>
      </c>
      <c r="C167" s="81" t="str">
        <f>VLOOKUP($A167,'Выгр Кат'!$A:$R,C$1,0)</f>
        <v>Руль "F-1" (малый вылет) синий</v>
      </c>
      <c r="D167" s="80" t="str">
        <f>VLOOKUP($A167,'Выгр Кат'!$A:$R,D$1,0)</f>
        <v>Y</v>
      </c>
      <c r="E167" s="80" t="str">
        <f>VLOOKUP($A167,'Выгр Кат'!$A:$R,E$1,0)</f>
        <v>1</v>
      </c>
      <c r="F167" s="80" t="str">
        <f>VLOOKUP($A167,'Выгр Кат'!$A:$R,F$1,0)</f>
        <v>4156K+PVC Синий</v>
      </c>
      <c r="G167" s="80">
        <f>VLOOKUP($A167,'Выгр Кат'!$A:$R,G$1,0)</f>
        <v>0</v>
      </c>
      <c r="H167" s="67" t="s">
        <v>3</v>
      </c>
      <c r="I167" s="82">
        <v>1000</v>
      </c>
      <c r="J167" s="5">
        <f>VLOOKUP(I167,Наценка!$A$1:$G$8,2,1)</f>
        <v>1.3</v>
      </c>
      <c r="K167" s="88">
        <f>I167*J167</f>
        <v>1300</v>
      </c>
      <c r="L167" s="70">
        <f>IF(K167&lt;=1000,(ROUNDUP(K167,-1)-1),(ROUNDUP(K167,-2)-10))</f>
        <v>1290</v>
      </c>
      <c r="M167" s="80">
        <f>VLOOKUP($A167,'Выгр Кат'!$A:$R,M$1,0)</f>
        <v>1000</v>
      </c>
      <c r="N167" s="80">
        <f>VLOOKUP($A167,'Выгр Кат'!$A:$R,N$1,0)</f>
        <v>1290</v>
      </c>
      <c r="O167" s="28">
        <f>M167-I167</f>
        <v>0</v>
      </c>
      <c r="P167" s="28">
        <f>N167-L167</f>
        <v>0</v>
      </c>
      <c r="Q167" s="36">
        <f>IFERROR(L167*(1-$Q$2),"")</f>
        <v>1199.6999999999998</v>
      </c>
      <c r="R167" s="38" t="str">
        <f>IFERROR(VLOOKUP($A167,'Из Гугла'!$B:$G,6,0)*S167,VLOOKUP($A167,'Из Гугла'!$B:$G,6,0))</f>
        <v/>
      </c>
      <c r="S167" s="14">
        <v>1</v>
      </c>
      <c r="T167" s="83">
        <f>IFERROR(Q167/I167-1,"")</f>
        <v>0.19969999999999977</v>
      </c>
      <c r="U167" s="83" t="str">
        <f>IFERROR((W167-Q167)/W167,"")</f>
        <v/>
      </c>
      <c r="V167" s="83" t="str">
        <f>IFERROR(IF(W167="","",W167/I167-1),"")</f>
        <v/>
      </c>
      <c r="W167" s="94" t="s">
        <v>1269</v>
      </c>
    </row>
    <row r="168" spans="1:24" ht="46.5" thickTop="1" thickBot="1" x14ac:dyDescent="0.3">
      <c r="A168" s="80">
        <v>201793</v>
      </c>
      <c r="B168" s="80">
        <f>VLOOKUP($A168,'Выгр Кат'!$A:$R,B$1,0)</f>
        <v>11900</v>
      </c>
      <c r="C168" s="81" t="str">
        <f>VLOOKUP($A168,'Выгр Кат'!$A:$R,C$1,0)</f>
        <v>Противотуманные фары LD-327 "под BOSCH" для Лада Приора, Шевроле Нива</v>
      </c>
      <c r="D168" s="80" t="str">
        <f>VLOOKUP($A168,'Выгр Кат'!$A:$R,D$1,0)</f>
        <v>Y</v>
      </c>
      <c r="E168" s="80" t="str">
        <f>VLOOKUP($A168,'Выгр Кат'!$A:$R,E$1,0)</f>
        <v>1</v>
      </c>
      <c r="F168" s="80" t="str">
        <f>VLOOKUP($A168,'Выгр Кат'!$A:$R,F$1,0)</f>
        <v>LD-327</v>
      </c>
      <c r="G168" s="80" t="str">
        <f>VLOOKUP($A168,'Выгр Кат'!$A:$R,G$1,0)</f>
        <v>https://motorring.ru/product/8347-protivotumannye-fary-ld-327-dlya-lada-priora</v>
      </c>
      <c r="H168" s="67" t="s">
        <v>3</v>
      </c>
      <c r="I168" s="82">
        <v>1000</v>
      </c>
      <c r="J168" s="5">
        <f>VLOOKUP(I168,Наценка!$A$1:$G$8,2,1)</f>
        <v>1.3</v>
      </c>
      <c r="K168" s="57">
        <f>W168*1.07</f>
        <v>1594.3000000000002</v>
      </c>
      <c r="L168" s="70">
        <f>IF(K168&lt;=1000,(ROUNDUP(K168,-1)-1),(ROUNDUP(K168,-2)-10))</f>
        <v>1590</v>
      </c>
      <c r="M168" s="80">
        <f>VLOOKUP($A168,'Выгр Кат'!$A:$R,M$1,0)</f>
        <v>1000</v>
      </c>
      <c r="N168" s="80">
        <f>VLOOKUP($A168,'Выгр Кат'!$A:$R,N$1,0)</f>
        <v>1590</v>
      </c>
      <c r="O168" s="28">
        <f>M168-I168</f>
        <v>0</v>
      </c>
      <c r="P168" s="28">
        <f>N168-L168</f>
        <v>0</v>
      </c>
      <c r="Q168" s="36">
        <f>IFERROR(L168*(1-$Q$2),"")</f>
        <v>1478.6999999999998</v>
      </c>
      <c r="R168" s="38">
        <f>IFERROR(VLOOKUP($A168,'Из Гугла'!$B:$G,6,0)*S168,VLOOKUP($A168,'Из Гугла'!$B:$G,6,0))</f>
        <v>1490</v>
      </c>
      <c r="S168" s="14">
        <v>1</v>
      </c>
      <c r="T168" s="83">
        <f>IFERROR(Q168/I168-1,"")</f>
        <v>0.4786999999999999</v>
      </c>
      <c r="U168" s="83">
        <f>IFERROR((W168-Q168)/W168,"")</f>
        <v>7.5838926174497867E-3</v>
      </c>
      <c r="V168" s="83">
        <f>IFERROR(IF(W168="","",W168/I168-1),"")</f>
        <v>0.49</v>
      </c>
      <c r="W168" s="85">
        <v>1490</v>
      </c>
      <c r="X168" s="71" t="s">
        <v>842</v>
      </c>
    </row>
    <row r="169" spans="1:24" ht="31.5" thickTop="1" thickBot="1" x14ac:dyDescent="0.3">
      <c r="A169" s="80">
        <v>133223</v>
      </c>
      <c r="B169" s="80">
        <f>VLOOKUP($A169,'Выгр Кат'!$A:$R,B$1,0)</f>
        <v>23967</v>
      </c>
      <c r="C169" s="81" t="str">
        <f>VLOOKUP($A169,'Выгр Кат'!$A:$R,C$1,0)</f>
        <v>Балка дополнительного освещения "25S" (LED, белый свет)</v>
      </c>
      <c r="D169" s="80" t="str">
        <f>VLOOKUP($A169,'Выгр Кат'!$A:$R,D$1,0)</f>
        <v>Y</v>
      </c>
      <c r="E169" s="80" t="str">
        <f>VLOOKUP($A169,'Выгр Кат'!$A:$R,E$1,0)</f>
        <v>1ск1</v>
      </c>
      <c r="F169" s="80" t="str">
        <f>VLOOKUP($A169,'Выгр Кат'!$A:$R,F$1,0)</f>
        <v>25S</v>
      </c>
      <c r="G169" s="80">
        <f>VLOOKUP($A169,'Выгр Кат'!$A:$R,G$1,0)</f>
        <v>0</v>
      </c>
      <c r="H169" s="67" t="s">
        <v>3</v>
      </c>
      <c r="I169" s="82">
        <v>1050</v>
      </c>
      <c r="J169" s="5">
        <f>VLOOKUP(I169,Наценка!$A$1:$G$8,2,1)</f>
        <v>1.3</v>
      </c>
      <c r="K169" s="88">
        <f>I169*J169</f>
        <v>1365</v>
      </c>
      <c r="L169" s="70">
        <f>IF(K169&lt;=1000,(ROUNDUP(K169,-1)-1),(ROUNDUP(K169,-2)-10))</f>
        <v>1390</v>
      </c>
      <c r="M169" s="80">
        <f>VLOOKUP($A169,'Выгр Кат'!$A:$R,M$1,0)</f>
        <v>1050</v>
      </c>
      <c r="N169" s="80">
        <f>VLOOKUP($A169,'Выгр Кат'!$A:$R,N$1,0)</f>
        <v>1390</v>
      </c>
      <c r="O169" s="28">
        <f>M169-I169</f>
        <v>0</v>
      </c>
      <c r="P169" s="28">
        <f>N169-L169</f>
        <v>0</v>
      </c>
      <c r="Q169" s="36">
        <f>IFERROR(L169*(1-$Q$2),"")</f>
        <v>1292.6999999999998</v>
      </c>
      <c r="R169" s="38" t="str">
        <f>IFERROR(VLOOKUP($A169,'Из Гугла'!$B:$G,6,0)*S169,VLOOKUP($A169,'Из Гугла'!$B:$G,6,0))</f>
        <v/>
      </c>
      <c r="S169" s="14">
        <v>1</v>
      </c>
      <c r="T169" s="83">
        <f>IFERROR(Q169/I169-1,"")</f>
        <v>0.23114285714285687</v>
      </c>
      <c r="U169" s="83" t="str">
        <f>IFERROR((W169-Q169)/W169,"")</f>
        <v/>
      </c>
      <c r="V169" s="83" t="str">
        <f>IFERROR(IF(W169="","",W169/I169-1),"")</f>
        <v/>
      </c>
      <c r="W169" s="94" t="s">
        <v>1269</v>
      </c>
    </row>
    <row r="170" spans="1:24" ht="31.5" thickTop="1" thickBot="1" x14ac:dyDescent="0.3">
      <c r="A170" s="80">
        <v>223074</v>
      </c>
      <c r="B170" s="80">
        <f>VLOOKUP($A170,'Выгр Кат'!$A:$R,B$1,0)</f>
        <v>8278</v>
      </c>
      <c r="C170" s="81" t="str">
        <f>VLOOKUP($A170,'Выгр Кат'!$A:$R,C$1,0)</f>
        <v>Универсальные ПТФ "DLAA" LA 886E-W белые</v>
      </c>
      <c r="D170" s="80" t="str">
        <f>VLOOKUP($A170,'Выгр Кат'!$A:$R,D$1,0)</f>
        <v>Y</v>
      </c>
      <c r="E170" s="80" t="str">
        <f>VLOOKUP($A170,'Выгр Кат'!$A:$R,E$1,0)</f>
        <v>1</v>
      </c>
      <c r="F170" s="80" t="str">
        <f>VLOOKUP($A170,'Выгр Кат'!$A:$R,F$1,0)</f>
        <v>LA886E-W</v>
      </c>
      <c r="G170" s="80">
        <f>VLOOKUP($A170,'Выгр Кат'!$A:$R,G$1,0)</f>
        <v>0</v>
      </c>
      <c r="H170" s="67" t="s">
        <v>3</v>
      </c>
      <c r="I170" s="82">
        <v>1100</v>
      </c>
      <c r="J170" s="5">
        <f>VLOOKUP(I170,Наценка!$A$1:$G$8,2,1)</f>
        <v>1.3</v>
      </c>
      <c r="K170" s="88">
        <f>I170*J170</f>
        <v>1430</v>
      </c>
      <c r="L170" s="70">
        <f>IF(K170&lt;=1000,(ROUNDUP(K170,-1)-1),(ROUNDUP(K170,-2)-10))</f>
        <v>1490</v>
      </c>
      <c r="M170" s="80">
        <f>VLOOKUP($A170,'Выгр Кат'!$A:$R,M$1,0)</f>
        <v>1100</v>
      </c>
      <c r="N170" s="80">
        <f>VLOOKUP($A170,'Выгр Кат'!$A:$R,N$1,0)</f>
        <v>1490</v>
      </c>
      <c r="O170" s="28">
        <f>M170-I170</f>
        <v>0</v>
      </c>
      <c r="P170" s="28">
        <f>N170-L170</f>
        <v>0</v>
      </c>
      <c r="Q170" s="36">
        <f>IFERROR(L170*(1-$Q$2),"")</f>
        <v>1385.6999999999998</v>
      </c>
      <c r="R170" s="38" t="str">
        <f>IFERROR(VLOOKUP($A170,'Из Гугла'!$B:$G,6,0)*S170,VLOOKUP($A170,'Из Гугла'!$B:$G,6,0))</f>
        <v/>
      </c>
      <c r="S170" s="14">
        <v>1</v>
      </c>
      <c r="T170" s="83">
        <f>IFERROR(Q170/I170-1,"")</f>
        <v>0.25972727272727258</v>
      </c>
      <c r="U170" s="83" t="str">
        <f>IFERROR((W170-Q170)/W170,"")</f>
        <v/>
      </c>
      <c r="V170" s="83" t="str">
        <f>IFERROR(IF(W170="","",W170/I170-1),"")</f>
        <v/>
      </c>
      <c r="W170" s="94" t="s">
        <v>1269</v>
      </c>
    </row>
    <row r="171" spans="1:24" ht="30.75" thickTop="1" x14ac:dyDescent="0.25">
      <c r="A171" s="80">
        <v>223065</v>
      </c>
      <c r="B171" s="80">
        <f>VLOOKUP($A171,'Выгр Кат'!$A:$R,B$1,0)</f>
        <v>8302</v>
      </c>
      <c r="C171" s="81" t="str">
        <f>VLOOKUP($A171,'Выгр Кат'!$A:$R,C$1,0)</f>
        <v>Универсальная ПТФ PT324H3 (D-14)</v>
      </c>
      <c r="D171" s="80" t="str">
        <f>VLOOKUP($A171,'Выгр Кат'!$A:$R,D$1,0)</f>
        <v>Y</v>
      </c>
      <c r="E171" s="80" t="str">
        <f>VLOOKUP($A171,'Выгр Кат'!$A:$R,E$1,0)</f>
        <v>1</v>
      </c>
      <c r="F171" s="80" t="str">
        <f>VLOOKUP($A171,'Выгр Кат'!$A:$R,F$1,0)</f>
        <v>PT324H3</v>
      </c>
      <c r="G171" s="80">
        <f>VLOOKUP($A171,'Выгр Кат'!$A:$R,G$1,0)</f>
        <v>0</v>
      </c>
      <c r="H171" s="67" t="s">
        <v>3</v>
      </c>
      <c r="I171" s="82">
        <v>1100</v>
      </c>
      <c r="J171" s="5">
        <f>VLOOKUP(I171,Наценка!$A$1:$G$8,2,1)</f>
        <v>1.3</v>
      </c>
      <c r="K171" s="88">
        <f>I171*J171</f>
        <v>1430</v>
      </c>
      <c r="L171" s="70">
        <f>IF(K171&lt;=1000,(ROUNDUP(K171,-1)-1),(ROUNDUP(K171,-2)-10))</f>
        <v>1490</v>
      </c>
      <c r="M171" s="80">
        <f>VLOOKUP($A171,'Выгр Кат'!$A:$R,M$1,0)</f>
        <v>1100</v>
      </c>
      <c r="N171" s="80">
        <f>VLOOKUP($A171,'Выгр Кат'!$A:$R,N$1,0)</f>
        <v>1490</v>
      </c>
      <c r="O171" s="28">
        <f>M171-I171</f>
        <v>0</v>
      </c>
      <c r="P171" s="28">
        <f>N171-L171</f>
        <v>0</v>
      </c>
      <c r="Q171" s="36">
        <f>IFERROR(L171*(1-$Q$2),"")</f>
        <v>1385.6999999999998</v>
      </c>
      <c r="R171" s="38" t="str">
        <f>IFERROR(VLOOKUP($A171,'Из Гугла'!$B:$G,6,0)*S171,VLOOKUP($A171,'Из Гугла'!$B:$G,6,0))</f>
        <v/>
      </c>
      <c r="S171" s="14">
        <v>1</v>
      </c>
      <c r="T171" s="83">
        <f>IFERROR(Q171/I171-1,"")</f>
        <v>0.25972727272727258</v>
      </c>
      <c r="U171" s="83" t="str">
        <f>IFERROR((W171-Q171)/W171,"")</f>
        <v/>
      </c>
      <c r="V171" s="83" t="str">
        <f>IFERROR(IF(W171="","",W171/I171-1),"")</f>
        <v/>
      </c>
      <c r="W171" s="84" t="s">
        <v>1269</v>
      </c>
    </row>
    <row r="172" spans="1:24" ht="30" x14ac:dyDescent="0.25">
      <c r="A172" s="80">
        <v>223066</v>
      </c>
      <c r="B172" s="80">
        <f>VLOOKUP($A172,'Выгр Кат'!$A:$R,B$1,0)</f>
        <v>8304</v>
      </c>
      <c r="C172" s="81" t="str">
        <f>VLOOKUP($A172,'Выгр Кат'!$A:$R,C$1,0)</f>
        <v>Универсальная ПТФ PT326H3 (D-20)</v>
      </c>
      <c r="D172" s="80" t="str">
        <f>VLOOKUP($A172,'Выгр Кат'!$A:$R,D$1,0)</f>
        <v>Y</v>
      </c>
      <c r="E172" s="80" t="str">
        <f>VLOOKUP($A172,'Выгр Кат'!$A:$R,E$1,0)</f>
        <v>1</v>
      </c>
      <c r="F172" s="80" t="str">
        <f>VLOOKUP($A172,'Выгр Кат'!$A:$R,F$1,0)</f>
        <v>PT326H3</v>
      </c>
      <c r="G172" s="80">
        <f>VLOOKUP($A172,'Выгр Кат'!$A:$R,G$1,0)</f>
        <v>0</v>
      </c>
      <c r="H172" s="67" t="s">
        <v>3</v>
      </c>
      <c r="I172" s="82">
        <v>1100</v>
      </c>
      <c r="J172" s="5">
        <f>VLOOKUP(I172,Наценка!$A$1:$G$8,2,1)</f>
        <v>1.3</v>
      </c>
      <c r="K172" s="88">
        <f>I172*J172</f>
        <v>1430</v>
      </c>
      <c r="L172" s="70">
        <f>IF(K172&lt;=1000,(ROUNDUP(K172,-1)-1),(ROUNDUP(K172,-2)-10))</f>
        <v>1490</v>
      </c>
      <c r="M172" s="80">
        <f>VLOOKUP($A172,'Выгр Кат'!$A:$R,M$1,0)</f>
        <v>1100</v>
      </c>
      <c r="N172" s="80">
        <f>VLOOKUP($A172,'Выгр Кат'!$A:$R,N$1,0)</f>
        <v>1490</v>
      </c>
      <c r="O172" s="28">
        <f>M172-I172</f>
        <v>0</v>
      </c>
      <c r="P172" s="28">
        <f>N172-L172</f>
        <v>0</v>
      </c>
      <c r="Q172" s="36">
        <f>IFERROR(L172*(1-$Q$2),"")</f>
        <v>1385.6999999999998</v>
      </c>
      <c r="R172" s="38" t="str">
        <f>IFERROR(VLOOKUP($A172,'Из Гугла'!$B:$G,6,0)*S172,VLOOKUP($A172,'Из Гугла'!$B:$G,6,0))</f>
        <v/>
      </c>
      <c r="S172" s="14">
        <v>1</v>
      </c>
      <c r="T172" s="83">
        <f>IFERROR(Q172/I172-1,"")</f>
        <v>0.25972727272727258</v>
      </c>
      <c r="U172" s="83" t="str">
        <f>IFERROR((W172-Q172)/W172,"")</f>
        <v/>
      </c>
      <c r="V172" s="83" t="str">
        <f>IFERROR(IF(W172="","",W172/I172-1),"")</f>
        <v/>
      </c>
      <c r="W172" s="84" t="s">
        <v>1269</v>
      </c>
    </row>
    <row r="173" spans="1:24" ht="45" x14ac:dyDescent="0.25">
      <c r="A173" s="80">
        <v>133265</v>
      </c>
      <c r="B173" s="80">
        <f>VLOOKUP($A173,'Выгр Кат'!$A:$R,B$1,0)</f>
        <v>23951</v>
      </c>
      <c r="C173" s="81" t="str">
        <f>VLOOKUP($A173,'Выгр Кат'!$A:$R,C$1,0)</f>
        <v>Балка дополнительного освещения "D-160" (противотуманная, LED, белый свет)</v>
      </c>
      <c r="D173" s="80" t="str">
        <f>VLOOKUP($A173,'Выгр Кат'!$A:$R,D$1,0)</f>
        <v>Y</v>
      </c>
      <c r="E173" s="80" t="str">
        <f>VLOOKUP($A173,'Выгр Кат'!$A:$R,E$1,0)</f>
        <v>1</v>
      </c>
      <c r="F173" s="80" t="str">
        <f>VLOOKUP($A173,'Выгр Кат'!$A:$R,F$1,0)</f>
        <v>D-160</v>
      </c>
      <c r="G173" s="80">
        <f>VLOOKUP($A173,'Выгр Кат'!$A:$R,G$1,0)</f>
        <v>0</v>
      </c>
      <c r="H173" s="67" t="s">
        <v>3</v>
      </c>
      <c r="I173" s="82">
        <v>1100</v>
      </c>
      <c r="J173" s="5">
        <f>VLOOKUP(I173,Наценка!$A$1:$G$8,2,1)</f>
        <v>1.3</v>
      </c>
      <c r="K173" s="34">
        <f>I173*J173</f>
        <v>1430</v>
      </c>
      <c r="L173" s="70">
        <f>IF(K173&lt;=1000,(ROUNDUP(K173,-1)-1),(ROUNDUP(K173,-2)-10))</f>
        <v>1490</v>
      </c>
      <c r="M173" s="80">
        <f>VLOOKUP($A173,'Выгр Кат'!$A:$R,M$1,0)</f>
        <v>1100</v>
      </c>
      <c r="N173" s="80">
        <f>VLOOKUP($A173,'Выгр Кат'!$A:$R,N$1,0)</f>
        <v>1490</v>
      </c>
      <c r="O173" s="28">
        <f>M173-I173</f>
        <v>0</v>
      </c>
      <c r="P173" s="28">
        <f>N173-L173</f>
        <v>0</v>
      </c>
      <c r="Q173" s="36">
        <f>IFERROR(L173*(1-$Q$2),"")</f>
        <v>1385.6999999999998</v>
      </c>
      <c r="R173" s="38" t="str">
        <f>IFERROR(VLOOKUP($A173,'Из Гугла'!$B:$G,6,0)*S173,VLOOKUP($A173,'Из Гугла'!$B:$G,6,0))</f>
        <v/>
      </c>
      <c r="S173" s="14">
        <v>1</v>
      </c>
      <c r="T173" s="83">
        <f>IFERROR(Q173/I173-1,"")</f>
        <v>0.25972727272727258</v>
      </c>
      <c r="U173" s="83" t="str">
        <f>IFERROR((W173-Q173)/W173,"")</f>
        <v/>
      </c>
      <c r="V173" s="83" t="str">
        <f>IFERROR(IF(W173="","",W173/I173-1),"")</f>
        <v/>
      </c>
      <c r="W173" s="84" t="s">
        <v>1269</v>
      </c>
    </row>
    <row r="174" spans="1:24" ht="30" x14ac:dyDescent="0.25">
      <c r="A174" s="80">
        <v>133240</v>
      </c>
      <c r="B174" s="80">
        <f>VLOOKUP($A174,'Выгр Кат'!$A:$R,B$1,0)</f>
        <v>24000</v>
      </c>
      <c r="C174" s="81" t="str">
        <f>VLOOKUP($A174,'Выгр Кат'!$A:$R,C$1,0)</f>
        <v>Балка дополнительного освещения "45S-4D" (LED, белый свет, круг)</v>
      </c>
      <c r="D174" s="80" t="str">
        <f>VLOOKUP($A174,'Выгр Кат'!$A:$R,D$1,0)</f>
        <v>Y</v>
      </c>
      <c r="E174" s="80" t="str">
        <f>VLOOKUP($A174,'Выгр Кат'!$A:$R,E$1,0)</f>
        <v>1</v>
      </c>
      <c r="F174" s="80" t="str">
        <f>VLOOKUP($A174,'Выгр Кат'!$A:$R,F$1,0)</f>
        <v>45S-4D</v>
      </c>
      <c r="G174" s="80">
        <f>VLOOKUP($A174,'Выгр Кат'!$A:$R,G$1,0)</f>
        <v>0</v>
      </c>
      <c r="H174" s="67" t="s">
        <v>3</v>
      </c>
      <c r="I174" s="82">
        <v>1100</v>
      </c>
      <c r="J174" s="5">
        <f>VLOOKUP(I174,Наценка!$A$1:$G$8,2,1)</f>
        <v>1.3</v>
      </c>
      <c r="K174" s="34">
        <f>I174*J174</f>
        <v>1430</v>
      </c>
      <c r="L174" s="70">
        <f>IF(K174&lt;=1000,(ROUNDUP(K174,-1)-1),(ROUNDUP(K174,-2)-10))</f>
        <v>1490</v>
      </c>
      <c r="M174" s="80">
        <f>VLOOKUP($A174,'Выгр Кат'!$A:$R,M$1,0)</f>
        <v>1100</v>
      </c>
      <c r="N174" s="80">
        <f>VLOOKUP($A174,'Выгр Кат'!$A:$R,N$1,0)</f>
        <v>1490</v>
      </c>
      <c r="O174" s="28">
        <f>M174-I174</f>
        <v>0</v>
      </c>
      <c r="P174" s="28">
        <f>N174-L174</f>
        <v>0</v>
      </c>
      <c r="Q174" s="36">
        <f>IFERROR(L174*(1-$Q$2),"")</f>
        <v>1385.6999999999998</v>
      </c>
      <c r="R174" s="38" t="str">
        <f>IFERROR(VLOOKUP($A174,'Из Гугла'!$B:$G,6,0)*S174,VLOOKUP($A174,'Из Гугла'!$B:$G,6,0))</f>
        <v/>
      </c>
      <c r="S174" s="14">
        <v>1</v>
      </c>
      <c r="T174" s="83">
        <f>IFERROR(Q174/I174-1,"")</f>
        <v>0.25972727272727258</v>
      </c>
      <c r="U174" s="83" t="str">
        <f>IFERROR((W174-Q174)/W174,"")</f>
        <v/>
      </c>
      <c r="V174" s="83" t="str">
        <f>IFERROR(IF(W174="","",W174/I174-1),"")</f>
        <v/>
      </c>
      <c r="W174" s="84" t="s">
        <v>1269</v>
      </c>
    </row>
    <row r="175" spans="1:24" ht="30" x14ac:dyDescent="0.25">
      <c r="A175" s="80">
        <v>133270</v>
      </c>
      <c r="B175" s="80">
        <f>VLOOKUP($A175,'Выгр Кат'!$A:$R,B$1,0)</f>
        <v>24039</v>
      </c>
      <c r="C175" s="81" t="str">
        <f>VLOOKUP($A175,'Выгр Кат'!$A:$R,C$1,0)</f>
        <v>Балка дополнительного освещения "HP-CTD-4D-002"</v>
      </c>
      <c r="D175" s="80" t="str">
        <f>VLOOKUP($A175,'Выгр Кат'!$A:$R,D$1,0)</f>
        <v>Y</v>
      </c>
      <c r="E175" s="80" t="str">
        <f>VLOOKUP($A175,'Выгр Кат'!$A:$R,E$1,0)</f>
        <v>1</v>
      </c>
      <c r="F175" s="80" t="str">
        <f>VLOOKUP($A175,'Выгр Кат'!$A:$R,F$1,0)</f>
        <v>HP-CTD-4D-002</v>
      </c>
      <c r="G175" s="80">
        <f>VLOOKUP($A175,'Выгр Кат'!$A:$R,G$1,0)</f>
        <v>0</v>
      </c>
      <c r="H175" s="67" t="s">
        <v>3</v>
      </c>
      <c r="I175" s="82">
        <v>1100</v>
      </c>
      <c r="J175" s="5">
        <f>VLOOKUP(I175,Наценка!$A$1:$G$8,2,1)</f>
        <v>1.3</v>
      </c>
      <c r="K175" s="34">
        <f>I175*J175</f>
        <v>1430</v>
      </c>
      <c r="L175" s="70">
        <f>IF(K175&lt;=1000,(ROUNDUP(K175,-1)-1),(ROUNDUP(K175,-2)-10))</f>
        <v>1490</v>
      </c>
      <c r="M175" s="80">
        <f>VLOOKUP($A175,'Выгр Кат'!$A:$R,M$1,0)</f>
        <v>1100</v>
      </c>
      <c r="N175" s="80">
        <f>VLOOKUP($A175,'Выгр Кат'!$A:$R,N$1,0)</f>
        <v>1490</v>
      </c>
      <c r="O175" s="28">
        <f>M175-I175</f>
        <v>0</v>
      </c>
      <c r="P175" s="28">
        <f>N175-L175</f>
        <v>0</v>
      </c>
      <c r="Q175" s="36">
        <f>IFERROR(L175*(1-$Q$2),"")</f>
        <v>1385.6999999999998</v>
      </c>
      <c r="R175" s="38" t="str">
        <f>IFERROR(VLOOKUP($A175,'Из Гугла'!$B:$G,6,0)*S175,VLOOKUP($A175,'Из Гугла'!$B:$G,6,0))</f>
        <v/>
      </c>
      <c r="S175" s="14">
        <v>1</v>
      </c>
      <c r="T175" s="83">
        <f>IFERROR(Q175/I175-1,"")</f>
        <v>0.25972727272727258</v>
      </c>
      <c r="U175" s="83" t="str">
        <f>IFERROR((W175-Q175)/W175,"")</f>
        <v/>
      </c>
      <c r="V175" s="83" t="str">
        <f>IFERROR(IF(W175="","",W175/I175-1),"")</f>
        <v/>
      </c>
      <c r="W175" s="84" t="s">
        <v>1269</v>
      </c>
    </row>
    <row r="176" spans="1:24" ht="30" x14ac:dyDescent="0.25">
      <c r="A176" s="80">
        <v>274102</v>
      </c>
      <c r="B176" s="80">
        <f>VLOOKUP($A176,'Выгр Кат'!$A:$R,B$1,0)</f>
        <v>220384</v>
      </c>
      <c r="C176" s="81" t="str">
        <f>VLOOKUP($A176,'Выгр Кат'!$A:$R,C$1,0)</f>
        <v>Светодиодные лампы "S99" H1 6000К с вентилятором охлаждения</v>
      </c>
      <c r="D176" s="80" t="str">
        <f>VLOOKUP($A176,'Выгр Кат'!$A:$R,D$1,0)</f>
        <v>Y</v>
      </c>
      <c r="E176" s="80" t="str">
        <f>VLOOKUP($A176,'Выгр Кат'!$A:$R,E$1,0)</f>
        <v>1</v>
      </c>
      <c r="F176" s="80">
        <f>VLOOKUP($A176,'Выгр Кат'!$A:$R,F$1,0)</f>
        <v>0</v>
      </c>
      <c r="G176" s="80">
        <f>VLOOKUP($A176,'Выгр Кат'!$A:$R,G$1,0)</f>
        <v>0</v>
      </c>
      <c r="H176" s="67" t="s">
        <v>3</v>
      </c>
      <c r="I176" s="82">
        <v>1150</v>
      </c>
      <c r="J176" s="5">
        <f>VLOOKUP(I176,Наценка!$A$1:$G$8,2,1)</f>
        <v>1.3</v>
      </c>
      <c r="K176" s="34">
        <f>I176*J176</f>
        <v>1495</v>
      </c>
      <c r="L176" s="70">
        <f>IF(K176&lt;=1000,(ROUNDUP(K176,-1)-1),(ROUNDUP(K176,-2)-10))</f>
        <v>1490</v>
      </c>
      <c r="M176" s="80">
        <f>VLOOKUP($A176,'Выгр Кат'!$A:$R,M$1,0)</f>
        <v>1150</v>
      </c>
      <c r="N176" s="80">
        <f>VLOOKUP($A176,'Выгр Кат'!$A:$R,N$1,0)</f>
        <v>1490</v>
      </c>
      <c r="O176" s="28">
        <f>M176-I176</f>
        <v>0</v>
      </c>
      <c r="P176" s="28">
        <f>N176-L176</f>
        <v>0</v>
      </c>
      <c r="Q176" s="36">
        <f>IFERROR(L176*(1-$Q$2),"")</f>
        <v>1385.6999999999998</v>
      </c>
      <c r="R176" s="38" t="str">
        <f>IFERROR(VLOOKUP($A176,'Из Гугла'!$B:$G,6,0)*S176,VLOOKUP($A176,'Из Гугла'!$B:$G,6,0))</f>
        <v/>
      </c>
      <c r="S176" s="14">
        <v>1</v>
      </c>
      <c r="T176" s="83">
        <f>IFERROR(Q176/I176-1,"")</f>
        <v>0.20495652173913026</v>
      </c>
      <c r="U176" s="83" t="str">
        <f>IFERROR((W176-Q176)/W176,"")</f>
        <v/>
      </c>
      <c r="V176" s="83" t="str">
        <f>IFERROR(IF(W176="","",W176/I176-1),"")</f>
        <v/>
      </c>
      <c r="W176" s="84" t="s">
        <v>1269</v>
      </c>
    </row>
    <row r="177" spans="1:24" ht="30.75" thickBot="1" x14ac:dyDescent="0.3">
      <c r="A177" s="80">
        <v>211471</v>
      </c>
      <c r="B177" s="80">
        <f>VLOOKUP($A177,'Выгр Кат'!$A:$R,B$1,0)</f>
        <v>4493</v>
      </c>
      <c r="C177" s="81" t="str">
        <f>VLOOKUP($A177,'Выгр Кат'!$A:$R,C$1,0)</f>
        <v>Руль Rtech звезды для ВАЗ</v>
      </c>
      <c r="D177" s="80" t="str">
        <f>VLOOKUP($A177,'Выгр Кат'!$A:$R,D$1,0)</f>
        <v>Y</v>
      </c>
      <c r="E177" s="80" t="str">
        <f>VLOOKUP($A177,'Выгр Кат'!$A:$R,E$1,0)</f>
        <v>1</v>
      </c>
      <c r="F177" s="80" t="str">
        <f>VLOOKUP($A177,'Выгр Кат'!$A:$R,F$1,0)</f>
        <v>13012</v>
      </c>
      <c r="G177" s="80">
        <f>VLOOKUP($A177,'Выгр Кат'!$A:$R,G$1,0)</f>
        <v>0</v>
      </c>
      <c r="H177" s="67" t="s">
        <v>3</v>
      </c>
      <c r="I177" s="82">
        <v>1200</v>
      </c>
      <c r="J177" s="5">
        <f>VLOOKUP(I177,Наценка!$A$1:$G$8,2,1)</f>
        <v>1.3</v>
      </c>
      <c r="K177" s="88">
        <f>I177*J177</f>
        <v>1560</v>
      </c>
      <c r="L177" s="70">
        <f>IF(K177&lt;=1000,(ROUNDUP(K177,-1)-1),(ROUNDUP(K177,-2)-10))</f>
        <v>1590</v>
      </c>
      <c r="M177" s="80">
        <f>VLOOKUP($A177,'Выгр Кат'!$A:$R,M$1,0)</f>
        <v>1200</v>
      </c>
      <c r="N177" s="80">
        <f>VLOOKUP($A177,'Выгр Кат'!$A:$R,N$1,0)</f>
        <v>1590</v>
      </c>
      <c r="O177" s="28">
        <f>M177-I177</f>
        <v>0</v>
      </c>
      <c r="P177" s="28">
        <f>N177-L177</f>
        <v>0</v>
      </c>
      <c r="Q177" s="36">
        <f>IFERROR(L177*(1-$Q$2),"")</f>
        <v>1478.6999999999998</v>
      </c>
      <c r="R177" s="38" t="str">
        <f>IFERROR(VLOOKUP($A177,'Из Гугла'!$B:$G,6,0)*S177,VLOOKUP($A177,'Из Гугла'!$B:$G,6,0))</f>
        <v/>
      </c>
      <c r="S177" s="14">
        <v>1</v>
      </c>
      <c r="T177" s="83">
        <f>IFERROR(Q177/I177-1,"")</f>
        <v>0.23224999999999985</v>
      </c>
      <c r="U177" s="83" t="str">
        <f>IFERROR((W177-Q177)/W177,"")</f>
        <v/>
      </c>
      <c r="V177" s="83" t="str">
        <f>IFERROR(IF(W177="","",W177/I177-1),"")</f>
        <v/>
      </c>
      <c r="W177" s="94" t="s">
        <v>1269</v>
      </c>
    </row>
    <row r="178" spans="1:24" ht="30.75" thickTop="1" x14ac:dyDescent="0.25">
      <c r="A178" s="80">
        <v>211449</v>
      </c>
      <c r="B178" s="80">
        <f>VLOOKUP($A178,'Выгр Кат'!$A:$R,B$1,0)</f>
        <v>13720</v>
      </c>
      <c r="C178" s="81" t="str">
        <f>VLOOKUP($A178,'Выгр Кат'!$A:$R,C$1,0)</f>
        <v>Руль F1 "MOMO" анатомической формы для ВАЗ</v>
      </c>
      <c r="D178" s="80" t="str">
        <f>VLOOKUP($A178,'Выгр Кат'!$A:$R,D$1,0)</f>
        <v>Y</v>
      </c>
      <c r="E178" s="80" t="str">
        <f>VLOOKUP($A178,'Выгр Кат'!$A:$R,E$1,0)</f>
        <v>1</v>
      </c>
      <c r="F178" s="80" t="str">
        <f>VLOOKUP($A178,'Выгр Кат'!$A:$R,F$1,0)</f>
        <v>5150A+PVC+черный</v>
      </c>
      <c r="G178" s="80">
        <f>VLOOKUP($A178,'Выгр Кат'!$A:$R,G$1,0)</f>
        <v>0</v>
      </c>
      <c r="H178" s="67" t="s">
        <v>3</v>
      </c>
      <c r="I178" s="82">
        <v>1200</v>
      </c>
      <c r="J178" s="5">
        <f>VLOOKUP(I178,Наценка!$A$1:$G$8,2,1)</f>
        <v>1.3</v>
      </c>
      <c r="K178" s="34">
        <f>I178*J178</f>
        <v>1560</v>
      </c>
      <c r="L178" s="70">
        <f>IF(K178&lt;=1000,(ROUNDUP(K178,-1)-1),(ROUNDUP(K178,-2)-10))</f>
        <v>1590</v>
      </c>
      <c r="M178" s="80">
        <f>VLOOKUP($A178,'Выгр Кат'!$A:$R,M$1,0)</f>
        <v>1200</v>
      </c>
      <c r="N178" s="80">
        <f>VLOOKUP($A178,'Выгр Кат'!$A:$R,N$1,0)</f>
        <v>1590</v>
      </c>
      <c r="O178" s="28">
        <f>M178-I178</f>
        <v>0</v>
      </c>
      <c r="P178" s="28">
        <f>N178-L178</f>
        <v>0</v>
      </c>
      <c r="Q178" s="36">
        <f>IFERROR(L178*(1-$Q$2),"")</f>
        <v>1478.6999999999998</v>
      </c>
      <c r="R178" s="38" t="str">
        <f>IFERROR(VLOOKUP($A178,'Из Гугла'!$B:$G,6,0)*S178,VLOOKUP($A178,'Из Гугла'!$B:$G,6,0))</f>
        <v/>
      </c>
      <c r="S178" s="14">
        <v>1</v>
      </c>
      <c r="T178" s="83">
        <f>IFERROR(Q178/I178-1,"")</f>
        <v>0.23224999999999985</v>
      </c>
      <c r="U178" s="83" t="str">
        <f>IFERROR((W178-Q178)/W178,"")</f>
        <v/>
      </c>
      <c r="V178" s="83" t="str">
        <f>IFERROR(IF(W178="","",W178/I178-1),"")</f>
        <v/>
      </c>
      <c r="W178" s="84" t="s">
        <v>1269</v>
      </c>
    </row>
    <row r="179" spans="1:24" ht="30" x14ac:dyDescent="0.25">
      <c r="A179" s="80">
        <v>211472</v>
      </c>
      <c r="B179" s="80">
        <f>VLOOKUP($A179,'Выгр Кат'!$A:$R,B$1,0)</f>
        <v>21868</v>
      </c>
      <c r="C179" s="81" t="str">
        <f>VLOOKUP($A179,'Выгр Кат'!$A:$R,C$1,0)</f>
        <v>Руль Rtech пламя (жёлтый) для ВАЗ</v>
      </c>
      <c r="D179" s="80" t="str">
        <f>VLOOKUP($A179,'Выгр Кат'!$A:$R,D$1,0)</f>
        <v>Y</v>
      </c>
      <c r="E179" s="80" t="str">
        <f>VLOOKUP($A179,'Выгр Кат'!$A:$R,E$1,0)</f>
        <v>1</v>
      </c>
      <c r="F179" s="80" t="str">
        <f>VLOOKUP($A179,'Выгр Кат'!$A:$R,F$1,0)</f>
        <v>13076+жёлтый</v>
      </c>
      <c r="G179" s="80">
        <f>VLOOKUP($A179,'Выгр Кат'!$A:$R,G$1,0)</f>
        <v>0</v>
      </c>
      <c r="H179" s="67" t="s">
        <v>3</v>
      </c>
      <c r="I179" s="82">
        <v>1200</v>
      </c>
      <c r="J179" s="5">
        <f>VLOOKUP(I179,Наценка!$A$1:$G$8,2,1)</f>
        <v>1.3</v>
      </c>
      <c r="K179" s="34">
        <f>I179*J179</f>
        <v>1560</v>
      </c>
      <c r="L179" s="70">
        <f>IF(K179&lt;=1000,(ROUNDUP(K179,-1)-1),(ROUNDUP(K179,-2)-10))</f>
        <v>1590</v>
      </c>
      <c r="M179" s="80">
        <f>VLOOKUP($A179,'Выгр Кат'!$A:$R,M$1,0)</f>
        <v>1200</v>
      </c>
      <c r="N179" s="80">
        <f>VLOOKUP($A179,'Выгр Кат'!$A:$R,N$1,0)</f>
        <v>1590</v>
      </c>
      <c r="O179" s="28">
        <f>M179-I179</f>
        <v>0</v>
      </c>
      <c r="P179" s="28">
        <f>N179-L179</f>
        <v>0</v>
      </c>
      <c r="Q179" s="36">
        <f>IFERROR(L179*(1-$Q$2),"")</f>
        <v>1478.6999999999998</v>
      </c>
      <c r="R179" s="38" t="str">
        <f>IFERROR(VLOOKUP($A179,'Из Гугла'!$B:$G,6,0)*S179,VLOOKUP($A179,'Из Гугла'!$B:$G,6,0))</f>
        <v/>
      </c>
      <c r="S179" s="14">
        <v>1</v>
      </c>
      <c r="T179" s="83">
        <f>IFERROR(Q179/I179-1,"")</f>
        <v>0.23224999999999985</v>
      </c>
      <c r="U179" s="83" t="str">
        <f>IFERROR((W179-Q179)/W179,"")</f>
        <v/>
      </c>
      <c r="V179" s="83" t="str">
        <f>IFERROR(IF(W179="","",W179/I179-1),"")</f>
        <v/>
      </c>
      <c r="W179" s="84" t="s">
        <v>1269</v>
      </c>
    </row>
    <row r="180" spans="1:24" ht="30" x14ac:dyDescent="0.25">
      <c r="A180" s="80">
        <v>211451</v>
      </c>
      <c r="B180" s="80">
        <f>VLOOKUP($A180,'Выгр Кат'!$A:$R,B$1,0)</f>
        <v>13719</v>
      </c>
      <c r="C180" s="81" t="str">
        <f>VLOOKUP($A180,'Выгр Кат'!$A:$R,C$1,0)</f>
        <v>Руль F1 "MOMO" анатомической формы для ВАЗ</v>
      </c>
      <c r="D180" s="80" t="str">
        <f>VLOOKUP($A180,'Выгр Кат'!$A:$R,D$1,0)</f>
        <v>Y</v>
      </c>
      <c r="E180" s="80" t="str">
        <f>VLOOKUP($A180,'Выгр Кат'!$A:$R,E$1,0)</f>
        <v>1</v>
      </c>
      <c r="F180" s="80" t="str">
        <f>VLOOKUP($A180,'Выгр Кат'!$A:$R,F$1,0)</f>
        <v>5155+PVC+черный</v>
      </c>
      <c r="G180" s="80">
        <f>VLOOKUP($A180,'Выгр Кат'!$A:$R,G$1,0)</f>
        <v>0</v>
      </c>
      <c r="H180" s="67" t="s">
        <v>3</v>
      </c>
      <c r="I180" s="82">
        <v>1200</v>
      </c>
      <c r="J180" s="5">
        <f>VLOOKUP(I180,Наценка!$A$1:$G$8,2,1)</f>
        <v>1.3</v>
      </c>
      <c r="K180" s="34">
        <f>I180*J180</f>
        <v>1560</v>
      </c>
      <c r="L180" s="70">
        <f>IF(K180&lt;=1000,(ROUNDUP(K180,-1)-1),(ROUNDUP(K180,-2)-10))</f>
        <v>1590</v>
      </c>
      <c r="M180" s="80">
        <f>VLOOKUP($A180,'Выгр Кат'!$A:$R,M$1,0)</f>
        <v>1200</v>
      </c>
      <c r="N180" s="80">
        <f>VLOOKUP($A180,'Выгр Кат'!$A:$R,N$1,0)</f>
        <v>1590</v>
      </c>
      <c r="O180" s="28">
        <f>M180-I180</f>
        <v>0</v>
      </c>
      <c r="P180" s="28">
        <f>N180-L180</f>
        <v>0</v>
      </c>
      <c r="Q180" s="36">
        <f>IFERROR(L180*(1-$Q$2),"")</f>
        <v>1478.6999999999998</v>
      </c>
      <c r="R180" s="38" t="str">
        <f>IFERROR(VLOOKUP($A180,'Из Гугла'!$B:$G,6,0)*S180,VLOOKUP($A180,'Из Гугла'!$B:$G,6,0))</f>
        <v/>
      </c>
      <c r="S180" s="14">
        <v>1</v>
      </c>
      <c r="T180" s="83">
        <f>IFERROR(Q180/I180-1,"")</f>
        <v>0.23224999999999985</v>
      </c>
      <c r="U180" s="83" t="str">
        <f>IFERROR((W180-Q180)/W180,"")</f>
        <v/>
      </c>
      <c r="V180" s="83" t="str">
        <f>IFERROR(IF(W180="","",W180/I180-1),"")</f>
        <v/>
      </c>
      <c r="W180" s="84" t="s">
        <v>1269</v>
      </c>
    </row>
    <row r="181" spans="1:24" ht="30" x14ac:dyDescent="0.25">
      <c r="A181" s="80">
        <v>211439</v>
      </c>
      <c r="B181" s="80">
        <f>VLOOKUP($A181,'Выгр Кат'!$A:$R,B$1,0)</f>
        <v>13722</v>
      </c>
      <c r="C181" s="81" t="str">
        <f>VLOOKUP($A181,'Выгр Кат'!$A:$R,C$1,0)</f>
        <v>Руль "RTech MOMO" анатомической формы для ВАЗ "13 звезда"</v>
      </c>
      <c r="D181" s="80" t="str">
        <f>VLOOKUP($A181,'Выгр Кат'!$A:$R,D$1,0)</f>
        <v>Y</v>
      </c>
      <c r="E181" s="80" t="str">
        <f>VLOOKUP($A181,'Выгр Кат'!$A:$R,E$1,0)</f>
        <v>1</v>
      </c>
      <c r="F181" s="80">
        <f>VLOOKUP($A181,'Выгр Кат'!$A:$R,F$1,0)</f>
        <v>0</v>
      </c>
      <c r="G181" s="80">
        <f>VLOOKUP($A181,'Выгр Кат'!$A:$R,G$1,0)</f>
        <v>0</v>
      </c>
      <c r="H181" s="67" t="s">
        <v>3</v>
      </c>
      <c r="I181" s="82">
        <v>1200</v>
      </c>
      <c r="J181" s="5">
        <f>VLOOKUP(I181,Наценка!$A$1:$G$8,2,1)</f>
        <v>1.3</v>
      </c>
      <c r="K181" s="34">
        <f>I181*J181</f>
        <v>1560</v>
      </c>
      <c r="L181" s="70">
        <f>IF(K181&lt;=1000,(ROUNDUP(K181,-1)-1),(ROUNDUP(K181,-2)-10))</f>
        <v>1590</v>
      </c>
      <c r="M181" s="80">
        <f>VLOOKUP($A181,'Выгр Кат'!$A:$R,M$1,0)</f>
        <v>1200</v>
      </c>
      <c r="N181" s="80">
        <f>VLOOKUP($A181,'Выгр Кат'!$A:$R,N$1,0)</f>
        <v>1590</v>
      </c>
      <c r="O181" s="28">
        <f>M181-I181</f>
        <v>0</v>
      </c>
      <c r="P181" s="28">
        <f>N181-L181</f>
        <v>0</v>
      </c>
      <c r="Q181" s="36">
        <f>IFERROR(L181*(1-$Q$2),"")</f>
        <v>1478.6999999999998</v>
      </c>
      <c r="R181" s="38" t="str">
        <f>IFERROR(VLOOKUP($A181,'Из Гугла'!$B:$G,6,0)*S181,VLOOKUP($A181,'Из Гугла'!$B:$G,6,0))</f>
        <v/>
      </c>
      <c r="S181" s="14">
        <v>1</v>
      </c>
      <c r="T181" s="83">
        <f>IFERROR(Q181/I181-1,"")</f>
        <v>0.23224999999999985</v>
      </c>
      <c r="U181" s="83" t="str">
        <f>IFERROR((W181-Q181)/W181,"")</f>
        <v/>
      </c>
      <c r="V181" s="83" t="str">
        <f>IFERROR(IF(W181="","",W181/I181-1),"")</f>
        <v/>
      </c>
      <c r="W181" s="84" t="s">
        <v>1269</v>
      </c>
    </row>
    <row r="182" spans="1:24" ht="30" x14ac:dyDescent="0.25">
      <c r="A182" s="80">
        <v>211458</v>
      </c>
      <c r="B182" s="80">
        <f>VLOOKUP($A182,'Выгр Кат'!$A:$R,B$1,0)</f>
        <v>4487</v>
      </c>
      <c r="C182" s="81" t="str">
        <f>VLOOKUP($A182,'Выгр Кат'!$A:$R,C$1,0)</f>
        <v>Руль R1 EvoX для ВАЗ</v>
      </c>
      <c r="D182" s="80" t="str">
        <f>VLOOKUP($A182,'Выгр Кат'!$A:$R,D$1,0)</f>
        <v>Y</v>
      </c>
      <c r="E182" s="80" t="str">
        <f>VLOOKUP($A182,'Выгр Кат'!$A:$R,E$1,0)</f>
        <v>1</v>
      </c>
      <c r="F182" s="80" t="str">
        <f>VLOOKUP($A182,'Выгр Кат'!$A:$R,F$1,0)</f>
        <v>5155</v>
      </c>
      <c r="G182" s="80">
        <f>VLOOKUP($A182,'Выгр Кат'!$A:$R,G$1,0)</f>
        <v>0</v>
      </c>
      <c r="H182" s="67" t="s">
        <v>3</v>
      </c>
      <c r="I182" s="82">
        <v>1200</v>
      </c>
      <c r="J182" s="5">
        <f>VLOOKUP(I182,Наценка!$A$1:$G$8,2,1)</f>
        <v>1.3</v>
      </c>
      <c r="K182" s="34">
        <f>I182*J182</f>
        <v>1560</v>
      </c>
      <c r="L182" s="70">
        <f>IF(K182&lt;=1000,(ROUNDUP(K182,-1)-1),(ROUNDUP(K182,-2)-10))</f>
        <v>1590</v>
      </c>
      <c r="M182" s="80">
        <f>VLOOKUP($A182,'Выгр Кат'!$A:$R,M$1,0)</f>
        <v>1200</v>
      </c>
      <c r="N182" s="80">
        <f>VLOOKUP($A182,'Выгр Кат'!$A:$R,N$1,0)</f>
        <v>1590</v>
      </c>
      <c r="O182" s="28">
        <f>M182-I182</f>
        <v>0</v>
      </c>
      <c r="P182" s="28">
        <f>N182-L182</f>
        <v>0</v>
      </c>
      <c r="Q182" s="36">
        <f>IFERROR(L182*(1-$Q$2),"")</f>
        <v>1478.6999999999998</v>
      </c>
      <c r="R182" s="38" t="str">
        <f>IFERROR(VLOOKUP($A182,'Из Гугла'!$B:$G,6,0)*S182,VLOOKUP($A182,'Из Гугла'!$B:$G,6,0))</f>
        <v/>
      </c>
      <c r="S182" s="14">
        <v>1</v>
      </c>
      <c r="T182" s="83">
        <f>IFERROR(Q182/I182-1,"")</f>
        <v>0.23224999999999985</v>
      </c>
      <c r="U182" s="83" t="str">
        <f>IFERROR((W182-Q182)/W182,"")</f>
        <v/>
      </c>
      <c r="V182" s="83" t="str">
        <f>IFERROR(IF(W182="","",W182/I182-1),"")</f>
        <v/>
      </c>
      <c r="W182" s="84" t="s">
        <v>1269</v>
      </c>
    </row>
    <row r="183" spans="1:24" ht="30" x14ac:dyDescent="0.25">
      <c r="A183" s="80">
        <v>223104</v>
      </c>
      <c r="B183" s="80">
        <f>VLOOKUP($A183,'Выгр Кат'!$A:$R,B$1,0)</f>
        <v>8298</v>
      </c>
      <c r="C183" s="81" t="str">
        <f>VLOOKUP($A183,'Выгр Кат'!$A:$R,C$1,0)</f>
        <v>Универсальные ПТФ "DLAA" PL99W белые</v>
      </c>
      <c r="D183" s="80" t="str">
        <f>VLOOKUP($A183,'Выгр Кат'!$A:$R,D$1,0)</f>
        <v>Y</v>
      </c>
      <c r="E183" s="80" t="str">
        <f>VLOOKUP($A183,'Выгр Кат'!$A:$R,E$1,0)</f>
        <v>1</v>
      </c>
      <c r="F183" s="80" t="str">
        <f>VLOOKUP($A183,'Выгр Кат'!$A:$R,F$1,0)</f>
        <v>PL99W</v>
      </c>
      <c r="G183" s="80">
        <f>VLOOKUP($A183,'Выгр Кат'!$A:$R,G$1,0)</f>
        <v>0</v>
      </c>
      <c r="H183" s="67" t="s">
        <v>3</v>
      </c>
      <c r="I183" s="82">
        <v>1200</v>
      </c>
      <c r="J183" s="5">
        <f>VLOOKUP(I183,Наценка!$A$1:$G$8,2,1)</f>
        <v>1.3</v>
      </c>
      <c r="K183" s="34">
        <f>I183*J183</f>
        <v>1560</v>
      </c>
      <c r="L183" s="70">
        <f>IF(K183&lt;=1000,(ROUNDUP(K183,-1)-1),(ROUNDUP(K183,-2)-10))</f>
        <v>1590</v>
      </c>
      <c r="M183" s="80">
        <f>VLOOKUP($A183,'Выгр Кат'!$A:$R,M$1,0)</f>
        <v>1200</v>
      </c>
      <c r="N183" s="80">
        <f>VLOOKUP($A183,'Выгр Кат'!$A:$R,N$1,0)</f>
        <v>1590</v>
      </c>
      <c r="O183" s="28">
        <f>M183-I183</f>
        <v>0</v>
      </c>
      <c r="P183" s="28">
        <f>N183-L183</f>
        <v>0</v>
      </c>
      <c r="Q183" s="36">
        <f>IFERROR(L183*(1-$Q$2),"")</f>
        <v>1478.6999999999998</v>
      </c>
      <c r="R183" s="38" t="str">
        <f>IFERROR(VLOOKUP($A183,'Из Гугла'!$B:$G,6,0)*S183,VLOOKUP($A183,'Из Гугла'!$B:$G,6,0))</f>
        <v/>
      </c>
      <c r="S183" s="14">
        <v>1</v>
      </c>
      <c r="T183" s="83">
        <f>IFERROR(Q183/I183-1,"")</f>
        <v>0.23224999999999985</v>
      </c>
      <c r="U183" s="83" t="str">
        <f>IFERROR((W183-Q183)/W183,"")</f>
        <v/>
      </c>
      <c r="V183" s="83" t="str">
        <f>IFERROR(IF(W183="","",W183/I183-1),"")</f>
        <v/>
      </c>
      <c r="W183" s="84" t="s">
        <v>1269</v>
      </c>
    </row>
    <row r="184" spans="1:24" ht="45" x14ac:dyDescent="0.25">
      <c r="A184" s="80">
        <v>201761</v>
      </c>
      <c r="B184" s="80">
        <f>VLOOKUP($A184,'Выгр Кат'!$A:$R,B$1,0)</f>
        <v>10228</v>
      </c>
      <c r="C184" s="81" t="str">
        <f>VLOOKUP($A184,'Выгр Кат'!$A:$R,C$1,0)</f>
        <v>Противотуманные фары "Линза" под бампер нового образца для Лада Гранта</v>
      </c>
      <c r="D184" s="80" t="str">
        <f>VLOOKUP($A184,'Выгр Кат'!$A:$R,D$1,0)</f>
        <v>Y</v>
      </c>
      <c r="E184" s="80" t="str">
        <f>VLOOKUP($A184,'Выгр Кат'!$A:$R,E$1,0)</f>
        <v>1</v>
      </c>
      <c r="F184" s="80">
        <f>VLOOKUP($A184,'Выгр Кат'!$A:$R,F$1,0)</f>
        <v>0</v>
      </c>
      <c r="G184" s="80" t="str">
        <f>VLOOKUP($A184,'Выгр Кат'!$A:$R,G$1,0)</f>
        <v>https://motorring.ru/product/14680-protivotumannye-fary-linzoy-ld-271-ramkami-lada-granta</v>
      </c>
      <c r="H184" s="67" t="s">
        <v>3</v>
      </c>
      <c r="I184" s="82">
        <v>1200</v>
      </c>
      <c r="J184" s="5">
        <f>VLOOKUP(I184,Наценка!$A$1:$G$8,2,1)</f>
        <v>1.3</v>
      </c>
      <c r="K184" s="55">
        <f>W184*1.04</f>
        <v>1965.6000000000001</v>
      </c>
      <c r="L184" s="70">
        <f>IF(K184&lt;=1000,(ROUNDUP(K184,-1)-1),(ROUNDUP(K184,-2)-10))</f>
        <v>1990</v>
      </c>
      <c r="M184" s="80">
        <f>VLOOKUP($A184,'Выгр Кат'!$A:$R,M$1,0)</f>
        <v>1200</v>
      </c>
      <c r="N184" s="80">
        <f>VLOOKUP($A184,'Выгр Кат'!$A:$R,N$1,0)</f>
        <v>1990</v>
      </c>
      <c r="O184" s="28">
        <f>M184-I184</f>
        <v>0</v>
      </c>
      <c r="P184" s="28">
        <f>N184-L184</f>
        <v>0</v>
      </c>
      <c r="Q184" s="36">
        <f>IFERROR(L184*(1-$Q$2),"")</f>
        <v>1850.6999999999998</v>
      </c>
      <c r="R184" s="38">
        <f>IFERROR(VLOOKUP($A184,'Из Гугла'!$B:$G,6,0)*S184,VLOOKUP($A184,'Из Гугла'!$B:$G,6,0))</f>
        <v>1890</v>
      </c>
      <c r="S184" s="14">
        <v>1</v>
      </c>
      <c r="T184" s="83">
        <f>IFERROR(Q184/I184-1,"")</f>
        <v>0.5422499999999999</v>
      </c>
      <c r="U184" s="83">
        <f>IFERROR((W184-Q184)/W184,"")</f>
        <v>2.0793650793650888E-2</v>
      </c>
      <c r="V184" s="83">
        <f>IFERROR(IF(W184="","",W184/I184-1),"")</f>
        <v>0.57499999999999996</v>
      </c>
      <c r="W184" s="93">
        <v>1890</v>
      </c>
      <c r="X184" s="71" t="s">
        <v>844</v>
      </c>
    </row>
    <row r="185" spans="1:24" ht="30" x14ac:dyDescent="0.25">
      <c r="A185" s="80">
        <v>211450</v>
      </c>
      <c r="B185" s="80">
        <f>VLOOKUP($A185,'Выгр Кат'!$A:$R,B$1,0)</f>
        <v>13717</v>
      </c>
      <c r="C185" s="81" t="str">
        <f>VLOOKUP($A185,'Выгр Кат'!$A:$R,C$1,0)</f>
        <v>Руль F1 "MOMO" анатомической формы для ВАЗ</v>
      </c>
      <c r="D185" s="80" t="str">
        <f>VLOOKUP($A185,'Выгр Кат'!$A:$R,D$1,0)</f>
        <v>Y</v>
      </c>
      <c r="E185" s="80" t="str">
        <f>VLOOKUP($A185,'Выгр Кат'!$A:$R,E$1,0)</f>
        <v>1</v>
      </c>
      <c r="F185" s="80" t="str">
        <f>VLOOKUP($A185,'Выгр Кат'!$A:$R,F$1,0)</f>
        <v>5150B+PVC+черный</v>
      </c>
      <c r="G185" s="80">
        <f>VLOOKUP($A185,'Выгр Кат'!$A:$R,G$1,0)</f>
        <v>0</v>
      </c>
      <c r="H185" s="67" t="s">
        <v>3</v>
      </c>
      <c r="I185" s="82">
        <v>1200</v>
      </c>
      <c r="J185" s="5">
        <f>VLOOKUP(I185,Наценка!$A$1:$G$8,2,1)</f>
        <v>1.3</v>
      </c>
      <c r="K185" s="88">
        <f>I185*J185</f>
        <v>1560</v>
      </c>
      <c r="L185" s="70">
        <f>IF(K185&lt;=1000,(ROUNDUP(K185,-1)-1),(ROUNDUP(K185,-2)-10))</f>
        <v>1590</v>
      </c>
      <c r="M185" s="80">
        <f>VLOOKUP($A185,'Выгр Кат'!$A:$R,M$1,0)</f>
        <v>1200</v>
      </c>
      <c r="N185" s="80">
        <f>VLOOKUP($A185,'Выгр Кат'!$A:$R,N$1,0)</f>
        <v>1590</v>
      </c>
      <c r="O185" s="28">
        <f>M185-I185</f>
        <v>0</v>
      </c>
      <c r="P185" s="28">
        <f>N185-L185</f>
        <v>0</v>
      </c>
      <c r="Q185" s="36">
        <f>IFERROR(L185*(1-$Q$2),"")</f>
        <v>1478.6999999999998</v>
      </c>
      <c r="R185" s="38" t="str">
        <f>IFERROR(VLOOKUP($A185,'Из Гугла'!$B:$G,6,0)*S185,VLOOKUP($A185,'Из Гугла'!$B:$G,6,0))</f>
        <v/>
      </c>
      <c r="S185" s="14">
        <v>1</v>
      </c>
      <c r="T185" s="83">
        <f>IFERROR(Q185/I185-1,"")</f>
        <v>0.23224999999999985</v>
      </c>
      <c r="U185" s="83" t="str">
        <f>IFERROR((W185-Q185)/W185,"")</f>
        <v/>
      </c>
      <c r="V185" s="83" t="str">
        <f>IFERROR(IF(W185="","",W185/I185-1),"")</f>
        <v/>
      </c>
      <c r="W185" s="84" t="s">
        <v>1269</v>
      </c>
    </row>
    <row r="186" spans="1:24" ht="45" x14ac:dyDescent="0.25">
      <c r="A186" s="80">
        <v>202662</v>
      </c>
      <c r="B186" s="80">
        <f>VLOOKUP($A186,'Выгр Кат'!$A:$R,B$1,0)</f>
        <v>16932</v>
      </c>
      <c r="C186" s="81" t="str">
        <f>VLOOKUP($A186,'Выгр Кат'!$A:$R,C$1,0)</f>
        <v>Рамки противотуманных фар "Линза" под бампер нового образца для Лада Гранта</v>
      </c>
      <c r="D186" s="80" t="str">
        <f>VLOOKUP($A186,'Выгр Кат'!$A:$R,D$1,0)</f>
        <v>Y</v>
      </c>
      <c r="E186" s="80" t="str">
        <f>VLOOKUP($A186,'Выгр Кат'!$A:$R,E$1,0)</f>
        <v>1</v>
      </c>
      <c r="F186" s="80">
        <f>VLOOKUP($A186,'Выгр Кат'!$A:$R,F$1,0)</f>
        <v>0</v>
      </c>
      <c r="G186" s="80">
        <f>VLOOKUP($A186,'Выгр Кат'!$A:$R,G$1,0)</f>
        <v>0</v>
      </c>
      <c r="H186" s="67" t="s">
        <v>3</v>
      </c>
      <c r="I186" s="82">
        <v>1200</v>
      </c>
      <c r="J186" s="5">
        <f>VLOOKUP(I186,Наценка!$A$1:$G$8,2,1)</f>
        <v>1.3</v>
      </c>
      <c r="K186" s="34">
        <f>I186*J186</f>
        <v>1560</v>
      </c>
      <c r="L186" s="70">
        <f>IF(K186&lt;=1000,(ROUNDUP(K186,-1)-1),(ROUNDUP(K186,-2)-10))</f>
        <v>1590</v>
      </c>
      <c r="M186" s="80">
        <f>VLOOKUP($A186,'Выгр Кат'!$A:$R,M$1,0)</f>
        <v>1200</v>
      </c>
      <c r="N186" s="80">
        <f>VLOOKUP($A186,'Выгр Кат'!$A:$R,N$1,0)</f>
        <v>1590</v>
      </c>
      <c r="O186" s="28">
        <f>M186-I186</f>
        <v>0</v>
      </c>
      <c r="P186" s="28">
        <f>N186-L186</f>
        <v>0</v>
      </c>
      <c r="Q186" s="36">
        <f>IFERROR(L186*(1-$Q$2),"")</f>
        <v>1478.6999999999998</v>
      </c>
      <c r="R186" s="38" t="str">
        <f>IFERROR(VLOOKUP($A186,'Из Гугла'!$B:$G,6,0)*S186,VLOOKUP($A186,'Из Гугла'!$B:$G,6,0))</f>
        <v/>
      </c>
      <c r="S186" s="14">
        <v>1</v>
      </c>
      <c r="T186" s="83">
        <f>IFERROR(Q186/I186-1,"")</f>
        <v>0.23224999999999985</v>
      </c>
      <c r="U186" s="83" t="str">
        <f>IFERROR((W186-Q186)/W186,"")</f>
        <v/>
      </c>
      <c r="V186" s="83" t="str">
        <f>IFERROR(IF(W186="","",W186/I186-1),"")</f>
        <v/>
      </c>
      <c r="W186" s="84" t="s">
        <v>1435</v>
      </c>
    </row>
    <row r="187" spans="1:24" ht="30" x14ac:dyDescent="0.25">
      <c r="A187" s="80">
        <v>211421</v>
      </c>
      <c r="B187" s="80">
        <f>VLOOKUP($A187,'Выгр Кат'!$A:$R,B$1,0)</f>
        <v>18947</v>
      </c>
      <c r="C187" s="81" t="str">
        <f>VLOOKUP($A187,'Выгр Кат'!$A:$R,C$1,0)</f>
        <v>Руль "F-1" клепаный низ (малый вылет) красный</v>
      </c>
      <c r="D187" s="80" t="str">
        <f>VLOOKUP($A187,'Выгр Кат'!$A:$R,D$1,0)</f>
        <v>Y</v>
      </c>
      <c r="E187" s="80" t="str">
        <f>VLOOKUP($A187,'Выгр Кат'!$A:$R,E$1,0)</f>
        <v>1</v>
      </c>
      <c r="F187" s="80" t="str">
        <f>VLOOKUP($A187,'Выгр Кат'!$A:$R,F$1,0)</f>
        <v>4156H+PVC+красный</v>
      </c>
      <c r="G187" s="80">
        <f>VLOOKUP($A187,'Выгр Кат'!$A:$R,G$1,0)</f>
        <v>0</v>
      </c>
      <c r="H187" s="67" t="s">
        <v>3</v>
      </c>
      <c r="I187" s="82">
        <v>1200</v>
      </c>
      <c r="J187" s="5">
        <f>VLOOKUP(I187,Наценка!$A$1:$G$8,2,1)</f>
        <v>1.3</v>
      </c>
      <c r="K187" s="34">
        <f>I187*J187</f>
        <v>1560</v>
      </c>
      <c r="L187" s="70">
        <f>IF(K187&lt;=1000,(ROUNDUP(K187,-1)-1),(ROUNDUP(K187,-2)-10))</f>
        <v>1590</v>
      </c>
      <c r="M187" s="80">
        <f>VLOOKUP($A187,'Выгр Кат'!$A:$R,M$1,0)</f>
        <v>1200</v>
      </c>
      <c r="N187" s="80">
        <f>VLOOKUP($A187,'Выгр Кат'!$A:$R,N$1,0)</f>
        <v>1590</v>
      </c>
      <c r="O187" s="28">
        <f>M187-I187</f>
        <v>0</v>
      </c>
      <c r="P187" s="28">
        <f>N187-L187</f>
        <v>0</v>
      </c>
      <c r="Q187" s="36">
        <f>IFERROR(L187*(1-$Q$2),"")</f>
        <v>1478.6999999999998</v>
      </c>
      <c r="R187" s="38" t="str">
        <f>IFERROR(VLOOKUP($A187,'Из Гугла'!$B:$G,6,0)*S187,VLOOKUP($A187,'Из Гугла'!$B:$G,6,0))</f>
        <v/>
      </c>
      <c r="S187" s="14">
        <v>1</v>
      </c>
      <c r="T187" s="83">
        <f>IFERROR(Q187/I187-1,"")</f>
        <v>0.23224999999999985</v>
      </c>
      <c r="U187" s="83" t="str">
        <f>IFERROR((W187-Q187)/W187,"")</f>
        <v/>
      </c>
      <c r="V187" s="83" t="str">
        <f>IFERROR(IF(W187="","",W187/I187-1),"")</f>
        <v/>
      </c>
      <c r="W187" s="84" t="s">
        <v>1269</v>
      </c>
    </row>
    <row r="188" spans="1:24" ht="105" x14ac:dyDescent="0.25">
      <c r="A188" s="80">
        <v>201753</v>
      </c>
      <c r="B188" s="80">
        <f>VLOOKUP($A188,'Выгр Кат'!$A:$R,B$1,0)</f>
        <v>23928</v>
      </c>
      <c r="C188" s="81" t="str">
        <f>VLOOKUP($A188,'Выгр Кат'!$A:$R,C$1,0)</f>
        <v>Противотуманные фары "LD-673" для Лада (Нива 4х4 Урбан, Гранта FL, Веста, XRAY), Renault (Duster, Logan, Sandero, Clio, Kaptur, Fluence, Kangoo, Koleos, Scenic, Grand Scenic, Megane, Laguna, Symbol) Suzuki (Swift, Grand Vitara), Citroen (Caprice, Lumina,</v>
      </c>
      <c r="D188" s="80" t="str">
        <f>VLOOKUP($A188,'Выгр Кат'!$A:$R,D$1,0)</f>
        <v>Y</v>
      </c>
      <c r="E188" s="80" t="str">
        <f>VLOOKUP($A188,'Выгр Кат'!$A:$R,E$1,0)</f>
        <v>1</v>
      </c>
      <c r="F188" s="80" t="str">
        <f>VLOOKUP($A188,'Выгр Кат'!$A:$R,F$1,0)</f>
        <v>LD-673</v>
      </c>
      <c r="G188" s="80" t="str">
        <f>VLOOKUP($A188,'Выгр Кат'!$A:$R,G$1,0)</f>
        <v>https://motorring.ru/product/20616-protivotumannye-fary-ld-673-lada-vesta-iks-rey-granta-niva</v>
      </c>
      <c r="H188" s="67" t="s">
        <v>3</v>
      </c>
      <c r="I188" s="82">
        <v>1200</v>
      </c>
      <c r="J188" s="5">
        <f>VLOOKUP(I188,Наценка!$A$1:$G$8,2,1)</f>
        <v>1.3</v>
      </c>
      <c r="K188" s="89">
        <f>W188*1.07</f>
        <v>1594.3000000000002</v>
      </c>
      <c r="L188" s="70">
        <f>IF(K188&lt;=1000,(ROUNDUP(K188,-1)-1),(ROUNDUP(K188,-2)-10))</f>
        <v>1590</v>
      </c>
      <c r="M188" s="80">
        <f>VLOOKUP($A188,'Выгр Кат'!$A:$R,M$1,0)</f>
        <v>1200</v>
      </c>
      <c r="N188" s="80">
        <f>VLOOKUP($A188,'Выгр Кат'!$A:$R,N$1,0)</f>
        <v>1590</v>
      </c>
      <c r="O188" s="28">
        <f>M188-I188</f>
        <v>0</v>
      </c>
      <c r="P188" s="28">
        <f>N188-L188</f>
        <v>0</v>
      </c>
      <c r="Q188" s="36">
        <f>IFERROR(L188*(1-$Q$2),"")</f>
        <v>1478.6999999999998</v>
      </c>
      <c r="R188" s="38">
        <f>IFERROR(VLOOKUP($A188,'Из Гугла'!$B:$G,6,0)*S188,VLOOKUP($A188,'Из Гугла'!$B:$G,6,0))</f>
        <v>1490</v>
      </c>
      <c r="S188" s="14">
        <v>1</v>
      </c>
      <c r="T188" s="83">
        <f>IFERROR(Q188/I188-1,"")</f>
        <v>0.23224999999999985</v>
      </c>
      <c r="U188" s="83">
        <f>IFERROR((W188-Q188)/W188,"")</f>
        <v>7.5838926174497867E-3</v>
      </c>
      <c r="V188" s="83">
        <f>IFERROR(IF(W188="","",W188/I188-1),"")</f>
        <v>0.2416666666666667</v>
      </c>
      <c r="W188" s="93">
        <v>1490</v>
      </c>
      <c r="X188" s="71" t="s">
        <v>847</v>
      </c>
    </row>
    <row r="189" spans="1:24" ht="30" x14ac:dyDescent="0.25">
      <c r="A189" s="80">
        <v>133263</v>
      </c>
      <c r="B189" s="80">
        <f>VLOOKUP($A189,'Выгр Кат'!$A:$R,B$1,0)</f>
        <v>23949</v>
      </c>
      <c r="C189" s="81" t="str">
        <f>VLOOKUP($A189,'Выгр Кат'!$A:$R,C$1,0)</f>
        <v>Балка дополнительного освещения "cm3-54" (LED, белый свет)</v>
      </c>
      <c r="D189" s="80" t="str">
        <f>VLOOKUP($A189,'Выгр Кат'!$A:$R,D$1,0)</f>
        <v>Y</v>
      </c>
      <c r="E189" s="80" t="str">
        <f>VLOOKUP($A189,'Выгр Кат'!$A:$R,E$1,0)</f>
        <v>1</v>
      </c>
      <c r="F189" s="80" t="str">
        <f>VLOOKUP($A189,'Выгр Кат'!$A:$R,F$1,0)</f>
        <v>cm3-54</v>
      </c>
      <c r="G189" s="80">
        <f>VLOOKUP($A189,'Выгр Кат'!$A:$R,G$1,0)</f>
        <v>0</v>
      </c>
      <c r="H189" s="67" t="s">
        <v>3</v>
      </c>
      <c r="I189" s="82">
        <v>1200</v>
      </c>
      <c r="J189" s="5">
        <f>VLOOKUP(I189,Наценка!$A$1:$G$8,2,1)</f>
        <v>1.3</v>
      </c>
      <c r="K189" s="34">
        <f>I189*J189</f>
        <v>1560</v>
      </c>
      <c r="L189" s="70">
        <f>IF(K189&lt;=1000,(ROUNDUP(K189,-1)-1),(ROUNDUP(K189,-2)-10))</f>
        <v>1590</v>
      </c>
      <c r="M189" s="80">
        <f>VLOOKUP($A189,'Выгр Кат'!$A:$R,M$1,0)</f>
        <v>1200</v>
      </c>
      <c r="N189" s="80">
        <f>VLOOKUP($A189,'Выгр Кат'!$A:$R,N$1,0)</f>
        <v>1590</v>
      </c>
      <c r="O189" s="28">
        <f>M189-I189</f>
        <v>0</v>
      </c>
      <c r="P189" s="28">
        <f>N189-L189</f>
        <v>0</v>
      </c>
      <c r="Q189" s="36">
        <f>IFERROR(L189*(1-$Q$2),"")</f>
        <v>1478.6999999999998</v>
      </c>
      <c r="R189" s="38" t="str">
        <f>IFERROR(VLOOKUP($A189,'Из Гугла'!$B:$G,6,0)*S189,VLOOKUP($A189,'Из Гугла'!$B:$G,6,0))</f>
        <v/>
      </c>
      <c r="S189" s="14">
        <v>1</v>
      </c>
      <c r="T189" s="83">
        <f>IFERROR(Q189/I189-1,"")</f>
        <v>0.23224999999999985</v>
      </c>
      <c r="U189" s="83" t="str">
        <f>IFERROR((W189-Q189)/W189,"")</f>
        <v/>
      </c>
      <c r="V189" s="83" t="str">
        <f>IFERROR(IF(W189="","",W189/I189-1),"")</f>
        <v/>
      </c>
      <c r="W189" s="84" t="s">
        <v>1269</v>
      </c>
    </row>
    <row r="190" spans="1:24" ht="30.75" thickBot="1" x14ac:dyDescent="0.3">
      <c r="A190" s="80">
        <v>133258</v>
      </c>
      <c r="B190" s="80">
        <f>VLOOKUP($A190,'Выгр Кат'!$A:$R,B$1,0)</f>
        <v>24028</v>
      </c>
      <c r="C190" s="81" t="str">
        <f>VLOOKUP($A190,'Выгр Кат'!$A:$R,C$1,0)</f>
        <v>Балка дополнительного освещения "cm1-54" (LED, белый свет)</v>
      </c>
      <c r="D190" s="80" t="str">
        <f>VLOOKUP($A190,'Выгр Кат'!$A:$R,D$1,0)</f>
        <v>Y</v>
      </c>
      <c r="E190" s="80" t="str">
        <f>VLOOKUP($A190,'Выгр Кат'!$A:$R,E$1,0)</f>
        <v>1</v>
      </c>
      <c r="F190" s="80" t="str">
        <f>VLOOKUP($A190,'Выгр Кат'!$A:$R,F$1,0)</f>
        <v>cm1-54</v>
      </c>
      <c r="G190" s="80">
        <f>VLOOKUP($A190,'Выгр Кат'!$A:$R,G$1,0)</f>
        <v>0</v>
      </c>
      <c r="H190" s="67" t="s">
        <v>3</v>
      </c>
      <c r="I190" s="82">
        <v>1200</v>
      </c>
      <c r="J190" s="5">
        <f>VLOOKUP(I190,Наценка!$A$1:$G$8,2,1)</f>
        <v>1.3</v>
      </c>
      <c r="K190" s="88">
        <f>I190*J190</f>
        <v>1560</v>
      </c>
      <c r="L190" s="70">
        <f>IF(K190&lt;=1000,(ROUNDUP(K190,-1)-1),(ROUNDUP(K190,-2)-10))</f>
        <v>1590</v>
      </c>
      <c r="M190" s="80">
        <f>VLOOKUP($A190,'Выгр Кат'!$A:$R,M$1,0)</f>
        <v>1200</v>
      </c>
      <c r="N190" s="80">
        <f>VLOOKUP($A190,'Выгр Кат'!$A:$R,N$1,0)</f>
        <v>1590</v>
      </c>
      <c r="O190" s="28">
        <f>M190-I190</f>
        <v>0</v>
      </c>
      <c r="P190" s="28">
        <f>N190-L190</f>
        <v>0</v>
      </c>
      <c r="Q190" s="36">
        <f>IFERROR(L190*(1-$Q$2),"")</f>
        <v>1478.6999999999998</v>
      </c>
      <c r="R190" s="38" t="str">
        <f>IFERROR(VLOOKUP($A190,'Из Гугла'!$B:$G,6,0)*S190,VLOOKUP($A190,'Из Гугла'!$B:$G,6,0))</f>
        <v/>
      </c>
      <c r="S190" s="14">
        <v>1</v>
      </c>
      <c r="T190" s="83">
        <f>IFERROR(Q190/I190-1,"")</f>
        <v>0.23224999999999985</v>
      </c>
      <c r="U190" s="83" t="str">
        <f>IFERROR((W190-Q190)/W190,"")</f>
        <v/>
      </c>
      <c r="V190" s="83" t="str">
        <f>IFERROR(IF(W190="","",W190/I190-1),"")</f>
        <v/>
      </c>
      <c r="W190" s="94" t="s">
        <v>1269</v>
      </c>
    </row>
    <row r="191" spans="1:24" ht="45.75" thickTop="1" x14ac:dyDescent="0.25">
      <c r="A191" s="80">
        <v>143807</v>
      </c>
      <c r="B191" s="80">
        <f>VLOOKUP($A191,'Выгр Кат'!$A:$R,B$1,0)</f>
        <v>27092</v>
      </c>
      <c r="C191" s="81" t="str">
        <f>VLOOKUP($A191,'Выгр Кат'!$A:$R,C$1,0)</f>
        <v>Диодные ПТФ 50W для Лада (Гранта, Калина, Калина 2, Ларгус), Датсун (mi-DO, on-DO)</v>
      </c>
      <c r="D191" s="80" t="str">
        <f>VLOOKUP($A191,'Выгр Кат'!$A:$R,D$1,0)</f>
        <v>Y</v>
      </c>
      <c r="E191" s="80" t="str">
        <f>VLOOKUP($A191,'Выгр Кат'!$A:$R,E$1,0)</f>
        <v>1</v>
      </c>
      <c r="F191" s="80" t="str">
        <f>VLOOKUP($A191,'Выгр Кат'!$A:$R,F$1,0)</f>
        <v>FG3-C</v>
      </c>
      <c r="G191" s="80">
        <f>VLOOKUP($A191,'Выгр Кат'!$A:$R,G$1,0)</f>
        <v>0</v>
      </c>
      <c r="H191" s="67" t="s">
        <v>3</v>
      </c>
      <c r="I191" s="82">
        <v>1200</v>
      </c>
      <c r="J191" s="5">
        <f>VLOOKUP(I191,Наценка!$A$1:$G$8,2,1)</f>
        <v>1.3</v>
      </c>
      <c r="K191" s="34">
        <f>I191*J191</f>
        <v>1560</v>
      </c>
      <c r="L191" s="70">
        <f>IF(K191&lt;=1000,(ROUNDUP(K191,-1)-1),(ROUNDUP(K191,-2)-10))</f>
        <v>1590</v>
      </c>
      <c r="M191" s="80">
        <f>VLOOKUP($A191,'Выгр Кат'!$A:$R,M$1,0)</f>
        <v>1200</v>
      </c>
      <c r="N191" s="80">
        <f>VLOOKUP($A191,'Выгр Кат'!$A:$R,N$1,0)</f>
        <v>1590</v>
      </c>
      <c r="O191" s="28">
        <f>M191-I191</f>
        <v>0</v>
      </c>
      <c r="P191" s="28">
        <f>N191-L191</f>
        <v>0</v>
      </c>
      <c r="Q191" s="36">
        <f>IFERROR(L191*(1-$Q$2),"")</f>
        <v>1478.6999999999998</v>
      </c>
      <c r="R191" s="38" t="str">
        <f>IFERROR(VLOOKUP($A191,'Из Гугла'!$B:$G,6,0)*S191,VLOOKUP($A191,'Из Гугла'!$B:$G,6,0))</f>
        <v/>
      </c>
      <c r="S191" s="14">
        <v>1</v>
      </c>
      <c r="T191" s="83">
        <f>IFERROR(Q191/I191-1,"")</f>
        <v>0.23224999999999985</v>
      </c>
      <c r="U191" s="83" t="str">
        <f>IFERROR((W191-Q191)/W191,"")</f>
        <v/>
      </c>
      <c r="V191" s="83" t="str">
        <f>IFERROR(IF(W191="","",W191/I191-1),"")</f>
        <v/>
      </c>
      <c r="W191" s="84" t="s">
        <v>1269</v>
      </c>
    </row>
    <row r="192" spans="1:24" ht="30" x14ac:dyDescent="0.25">
      <c r="A192" s="80">
        <v>202708</v>
      </c>
      <c r="B192" s="80">
        <f>VLOOKUP($A192,'Выгр Кат'!$A:$R,B$1,0)</f>
        <v>4574</v>
      </c>
      <c r="C192" s="81" t="str">
        <f>VLOOKUP($A192,'Выгр Кат'!$A:$R,C$1,0)</f>
        <v>Рамки противотуманных фар с ДХО -2 для Лада Ларгус</v>
      </c>
      <c r="D192" s="80" t="str">
        <f>VLOOKUP($A192,'Выгр Кат'!$A:$R,D$1,0)</f>
        <v>Y</v>
      </c>
      <c r="E192" s="80" t="str">
        <f>VLOOKUP($A192,'Выгр Кат'!$A:$R,E$1,0)</f>
        <v>1</v>
      </c>
      <c r="F192" s="80">
        <f>VLOOKUP($A192,'Выгр Кат'!$A:$R,F$1,0)</f>
        <v>0</v>
      </c>
      <c r="G192" s="80">
        <f>VLOOKUP($A192,'Выгр Кат'!$A:$R,G$1,0)</f>
        <v>0</v>
      </c>
      <c r="H192" s="67" t="s">
        <v>3</v>
      </c>
      <c r="I192" s="82">
        <v>1300</v>
      </c>
      <c r="J192" s="5">
        <f>VLOOKUP(I192,Наценка!$A$1:$G$8,2,1)</f>
        <v>1.3</v>
      </c>
      <c r="K192" s="34">
        <f>I192*J192</f>
        <v>1690</v>
      </c>
      <c r="L192" s="70">
        <f>IF(K192&lt;=1000,(ROUNDUP(K192,-1)-1),(ROUNDUP(K192,-2)-10))</f>
        <v>1690</v>
      </c>
      <c r="M192" s="80">
        <f>VLOOKUP($A192,'Выгр Кат'!$A:$R,M$1,0)</f>
        <v>1300</v>
      </c>
      <c r="N192" s="80">
        <f>VLOOKUP($A192,'Выгр Кат'!$A:$R,N$1,0)</f>
        <v>1690</v>
      </c>
      <c r="O192" s="28">
        <f>M192-I192</f>
        <v>0</v>
      </c>
      <c r="P192" s="28">
        <f>N192-L192</f>
        <v>0</v>
      </c>
      <c r="Q192" s="36">
        <f>IFERROR(L192*(1-$Q$2),"")</f>
        <v>1571.6999999999998</v>
      </c>
      <c r="R192" s="38" t="str">
        <f>IFERROR(VLOOKUP($A192,'Из Гугла'!$B:$G,6,0)*S192,VLOOKUP($A192,'Из Гугла'!$B:$G,6,0))</f>
        <v/>
      </c>
      <c r="S192" s="14">
        <v>1</v>
      </c>
      <c r="T192" s="83">
        <f>IFERROR(Q192/I192-1,"")</f>
        <v>0.20899999999999985</v>
      </c>
      <c r="U192" s="83" t="str">
        <f>IFERROR((W192-Q192)/W192,"")</f>
        <v/>
      </c>
      <c r="V192" s="83" t="str">
        <f>IFERROR(IF(W192="","",W192/I192-1),"")</f>
        <v/>
      </c>
      <c r="W192" s="84" t="s">
        <v>1269</v>
      </c>
    </row>
    <row r="193" spans="1:24" ht="30" x14ac:dyDescent="0.25">
      <c r="A193" s="80">
        <v>202712</v>
      </c>
      <c r="B193" s="80">
        <f>VLOOKUP($A193,'Выгр Кат'!$A:$R,B$1,0)</f>
        <v>4590</v>
      </c>
      <c r="C193" s="81" t="str">
        <f>VLOOKUP($A193,'Выгр Кат'!$A:$R,C$1,0)</f>
        <v>Рамки противотуманных фар с ДХО для Лада Ларгус</v>
      </c>
      <c r="D193" s="80" t="str">
        <f>VLOOKUP($A193,'Выгр Кат'!$A:$R,D$1,0)</f>
        <v>Y</v>
      </c>
      <c r="E193" s="80" t="str">
        <f>VLOOKUP($A193,'Выгр Кат'!$A:$R,E$1,0)</f>
        <v>1</v>
      </c>
      <c r="F193" s="80">
        <f>VLOOKUP($A193,'Выгр Кат'!$A:$R,F$1,0)</f>
        <v>0</v>
      </c>
      <c r="G193" s="80" t="str">
        <f>VLOOKUP($A193,'Выгр Кат'!$A:$R,G$1,0)</f>
        <v>https://motorring.ru/product/8144-ramki-ptf-diodnymi-hodovymi-ognyami-lada-largus</v>
      </c>
      <c r="H193" s="67" t="s">
        <v>3</v>
      </c>
      <c r="I193" s="82">
        <v>1300</v>
      </c>
      <c r="J193" s="5">
        <f>VLOOKUP(I193,Наценка!$A$1:$G$8,2,1)</f>
        <v>1.3</v>
      </c>
      <c r="K193" s="90">
        <f>W193*1.04</f>
        <v>1965.6000000000001</v>
      </c>
      <c r="L193" s="70">
        <f>IF(K193&lt;=1000,(ROUNDUP(K193,-1)-1),(ROUNDUP(K193,-2)-10))</f>
        <v>1990</v>
      </c>
      <c r="M193" s="80">
        <f>VLOOKUP($A193,'Выгр Кат'!$A:$R,M$1,0)</f>
        <v>1300</v>
      </c>
      <c r="N193" s="80">
        <f>VLOOKUP($A193,'Выгр Кат'!$A:$R,N$1,0)</f>
        <v>1990</v>
      </c>
      <c r="O193" s="28">
        <f>M193-I193</f>
        <v>0</v>
      </c>
      <c r="P193" s="28">
        <f>N193-L193</f>
        <v>0</v>
      </c>
      <c r="Q193" s="36">
        <f>IFERROR(L193*(1-$Q$2),"")</f>
        <v>1850.6999999999998</v>
      </c>
      <c r="R193" s="38">
        <f>IFERROR(VLOOKUP($A193,'Из Гугла'!$B:$G,6,0)*S193,VLOOKUP($A193,'Из Гугла'!$B:$G,6,0))</f>
        <v>1890</v>
      </c>
      <c r="S193" s="14">
        <v>1</v>
      </c>
      <c r="T193" s="83">
        <f>IFERROR(Q193/I193-1,"")</f>
        <v>0.4236153846153845</v>
      </c>
      <c r="U193" s="83">
        <f>IFERROR((W193-Q193)/W193,"")</f>
        <v>2.0793650793650888E-2</v>
      </c>
      <c r="V193" s="83">
        <f>IFERROR(IF(W193="","",W193/I193-1),"")</f>
        <v>0.45384615384615379</v>
      </c>
      <c r="W193" s="93">
        <v>1890</v>
      </c>
      <c r="X193" s="71" t="s">
        <v>846</v>
      </c>
    </row>
    <row r="194" spans="1:24" ht="30" x14ac:dyDescent="0.25">
      <c r="A194" s="80">
        <v>202716</v>
      </c>
      <c r="B194" s="80">
        <f>VLOOKUP($A194,'Выгр Кат'!$A:$R,B$1,0)</f>
        <v>16812</v>
      </c>
      <c r="C194" s="81" t="str">
        <f>VLOOKUP($A194,'Выгр Кат'!$A:$R,C$1,0)</f>
        <v>Рамки ПТФ с ДХО в бампер нового образца для Лада Гранта</v>
      </c>
      <c r="D194" s="80" t="str">
        <f>VLOOKUP($A194,'Выгр Кат'!$A:$R,D$1,0)</f>
        <v>Y</v>
      </c>
      <c r="E194" s="80" t="str">
        <f>VLOOKUP($A194,'Выгр Кат'!$A:$R,E$1,0)</f>
        <v>1</v>
      </c>
      <c r="F194" s="80" t="str">
        <f>VLOOKUP($A194,'Выгр Кат'!$A:$R,F$1,0)</f>
        <v>GR-8888</v>
      </c>
      <c r="G194" s="80" t="str">
        <f>VLOOKUP($A194,'Выгр Кат'!$A:$R,G$1,0)</f>
        <v>https://motorring.ru/product/19759-ramki-ptf-dho-lada-granta</v>
      </c>
      <c r="H194" s="67" t="s">
        <v>3</v>
      </c>
      <c r="I194" s="82">
        <v>1300</v>
      </c>
      <c r="J194" s="5">
        <f>VLOOKUP(I194,Наценка!$A$1:$G$8,2,1)</f>
        <v>1.3</v>
      </c>
      <c r="K194" s="87">
        <f>W194*1.06</f>
        <v>1897.4</v>
      </c>
      <c r="L194" s="70">
        <f>IF(K194&lt;=1000,(ROUNDUP(K194,-1)-1),(ROUNDUP(K194,-2)-10))</f>
        <v>1890</v>
      </c>
      <c r="M194" s="80">
        <f>VLOOKUP($A194,'Выгр Кат'!$A:$R,M$1,0)</f>
        <v>1300</v>
      </c>
      <c r="N194" s="80">
        <f>VLOOKUP($A194,'Выгр Кат'!$A:$R,N$1,0)</f>
        <v>1890</v>
      </c>
      <c r="O194" s="28">
        <f>M194-I194</f>
        <v>0</v>
      </c>
      <c r="P194" s="28">
        <f>N194-L194</f>
        <v>0</v>
      </c>
      <c r="Q194" s="36">
        <f>IFERROR(L194*(1-$Q$2),"")</f>
        <v>1757.6999999999998</v>
      </c>
      <c r="R194" s="38">
        <f>IFERROR(VLOOKUP($A194,'Из Гугла'!$B:$G,6,0)*S194,VLOOKUP($A194,'Из Гугла'!$B:$G,6,0))</f>
        <v>1790</v>
      </c>
      <c r="S194" s="14">
        <v>1</v>
      </c>
      <c r="T194" s="83">
        <f>IFERROR(Q194/I194-1,"")</f>
        <v>0.35207692307692295</v>
      </c>
      <c r="U194" s="83">
        <f>IFERROR((W194-Q194)/W194,"")</f>
        <v>1.8044692737430271E-2</v>
      </c>
      <c r="V194" s="83">
        <f>IFERROR(IF(W194="","",W194/I194-1),"")</f>
        <v>0.37692307692307692</v>
      </c>
      <c r="W194" s="84">
        <v>1790</v>
      </c>
      <c r="X194" s="71" t="s">
        <v>1432</v>
      </c>
    </row>
    <row r="195" spans="1:24" ht="45" x14ac:dyDescent="0.25">
      <c r="A195" s="80">
        <v>133250</v>
      </c>
      <c r="B195" s="80">
        <f>VLOOKUP($A195,'Выгр Кат'!$A:$R,B$1,0)</f>
        <v>24017</v>
      </c>
      <c r="C195" s="81" t="str">
        <f>VLOOKUP($A195,'Выгр Кат'!$A:$R,C$1,0)</f>
        <v>Балка дополнительного освещения "C4-144" (противотуманная, LED, белый свет)</v>
      </c>
      <c r="D195" s="80" t="str">
        <f>VLOOKUP($A195,'Выгр Кат'!$A:$R,D$1,0)</f>
        <v>Y</v>
      </c>
      <c r="E195" s="80" t="str">
        <f>VLOOKUP($A195,'Выгр Кат'!$A:$R,E$1,0)</f>
        <v>1</v>
      </c>
      <c r="F195" s="80" t="str">
        <f>VLOOKUP($A195,'Выгр Кат'!$A:$R,F$1,0)</f>
        <v>C4-144</v>
      </c>
      <c r="G195" s="80">
        <f>VLOOKUP($A195,'Выгр Кат'!$A:$R,G$1,0)</f>
        <v>0</v>
      </c>
      <c r="H195" s="67" t="s">
        <v>3</v>
      </c>
      <c r="I195" s="82">
        <v>1300</v>
      </c>
      <c r="J195" s="5">
        <f>VLOOKUP(I195,Наценка!$A$1:$G$8,2,1)</f>
        <v>1.3</v>
      </c>
      <c r="K195" s="34">
        <f>I195*J195</f>
        <v>1690</v>
      </c>
      <c r="L195" s="70">
        <f>IF(K195&lt;=1000,(ROUNDUP(K195,-1)-1),(ROUNDUP(K195,-2)-10))</f>
        <v>1690</v>
      </c>
      <c r="M195" s="80">
        <f>VLOOKUP($A195,'Выгр Кат'!$A:$R,M$1,0)</f>
        <v>1300</v>
      </c>
      <c r="N195" s="80">
        <f>VLOOKUP($A195,'Выгр Кат'!$A:$R,N$1,0)</f>
        <v>1690</v>
      </c>
      <c r="O195" s="28">
        <f>M195-I195</f>
        <v>0</v>
      </c>
      <c r="P195" s="28">
        <f>N195-L195</f>
        <v>0</v>
      </c>
      <c r="Q195" s="36">
        <f>IFERROR(L195*(1-$Q$2),"")</f>
        <v>1571.6999999999998</v>
      </c>
      <c r="R195" s="38" t="str">
        <f>IFERROR(VLOOKUP($A195,'Из Гугла'!$B:$G,6,0)*S195,VLOOKUP($A195,'Из Гугла'!$B:$G,6,0))</f>
        <v/>
      </c>
      <c r="S195" s="14">
        <v>1</v>
      </c>
      <c r="T195" s="83">
        <f>IFERROR(Q195/I195-1,"")</f>
        <v>0.20899999999999985</v>
      </c>
      <c r="U195" s="83" t="str">
        <f>IFERROR((W195-Q195)/W195,"")</f>
        <v/>
      </c>
      <c r="V195" s="83" t="str">
        <f>IFERROR(IF(W195="","",W195/I195-1),"")</f>
        <v/>
      </c>
      <c r="W195" s="84" t="s">
        <v>1269</v>
      </c>
    </row>
    <row r="196" spans="1:24" ht="30" x14ac:dyDescent="0.25">
      <c r="A196" s="80">
        <v>138440</v>
      </c>
      <c r="B196" s="80">
        <f>VLOOKUP($A196,'Выгр Кат'!$A:$R,B$1,0)</f>
        <v>7454</v>
      </c>
      <c r="C196" s="81" t="str">
        <f>VLOOKUP($A196,'Выгр Кат'!$A:$R,C$1,0)</f>
        <v>Боковые зеркала "Питер" чёрные для ВАЗ 2108-21099, 2113-2115</v>
      </c>
      <c r="D196" s="80" t="str">
        <f>VLOOKUP($A196,'Выгр Кат'!$A:$R,D$1,0)</f>
        <v>Y</v>
      </c>
      <c r="E196" s="80" t="str">
        <f>VLOOKUP($A196,'Выгр Кат'!$A:$R,E$1,0)</f>
        <v>1</v>
      </c>
      <c r="F196" s="80">
        <f>VLOOKUP($A196,'Выгр Кат'!$A:$R,F$1,0)</f>
        <v>0</v>
      </c>
      <c r="G196" s="80" t="str">
        <f>VLOOKUP($A196,'Выгр Кат'!$A:$R,G$1,0)</f>
        <v>https://motorring.ru/product/15957-bokovye-zerkala-piter-chernye-libo-belye-vaz-2108-21099</v>
      </c>
      <c r="H196" s="67" t="s">
        <v>3</v>
      </c>
      <c r="I196" s="82">
        <v>1300</v>
      </c>
      <c r="J196" s="5">
        <f>VLOOKUP(I196,Наценка!$A$1:$G$8,2,1)</f>
        <v>1.3</v>
      </c>
      <c r="K196" s="87">
        <f>W196*1.06</f>
        <v>1685.4</v>
      </c>
      <c r="L196" s="70">
        <f>IF(K196&lt;=1000,(ROUNDUP(K196,-1)-1),(ROUNDUP(K196,-2)-10))</f>
        <v>1690</v>
      </c>
      <c r="M196" s="80">
        <f>VLOOKUP($A196,'Выгр Кат'!$A:$R,M$1,0)</f>
        <v>1300</v>
      </c>
      <c r="N196" s="80">
        <f>VLOOKUP($A196,'Выгр Кат'!$A:$R,N$1,0)</f>
        <v>1690</v>
      </c>
      <c r="O196" s="28">
        <f>M196-I196</f>
        <v>0</v>
      </c>
      <c r="P196" s="28">
        <f>N196-L196</f>
        <v>0</v>
      </c>
      <c r="Q196" s="36">
        <f>IFERROR(L196*(1-$Q$2),"")</f>
        <v>1571.6999999999998</v>
      </c>
      <c r="R196" s="38">
        <f>IFERROR(VLOOKUP($A196,'Из Гугла'!$B:$G,6,0)*S196,VLOOKUP($A196,'Из Гугла'!$B:$G,6,0))</f>
        <v>1590</v>
      </c>
      <c r="S196" s="14">
        <v>1</v>
      </c>
      <c r="T196" s="83">
        <f>IFERROR(Q196/I196-1,"")</f>
        <v>0.20899999999999985</v>
      </c>
      <c r="U196" s="83">
        <f>IFERROR((W196-Q196)/W196,"")</f>
        <v>1.1509433962264266E-2</v>
      </c>
      <c r="V196" s="83">
        <f>IFERROR(IF(W196="","",W196/I196-1),"")</f>
        <v>0.22307692307692317</v>
      </c>
      <c r="W196" s="93">
        <v>1590</v>
      </c>
      <c r="X196" s="71" t="s">
        <v>920</v>
      </c>
    </row>
    <row r="197" spans="1:24" ht="45" x14ac:dyDescent="0.25">
      <c r="A197" s="80">
        <v>158510</v>
      </c>
      <c r="B197" s="80">
        <f>VLOOKUP($A197,'Выгр Кат'!$A:$R,B$1,0)</f>
        <v>20202</v>
      </c>
      <c r="C197" s="81" t="str">
        <f>VLOOKUP($A197,'Выгр Кат'!$A:$R,C$1,0)</f>
        <v>Комплект диодных противотуманных фар "FG3-A" (3 полосы) для Лада Приора, Шевроле Нива</v>
      </c>
      <c r="D197" s="80" t="str">
        <f>VLOOKUP($A197,'Выгр Кат'!$A:$R,D$1,0)</f>
        <v>Y</v>
      </c>
      <c r="E197" s="80" t="str">
        <f>VLOOKUP($A197,'Выгр Кат'!$A:$R,E$1,0)</f>
        <v>1</v>
      </c>
      <c r="F197" s="80" t="str">
        <f>VLOOKUP($A197,'Выгр Кат'!$A:$R,F$1,0)</f>
        <v>FG3-A</v>
      </c>
      <c r="G197" s="80" t="str">
        <f>VLOOKUP($A197,'Выгр Кат'!$A:$R,G$1,0)</f>
        <v>https://motorring.ru/product/21355-diodnye-ptf-30w-lada-priora-analog</v>
      </c>
      <c r="H197" s="67" t="s">
        <v>3</v>
      </c>
      <c r="I197" s="82">
        <v>1300</v>
      </c>
      <c r="J197" s="5">
        <f>VLOOKUP(I197,Наценка!$A$1:$G$8,2,1)</f>
        <v>1.3</v>
      </c>
      <c r="K197" s="90">
        <f>W197*1.04</f>
        <v>1964.5600000000002</v>
      </c>
      <c r="L197" s="70">
        <f>IF(K197&lt;=1000,(ROUNDUP(K197,-1)-1),(ROUNDUP(K197,-2)-10))</f>
        <v>1990</v>
      </c>
      <c r="M197" s="80">
        <f>VLOOKUP($A197,'Выгр Кат'!$A:$R,M$1,0)</f>
        <v>1300</v>
      </c>
      <c r="N197" s="80">
        <f>VLOOKUP($A197,'Выгр Кат'!$A:$R,N$1,0)</f>
        <v>1990</v>
      </c>
      <c r="O197" s="28">
        <f>M197-I197</f>
        <v>0</v>
      </c>
      <c r="P197" s="28">
        <f>N197-L197</f>
        <v>0</v>
      </c>
      <c r="Q197" s="36">
        <f>IFERROR(L197*(1-$Q$2),"")</f>
        <v>1850.6999999999998</v>
      </c>
      <c r="R197" s="38">
        <f>IFERROR(VLOOKUP($A197,'Из Гугла'!$B:$G,6,0)*S197,VLOOKUP($A197,'Из Гугла'!$B:$G,6,0))</f>
        <v>1889</v>
      </c>
      <c r="S197" s="14">
        <v>1</v>
      </c>
      <c r="T197" s="83">
        <f>IFERROR(Q197/I197-1,"")</f>
        <v>0.4236153846153845</v>
      </c>
      <c r="U197" s="83">
        <f>IFERROR((W197-Q197)/W197,"")</f>
        <v>2.0275277924828049E-2</v>
      </c>
      <c r="V197" s="83">
        <f>IFERROR(IF(W197="","",W197/I197-1),"")</f>
        <v>0.45307692307692315</v>
      </c>
      <c r="W197" s="93">
        <v>1889</v>
      </c>
      <c r="X197" s="71" t="s">
        <v>848</v>
      </c>
    </row>
    <row r="198" spans="1:24" ht="30.75" thickBot="1" x14ac:dyDescent="0.3">
      <c r="A198" s="80">
        <v>212190</v>
      </c>
      <c r="B198" s="80">
        <f>VLOOKUP($A198,'Выгр Кат'!$A:$R,B$1,0)</f>
        <v>4547</v>
      </c>
      <c r="C198" s="81" t="str">
        <f>VLOOKUP($A198,'Выгр Кат'!$A:$R,C$1,0)</f>
        <v>Руль с цветными вставками для ВАЗ</v>
      </c>
      <c r="D198" s="80" t="str">
        <f>VLOOKUP($A198,'Выгр Кат'!$A:$R,D$1,0)</f>
        <v>Y</v>
      </c>
      <c r="E198" s="80" t="str">
        <f>VLOOKUP($A198,'Выгр Кат'!$A:$R,E$1,0)</f>
        <v>1</v>
      </c>
      <c r="F198" s="80" t="str">
        <f>VLOOKUP($A198,'Выгр Кат'!$A:$R,F$1,0)</f>
        <v>5134</v>
      </c>
      <c r="G198" s="80">
        <f>VLOOKUP($A198,'Выгр Кат'!$A:$R,G$1,0)</f>
        <v>0</v>
      </c>
      <c r="H198" s="67" t="s">
        <v>3</v>
      </c>
      <c r="I198" s="82">
        <v>1400</v>
      </c>
      <c r="J198" s="5">
        <f>VLOOKUP(I198,Наценка!$A$1:$G$8,2,1)</f>
        <v>1.3</v>
      </c>
      <c r="K198" s="88">
        <f>I198*J198</f>
        <v>1820</v>
      </c>
      <c r="L198" s="70">
        <f>IF(K198&lt;=1000,(ROUNDUP(K198,-1)-1),(ROUNDUP(K198,-2)-10))</f>
        <v>1890</v>
      </c>
      <c r="M198" s="80">
        <f>VLOOKUP($A198,'Выгр Кат'!$A:$R,M$1,0)</f>
        <v>1400</v>
      </c>
      <c r="N198" s="80">
        <f>VLOOKUP($A198,'Выгр Кат'!$A:$R,N$1,0)</f>
        <v>1890</v>
      </c>
      <c r="O198" s="28">
        <f>M198-I198</f>
        <v>0</v>
      </c>
      <c r="P198" s="28">
        <f>N198-L198</f>
        <v>0</v>
      </c>
      <c r="Q198" s="36">
        <f>IFERROR(L198*(1-$Q$2),"")</f>
        <v>1757.6999999999998</v>
      </c>
      <c r="R198" s="38" t="str">
        <f>IFERROR(VLOOKUP($A198,'Из Гугла'!$B:$G,6,0)*S198,VLOOKUP($A198,'Из Гугла'!$B:$G,6,0))</f>
        <v/>
      </c>
      <c r="S198" s="14">
        <v>1</v>
      </c>
      <c r="T198" s="83">
        <f>IFERROR(Q198/I198-1,"")</f>
        <v>0.25549999999999984</v>
      </c>
      <c r="U198" s="83" t="str">
        <f>IFERROR((W198-Q198)/W198,"")</f>
        <v/>
      </c>
      <c r="V198" s="83" t="str">
        <f>IFERROR(IF(W198="","",W198/I198-1),"")</f>
        <v/>
      </c>
      <c r="W198" s="94" t="s">
        <v>1269</v>
      </c>
    </row>
    <row r="199" spans="1:24" ht="30.75" thickTop="1" x14ac:dyDescent="0.25">
      <c r="A199" s="80">
        <v>217247</v>
      </c>
      <c r="B199" s="80">
        <f>VLOOKUP($A199,'Выгр Кат'!$A:$R,B$1,0)</f>
        <v>13146</v>
      </c>
      <c r="C199" s="81" t="str">
        <f>VLOOKUP($A199,'Выгр Кат'!$A:$R,C$1,0)</f>
        <v>Спортивный руль "F-1 Sport" (Черный) для ВАЗ</v>
      </c>
      <c r="D199" s="80" t="str">
        <f>VLOOKUP($A199,'Выгр Кат'!$A:$R,D$1,0)</f>
        <v>Y</v>
      </c>
      <c r="E199" s="80" t="str">
        <f>VLOOKUP($A199,'Выгр Кат'!$A:$R,E$1,0)</f>
        <v>1</v>
      </c>
      <c r="F199" s="80" t="str">
        <f>VLOOKUP($A199,'Выгр Кат'!$A:$R,F$1,0)</f>
        <v>5159</v>
      </c>
      <c r="G199" s="80">
        <f>VLOOKUP($A199,'Выгр Кат'!$A:$R,G$1,0)</f>
        <v>0</v>
      </c>
      <c r="H199" s="67" t="s">
        <v>3</v>
      </c>
      <c r="I199" s="82">
        <v>1400</v>
      </c>
      <c r="J199" s="5">
        <f>VLOOKUP(I199,Наценка!$A$1:$G$8,2,1)</f>
        <v>1.3</v>
      </c>
      <c r="K199" s="34">
        <f>I199*J199</f>
        <v>1820</v>
      </c>
      <c r="L199" s="70">
        <f>IF(K199&lt;=1000,(ROUNDUP(K199,-1)-1),(ROUNDUP(K199,-2)-10))</f>
        <v>1890</v>
      </c>
      <c r="M199" s="80">
        <f>VLOOKUP($A199,'Выгр Кат'!$A:$R,M$1,0)</f>
        <v>1400</v>
      </c>
      <c r="N199" s="80">
        <f>VLOOKUP($A199,'Выгр Кат'!$A:$R,N$1,0)</f>
        <v>1890</v>
      </c>
      <c r="O199" s="28">
        <f>M199-I199</f>
        <v>0</v>
      </c>
      <c r="P199" s="28">
        <f>N199-L199</f>
        <v>0</v>
      </c>
      <c r="Q199" s="36">
        <f>IFERROR(L199*(1-$Q$2),"")</f>
        <v>1757.6999999999998</v>
      </c>
      <c r="R199" s="38" t="str">
        <f>IFERROR(VLOOKUP($A199,'Из Гугла'!$B:$G,6,0)*S199,VLOOKUP($A199,'Из Гугла'!$B:$G,6,0))</f>
        <v/>
      </c>
      <c r="S199" s="14">
        <v>1</v>
      </c>
      <c r="T199" s="83">
        <f>IFERROR(Q199/I199-1,"")</f>
        <v>0.25549999999999984</v>
      </c>
      <c r="U199" s="83" t="str">
        <f>IFERROR((W199-Q199)/W199,"")</f>
        <v/>
      </c>
      <c r="V199" s="83" t="str">
        <f>IFERROR(IF(W199="","",W199/I199-1),"")</f>
        <v/>
      </c>
      <c r="W199" s="84" t="s">
        <v>1269</v>
      </c>
    </row>
    <row r="200" spans="1:24" ht="30" x14ac:dyDescent="0.25">
      <c r="A200" s="80">
        <v>138413</v>
      </c>
      <c r="B200" s="80">
        <f>VLOOKUP($A200,'Выгр Кат'!$A:$R,B$1,0)</f>
        <v>7452</v>
      </c>
      <c r="C200" s="81" t="str">
        <f>VLOOKUP($A200,'Выгр Кат'!$A:$R,C$1,0)</f>
        <v>Боковые зеркала "Волна" хром для ВАЗ 2108-21099, 2113-2115</v>
      </c>
      <c r="D200" s="80" t="str">
        <f>VLOOKUP($A200,'Выгр Кат'!$A:$R,D$1,0)</f>
        <v>Y</v>
      </c>
      <c r="E200" s="80" t="str">
        <f>VLOOKUP($A200,'Выгр Кат'!$A:$R,E$1,0)</f>
        <v>1</v>
      </c>
      <c r="F200" s="80">
        <f>VLOOKUP($A200,'Выгр Кат'!$A:$R,F$1,0)</f>
        <v>0</v>
      </c>
      <c r="G200" s="80" t="str">
        <f>VLOOKUP($A200,'Выгр Кат'!$A:$R,G$1,0)</f>
        <v>https://motorring.ru/product/15967-bokovye-zerkala-volna-hrom-chernyy-vaz-2108-2115</v>
      </c>
      <c r="H200" s="67" t="s">
        <v>3</v>
      </c>
      <c r="I200" s="82">
        <v>1400</v>
      </c>
      <c r="J200" s="5">
        <f>VLOOKUP(I200,Наценка!$A$1:$G$8,2,1)</f>
        <v>1.3</v>
      </c>
      <c r="K200" s="87">
        <f>W200*1.06</f>
        <v>1790.3400000000001</v>
      </c>
      <c r="L200" s="70">
        <f>IF(K200&lt;=1000,(ROUNDUP(K200,-1)-1),(ROUNDUP(K200,-2)-10))</f>
        <v>1790</v>
      </c>
      <c r="M200" s="80">
        <f>VLOOKUP($A200,'Выгр Кат'!$A:$R,M$1,0)</f>
        <v>1400</v>
      </c>
      <c r="N200" s="80">
        <f>VLOOKUP($A200,'Выгр Кат'!$A:$R,N$1,0)</f>
        <v>1890</v>
      </c>
      <c r="O200" s="28">
        <f>M200-I200</f>
        <v>0</v>
      </c>
      <c r="P200" s="28">
        <f>N200-L200</f>
        <v>100</v>
      </c>
      <c r="Q200" s="36">
        <f>IFERROR(L200*(1-$Q$2),"")</f>
        <v>1664.6999999999998</v>
      </c>
      <c r="R200" s="38">
        <f>IFERROR(VLOOKUP($A200,'Из Гугла'!$B:$G,6,0)*S200,VLOOKUP($A200,'Из Гугла'!$B:$G,6,0))</f>
        <v>1689</v>
      </c>
      <c r="S200" s="14">
        <v>1</v>
      </c>
      <c r="T200" s="83">
        <f>IFERROR(Q200/I200-1,"")</f>
        <v>0.18907142857142833</v>
      </c>
      <c r="U200" s="83">
        <f>IFERROR((W200-Q200)/W200,"")</f>
        <v>1.4387211367673286E-2</v>
      </c>
      <c r="V200" s="83">
        <f>IFERROR(IF(W200="","",W200/I200-1),"")</f>
        <v>0.20642857142857141</v>
      </c>
      <c r="W200" s="93">
        <v>1689</v>
      </c>
      <c r="X200" s="71" t="s">
        <v>922</v>
      </c>
    </row>
    <row r="201" spans="1:24" ht="30" x14ac:dyDescent="0.25">
      <c r="A201" s="80">
        <v>138433</v>
      </c>
      <c r="B201" s="80">
        <f>VLOOKUP($A201,'Выгр Кат'!$A:$R,B$1,0)</f>
        <v>7456</v>
      </c>
      <c r="C201" s="81" t="str">
        <f>VLOOKUP($A201,'Выгр Кат'!$A:$R,C$1,0)</f>
        <v>Боковые зеркала "Питер" карбон для ВАЗ 2108-21099, 2113-2115</v>
      </c>
      <c r="D201" s="80" t="str">
        <f>VLOOKUP($A201,'Выгр Кат'!$A:$R,D$1,0)</f>
        <v>Y</v>
      </c>
      <c r="E201" s="80" t="str">
        <f>VLOOKUP($A201,'Выгр Кат'!$A:$R,E$1,0)</f>
        <v>1</v>
      </c>
      <c r="F201" s="80">
        <f>VLOOKUP($A201,'Выгр Кат'!$A:$R,F$1,0)</f>
        <v>0</v>
      </c>
      <c r="G201" s="80" t="str">
        <f>VLOOKUP($A201,'Выгр Кат'!$A:$R,G$1,0)</f>
        <v>https://motorring.ru/product/15961-bokovye-zerkala-piter-karbon-vaz-2108-2115</v>
      </c>
      <c r="H201" s="67" t="s">
        <v>3</v>
      </c>
      <c r="I201" s="82">
        <v>1400</v>
      </c>
      <c r="J201" s="5">
        <f>VLOOKUP(I201,Наценка!$A$1:$G$8,2,1)</f>
        <v>1.3</v>
      </c>
      <c r="K201" s="90">
        <f>W201*1.04</f>
        <v>2069.6</v>
      </c>
      <c r="L201" s="70">
        <f>IF(K201&lt;=1000,(ROUNDUP(K201,-1)-1),(ROUNDUP(K201,-2)-10))</f>
        <v>2090</v>
      </c>
      <c r="M201" s="80">
        <f>VLOOKUP($A201,'Выгр Кат'!$A:$R,M$1,0)</f>
        <v>1400</v>
      </c>
      <c r="N201" s="80">
        <f>VLOOKUP($A201,'Выгр Кат'!$A:$R,N$1,0)</f>
        <v>2090</v>
      </c>
      <c r="O201" s="28">
        <f>M201-I201</f>
        <v>0</v>
      </c>
      <c r="P201" s="28">
        <f>N201-L201</f>
        <v>0</v>
      </c>
      <c r="Q201" s="36">
        <f>IFERROR(L201*(1-$Q$2),"")</f>
        <v>1943.6999999999998</v>
      </c>
      <c r="R201" s="38">
        <f>IFERROR(VLOOKUP($A201,'Из Гугла'!$B:$G,6,0)*S201,VLOOKUP($A201,'Из Гугла'!$B:$G,6,0))</f>
        <v>1990</v>
      </c>
      <c r="S201" s="14">
        <v>1</v>
      </c>
      <c r="T201" s="83">
        <f>IFERROR(Q201/I201-1,"")</f>
        <v>0.38835714285714262</v>
      </c>
      <c r="U201" s="83">
        <f>IFERROR((W201-Q201)/W201,"")</f>
        <v>2.3266331658291547E-2</v>
      </c>
      <c r="V201" s="83">
        <f>IFERROR(IF(W201="","",W201/I201-1),"")</f>
        <v>0.42142857142857149</v>
      </c>
      <c r="W201" s="93">
        <v>1990</v>
      </c>
      <c r="X201" s="71" t="s">
        <v>923</v>
      </c>
    </row>
    <row r="202" spans="1:24" ht="30" x14ac:dyDescent="0.25">
      <c r="A202" s="80">
        <v>211418</v>
      </c>
      <c r="B202" s="80">
        <f>VLOOKUP($A202,'Выгр Кат'!$A:$R,B$1,0)</f>
        <v>19220</v>
      </c>
      <c r="C202" s="81" t="str">
        <f>VLOOKUP($A202,'Выгр Кат'!$A:$R,C$1,0)</f>
        <v>Руль "F-1" EVO черный с карбоновой вставкой (без вылета)</v>
      </c>
      <c r="D202" s="80" t="str">
        <f>VLOOKUP($A202,'Выгр Кат'!$A:$R,D$1,0)</f>
        <v>Y</v>
      </c>
      <c r="E202" s="80" t="str">
        <f>VLOOKUP($A202,'Выгр Кат'!$A:$R,E$1,0)</f>
        <v>1</v>
      </c>
      <c r="F202" s="80" t="str">
        <f>VLOOKUP($A202,'Выгр Кат'!$A:$R,F$1,0)</f>
        <v xml:space="preserve"> 5155+PVC+черный</v>
      </c>
      <c r="G202" s="80">
        <f>VLOOKUP($A202,'Выгр Кат'!$A:$R,G$1,0)</f>
        <v>0</v>
      </c>
      <c r="H202" s="67" t="s">
        <v>3</v>
      </c>
      <c r="I202" s="82">
        <v>1400</v>
      </c>
      <c r="J202" s="5">
        <f>VLOOKUP(I202,Наценка!$A$1:$G$8,2,1)</f>
        <v>1.3</v>
      </c>
      <c r="K202" s="34">
        <f>I202*J202</f>
        <v>1820</v>
      </c>
      <c r="L202" s="70">
        <f>IF(K202&lt;=1000,(ROUNDUP(K202,-1)-1),(ROUNDUP(K202,-2)-10))</f>
        <v>1890</v>
      </c>
      <c r="M202" s="80">
        <f>VLOOKUP($A202,'Выгр Кат'!$A:$R,M$1,0)</f>
        <v>1400</v>
      </c>
      <c r="N202" s="80">
        <f>VLOOKUP($A202,'Выгр Кат'!$A:$R,N$1,0)</f>
        <v>1890</v>
      </c>
      <c r="O202" s="28">
        <f>M202-I202</f>
        <v>0</v>
      </c>
      <c r="P202" s="28">
        <f>N202-L202</f>
        <v>0</v>
      </c>
      <c r="Q202" s="36">
        <f>IFERROR(L202*(1-$Q$2),"")</f>
        <v>1757.6999999999998</v>
      </c>
      <c r="R202" s="38" t="str">
        <f>IFERROR(VLOOKUP($A202,'Из Гугла'!$B:$G,6,0)*S202,VLOOKUP($A202,'Из Гугла'!$B:$G,6,0))</f>
        <v/>
      </c>
      <c r="S202" s="14">
        <v>1</v>
      </c>
      <c r="T202" s="83">
        <f>IFERROR(Q202/I202-1,"")</f>
        <v>0.25549999999999984</v>
      </c>
      <c r="U202" s="83" t="str">
        <f>IFERROR((W202-Q202)/W202,"")</f>
        <v/>
      </c>
      <c r="V202" s="83" t="str">
        <f>IFERROR(IF(W202="","",W202/I202-1),"")</f>
        <v/>
      </c>
      <c r="W202" s="84" t="s">
        <v>1269</v>
      </c>
    </row>
    <row r="203" spans="1:24" ht="30" x14ac:dyDescent="0.25">
      <c r="A203" s="80">
        <v>138442</v>
      </c>
      <c r="B203" s="80">
        <f>VLOOKUP($A203,'Выгр Кат'!$A:$R,B$1,0)</f>
        <v>19177</v>
      </c>
      <c r="C203" s="81" t="str">
        <f>VLOOKUP($A203,'Выгр Кат'!$A:$R,C$1,0)</f>
        <v>Боковые зеркала "Питер", чёрные для ВАЗ 2110-2112</v>
      </c>
      <c r="D203" s="80" t="str">
        <f>VLOOKUP($A203,'Выгр Кат'!$A:$R,D$1,0)</f>
        <v>Y</v>
      </c>
      <c r="E203" s="80" t="str">
        <f>VLOOKUP($A203,'Выгр Кат'!$A:$R,E$1,0)</f>
        <v>1</v>
      </c>
      <c r="F203" s="80">
        <f>VLOOKUP($A203,'Выгр Кат'!$A:$R,F$1,0)</f>
        <v>0</v>
      </c>
      <c r="G203" s="80" t="str">
        <f>VLOOKUP($A203,'Выгр Кат'!$A:$R,G$1,0)</f>
        <v>https://motorring.ru/product/12752-bokovye-zerkala-piter-chernye-vaz-2110-2112</v>
      </c>
      <c r="H203" s="67" t="s">
        <v>3</v>
      </c>
      <c r="I203" s="82">
        <v>1400</v>
      </c>
      <c r="J203" s="5">
        <f>VLOOKUP(I203,Наценка!$A$1:$G$8,2,1)</f>
        <v>1.3</v>
      </c>
      <c r="K203" s="90">
        <f>W203*1.04</f>
        <v>1965.6000000000001</v>
      </c>
      <c r="L203" s="70">
        <f>IF(K203&lt;=1000,(ROUNDUP(K203,-1)-1),(ROUNDUP(K203,-2)-10))</f>
        <v>1990</v>
      </c>
      <c r="M203" s="80">
        <f>VLOOKUP($A203,'Выгр Кат'!$A:$R,M$1,0)</f>
        <v>1400</v>
      </c>
      <c r="N203" s="80">
        <f>VLOOKUP($A203,'Выгр Кат'!$A:$R,N$1,0)</f>
        <v>1990</v>
      </c>
      <c r="O203" s="28">
        <f>M203-I203</f>
        <v>0</v>
      </c>
      <c r="P203" s="28">
        <f>N203-L203</f>
        <v>0</v>
      </c>
      <c r="Q203" s="36">
        <f>IFERROR(L203*(1-$Q$2),"")</f>
        <v>1850.6999999999998</v>
      </c>
      <c r="R203" s="38">
        <f>IFERROR(VLOOKUP($A203,'Из Гугла'!$B:$G,6,0)*S203,VLOOKUP($A203,'Из Гугла'!$B:$G,6,0))</f>
        <v>1890</v>
      </c>
      <c r="S203" s="14">
        <v>1</v>
      </c>
      <c r="T203" s="83">
        <f>IFERROR(Q203/I203-1,"")</f>
        <v>0.32192857142857134</v>
      </c>
      <c r="U203" s="83">
        <f>IFERROR((W203-Q203)/W203,"")</f>
        <v>2.0793650793650888E-2</v>
      </c>
      <c r="V203" s="83">
        <f>IFERROR(IF(W203="","",W203/I203-1),"")</f>
        <v>0.35000000000000009</v>
      </c>
      <c r="W203" s="93">
        <v>1890</v>
      </c>
      <c r="X203" s="71" t="s">
        <v>924</v>
      </c>
    </row>
    <row r="204" spans="1:24" ht="30.75" thickBot="1" x14ac:dyDescent="0.3">
      <c r="A204" s="80">
        <v>145570</v>
      </c>
      <c r="B204" s="80">
        <f>VLOOKUP($A204,'Выгр Кат'!$A:$R,B$1,0)</f>
        <v>5090</v>
      </c>
      <c r="C204" s="81" t="str">
        <f>VLOOKUP($A204,'Выгр Кат'!$A:$R,C$1,0)</f>
        <v>Задние фонари с красной полосой на ВАЗ 2105, 2107</v>
      </c>
      <c r="D204" s="80" t="str">
        <f>VLOOKUP($A204,'Выгр Кат'!$A:$R,D$1,0)</f>
        <v>Y</v>
      </c>
      <c r="E204" s="80" t="str">
        <f>VLOOKUP($A204,'Выгр Кат'!$A:$R,E$1,0)</f>
        <v>1</v>
      </c>
      <c r="F204" s="80">
        <f>VLOOKUP($A204,'Выгр Кат'!$A:$R,F$1,0)</f>
        <v>0</v>
      </c>
      <c r="G204" s="80" t="str">
        <f>VLOOKUP($A204,'Выгр Кат'!$A:$R,G$1,0)</f>
        <v>https://motorring.ru/product/4259-zadnie-fonari-krasnoy-polosoy-dlya-vaz-2105-2107</v>
      </c>
      <c r="H204" s="67" t="s">
        <v>3</v>
      </c>
      <c r="I204" s="82">
        <v>1500</v>
      </c>
      <c r="J204" s="5">
        <f>VLOOKUP(I204,Наценка!$A$1:$G$8,2,1)</f>
        <v>1.3</v>
      </c>
      <c r="K204" s="55">
        <f>W204*1.04</f>
        <v>2069.6</v>
      </c>
      <c r="L204" s="70">
        <f>IF(K204&lt;=1000,(ROUNDUP(K204,-1)-1),(ROUNDUP(K204,-2)-10))</f>
        <v>2090</v>
      </c>
      <c r="M204" s="80">
        <f>VLOOKUP($A204,'Выгр Кат'!$A:$R,M$1,0)</f>
        <v>1500</v>
      </c>
      <c r="N204" s="80">
        <f>VLOOKUP($A204,'Выгр Кат'!$A:$R,N$1,0)</f>
        <v>2090</v>
      </c>
      <c r="O204" s="28">
        <f>M204-I204</f>
        <v>0</v>
      </c>
      <c r="P204" s="28">
        <f>N204-L204</f>
        <v>0</v>
      </c>
      <c r="Q204" s="36">
        <f>IFERROR(L204*(1-$Q$2),"")</f>
        <v>1943.6999999999998</v>
      </c>
      <c r="R204" s="38">
        <f>IFERROR(VLOOKUP($A204,'Из Гугла'!$B:$G,6,0)*S204,VLOOKUP($A204,'Из Гугла'!$B:$G,6,0))</f>
        <v>1990</v>
      </c>
      <c r="S204" s="14">
        <v>1</v>
      </c>
      <c r="T204" s="83">
        <f>IFERROR(Q204/I204-1,"")</f>
        <v>0.29579999999999984</v>
      </c>
      <c r="U204" s="83">
        <f>IFERROR((W204-Q204)/W204,"")</f>
        <v>2.3266331658291547E-2</v>
      </c>
      <c r="V204" s="83">
        <f>IFERROR(IF(W204="","",W204/I204-1),"")</f>
        <v>0.32666666666666666</v>
      </c>
      <c r="W204" s="95">
        <v>1990</v>
      </c>
      <c r="X204" s="71" t="s">
        <v>843</v>
      </c>
    </row>
    <row r="205" spans="1:24" ht="30.75" thickTop="1" x14ac:dyDescent="0.25">
      <c r="A205" s="80">
        <v>145527</v>
      </c>
      <c r="B205" s="80">
        <f>VLOOKUP($A205,'Выгр Кат'!$A:$R,B$1,0)</f>
        <v>4960</v>
      </c>
      <c r="C205" s="81" t="str">
        <f>VLOOKUP($A205,'Выгр Кат'!$A:$R,C$1,0)</f>
        <v>Задние фонари "Torino" (красные) для ВАЗ 2108-21099, 2113, 2114</v>
      </c>
      <c r="D205" s="80" t="str">
        <f>VLOOKUP($A205,'Выгр Кат'!$A:$R,D$1,0)</f>
        <v>Y</v>
      </c>
      <c r="E205" s="80" t="str">
        <f>VLOOKUP($A205,'Выгр Кат'!$A:$R,E$1,0)</f>
        <v>1</v>
      </c>
      <c r="F205" s="80" t="str">
        <f>VLOOKUP($A205,'Выгр Кат'!$A:$R,F$1,0)</f>
        <v>HY-200</v>
      </c>
      <c r="G205" s="80" t="str">
        <f>VLOOKUP($A205,'Выгр Кат'!$A:$R,G$1,0)</f>
        <v>https://motorring.ru/product/4250-zadnie-fonari-torino-hy-200-krasnye-beloy-polosoy-vaz</v>
      </c>
      <c r="H205" s="67" t="s">
        <v>3</v>
      </c>
      <c r="I205" s="82">
        <v>1500</v>
      </c>
      <c r="J205" s="5">
        <f>VLOOKUP(I205,Наценка!$A$1:$G$8,2,1)</f>
        <v>1.3</v>
      </c>
      <c r="K205" s="90">
        <f>W205*1.04</f>
        <v>2069.6</v>
      </c>
      <c r="L205" s="70">
        <f>IF(K205&lt;=1000,(ROUNDUP(K205,-1)-1),(ROUNDUP(K205,-2)-10))</f>
        <v>2090</v>
      </c>
      <c r="M205" s="80">
        <f>VLOOKUP($A205,'Выгр Кат'!$A:$R,M$1,0)</f>
        <v>1500</v>
      </c>
      <c r="N205" s="80">
        <f>VLOOKUP($A205,'Выгр Кат'!$A:$R,N$1,0)</f>
        <v>2090</v>
      </c>
      <c r="O205" s="28">
        <f>M205-I205</f>
        <v>0</v>
      </c>
      <c r="P205" s="28">
        <f>N205-L205</f>
        <v>0</v>
      </c>
      <c r="Q205" s="36">
        <f>IFERROR(L205*(1-$Q$2),"")</f>
        <v>1943.6999999999998</v>
      </c>
      <c r="R205" s="38">
        <f>IFERROR(VLOOKUP($A205,'Из Гугла'!$B:$G,6,0)*S205,VLOOKUP($A205,'Из Гугла'!$B:$G,6,0))</f>
        <v>1990</v>
      </c>
      <c r="S205" s="14">
        <v>1</v>
      </c>
      <c r="T205" s="83">
        <f>IFERROR(Q205/I205-1,"")</f>
        <v>0.29579999999999984</v>
      </c>
      <c r="U205" s="83">
        <f>IFERROR((W205-Q205)/W205,"")</f>
        <v>2.3266331658291547E-2</v>
      </c>
      <c r="V205" s="83">
        <f>IFERROR(IF(W205="","",W205/I205-1),"")</f>
        <v>0.32666666666666666</v>
      </c>
      <c r="W205" s="93">
        <v>1990</v>
      </c>
      <c r="X205" s="71" t="s">
        <v>849</v>
      </c>
    </row>
    <row r="206" spans="1:24" ht="45" x14ac:dyDescent="0.25">
      <c r="A206" s="80">
        <v>138412</v>
      </c>
      <c r="B206" s="80">
        <f>VLOOKUP($A206,'Выгр Кат'!$A:$R,B$1,0)</f>
        <v>7453</v>
      </c>
      <c r="C206" s="81" t="str">
        <f>VLOOKUP($A206,'Выгр Кат'!$A:$R,C$1,0)</f>
        <v>Боковые зеркала "Волна" хром c повторителем для ВАЗ 2108-21099, 2113-2115</v>
      </c>
      <c r="D206" s="80" t="str">
        <f>VLOOKUP($A206,'Выгр Кат'!$A:$R,D$1,0)</f>
        <v>Y</v>
      </c>
      <c r="E206" s="80" t="str">
        <f>VLOOKUP($A206,'Выгр Кат'!$A:$R,E$1,0)</f>
        <v>1</v>
      </c>
      <c r="F206" s="80">
        <f>VLOOKUP($A206,'Выгр Кат'!$A:$R,F$1,0)</f>
        <v>0</v>
      </c>
      <c r="G206" s="80" t="str">
        <f>VLOOKUP($A206,'Выгр Кат'!$A:$R,G$1,0)</f>
        <v>https://motorring.ru/product/15972-bokovye-zerkala-volna-chernye-hrom-nakladkoy-povtoritelem</v>
      </c>
      <c r="H206" s="67" t="s">
        <v>3</v>
      </c>
      <c r="I206" s="82">
        <v>1500</v>
      </c>
      <c r="J206" s="5">
        <f>VLOOKUP(I206,Наценка!$A$1:$G$8,2,1)</f>
        <v>1.3</v>
      </c>
      <c r="K206" s="90">
        <f>W206*1.04</f>
        <v>2381.6</v>
      </c>
      <c r="L206" s="70">
        <f>IF(K206&lt;=1000,(ROUNDUP(K206,-1)-1),(ROUNDUP(K206,-2)-10))</f>
        <v>2390</v>
      </c>
      <c r="M206" s="80">
        <f>VLOOKUP($A206,'Выгр Кат'!$A:$R,M$1,0)</f>
        <v>1500</v>
      </c>
      <c r="N206" s="80">
        <f>VLOOKUP($A206,'Выгр Кат'!$A:$R,N$1,0)</f>
        <v>2390</v>
      </c>
      <c r="O206" s="28">
        <f>M206-I206</f>
        <v>0</v>
      </c>
      <c r="P206" s="28">
        <f>N206-L206</f>
        <v>0</v>
      </c>
      <c r="Q206" s="36">
        <f>IFERROR(L206*(1-$Q$2),"")</f>
        <v>2222.6999999999998</v>
      </c>
      <c r="R206" s="38">
        <f>IFERROR(VLOOKUP($A206,'Из Гугла'!$B:$G,6,0)*S206,VLOOKUP($A206,'Из Гугла'!$B:$G,6,0))</f>
        <v>2290</v>
      </c>
      <c r="S206" s="14">
        <v>1</v>
      </c>
      <c r="T206" s="83">
        <f>IFERROR(Q206/I206-1,"")</f>
        <v>0.48179999999999978</v>
      </c>
      <c r="U206" s="83">
        <f>IFERROR((W206-Q206)/W206,"")</f>
        <v>2.9388646288209686E-2</v>
      </c>
      <c r="V206" s="83">
        <f>IFERROR(IF(W206="","",W206/I206-1),"")</f>
        <v>0.52666666666666662</v>
      </c>
      <c r="W206" s="93">
        <v>2290</v>
      </c>
      <c r="X206" s="71" t="s">
        <v>925</v>
      </c>
    </row>
    <row r="207" spans="1:24" ht="30" x14ac:dyDescent="0.25">
      <c r="A207" s="80">
        <v>211474</v>
      </c>
      <c r="B207" s="80">
        <f>VLOOKUP($A207,'Выгр Кат'!$A:$R,B$1,0)</f>
        <v>4501</v>
      </c>
      <c r="C207" s="81" t="str">
        <f>VLOOKUP($A207,'Выгр Кат'!$A:$R,C$1,0)</f>
        <v>Руль Rtech с анатомической формой для ВАЗ</v>
      </c>
      <c r="D207" s="80" t="str">
        <f>VLOOKUP($A207,'Выгр Кат'!$A:$R,D$1,0)</f>
        <v>Y</v>
      </c>
      <c r="E207" s="80" t="str">
        <f>VLOOKUP($A207,'Выгр Кат'!$A:$R,E$1,0)</f>
        <v>1</v>
      </c>
      <c r="F207" s="80" t="str">
        <f>VLOOKUP($A207,'Выгр Кат'!$A:$R,F$1,0)</f>
        <v>13064</v>
      </c>
      <c r="G207" s="80">
        <f>VLOOKUP($A207,'Выгр Кат'!$A:$R,G$1,0)</f>
        <v>0</v>
      </c>
      <c r="H207" s="67" t="s">
        <v>3</v>
      </c>
      <c r="I207" s="82">
        <v>1500</v>
      </c>
      <c r="J207" s="5">
        <f>VLOOKUP(I207,Наценка!$A$1:$G$8,2,1)</f>
        <v>1.3</v>
      </c>
      <c r="K207" s="34">
        <f>I207*J207</f>
        <v>1950</v>
      </c>
      <c r="L207" s="70">
        <f>IF(K207&lt;=1000,(ROUNDUP(K207,-1)-1),(ROUNDUP(K207,-2)-10))</f>
        <v>1990</v>
      </c>
      <c r="M207" s="80">
        <f>VLOOKUP($A207,'Выгр Кат'!$A:$R,M$1,0)</f>
        <v>1500</v>
      </c>
      <c r="N207" s="80">
        <f>VLOOKUP($A207,'Выгр Кат'!$A:$R,N$1,0)</f>
        <v>1990</v>
      </c>
      <c r="O207" s="28">
        <f>M207-I207</f>
        <v>0</v>
      </c>
      <c r="P207" s="28">
        <f>N207-L207</f>
        <v>0</v>
      </c>
      <c r="Q207" s="36">
        <f>IFERROR(L207*(1-$Q$2),"")</f>
        <v>1850.6999999999998</v>
      </c>
      <c r="R207" s="38" t="str">
        <f>IFERROR(VLOOKUP($A207,'Из Гугла'!$B:$G,6,0)*S207,VLOOKUP($A207,'Из Гугла'!$B:$G,6,0))</f>
        <v/>
      </c>
      <c r="S207" s="14">
        <v>1</v>
      </c>
      <c r="T207" s="83">
        <f>IFERROR(Q207/I207-1,"")</f>
        <v>0.23379999999999979</v>
      </c>
      <c r="U207" s="83" t="str">
        <f>IFERROR((W207-Q207)/W207,"")</f>
        <v/>
      </c>
      <c r="V207" s="83" t="str">
        <f>IFERROR(IF(W207="","",W207/I207-1),"")</f>
        <v/>
      </c>
      <c r="W207" s="84" t="s">
        <v>1269</v>
      </c>
    </row>
    <row r="208" spans="1:24" ht="30.75" thickBot="1" x14ac:dyDescent="0.3">
      <c r="A208" s="80">
        <v>211473</v>
      </c>
      <c r="B208" s="80">
        <f>VLOOKUP($A208,'Выгр Кат'!$A:$R,B$1,0)</f>
        <v>4507</v>
      </c>
      <c r="C208" s="81" t="str">
        <f>VLOOKUP($A208,'Выгр Кат'!$A:$R,C$1,0)</f>
        <v>Руль Rtech пламя (синий) для ВАЗ</v>
      </c>
      <c r="D208" s="80" t="str">
        <f>VLOOKUP($A208,'Выгр Кат'!$A:$R,D$1,0)</f>
        <v>Y</v>
      </c>
      <c r="E208" s="80" t="str">
        <f>VLOOKUP($A208,'Выгр Кат'!$A:$R,E$1,0)</f>
        <v>1</v>
      </c>
      <c r="F208" s="80" t="str">
        <f>VLOOKUP($A208,'Выгр Кат'!$A:$R,F$1,0)</f>
        <v>13076+синий</v>
      </c>
      <c r="G208" s="80">
        <f>VLOOKUP($A208,'Выгр Кат'!$A:$R,G$1,0)</f>
        <v>0</v>
      </c>
      <c r="H208" s="67" t="s">
        <v>3</v>
      </c>
      <c r="I208" s="82">
        <v>1500</v>
      </c>
      <c r="J208" s="5">
        <f>VLOOKUP(I208,Наценка!$A$1:$G$8,2,1)</f>
        <v>1.3</v>
      </c>
      <c r="K208" s="88">
        <f>I208*J208</f>
        <v>1950</v>
      </c>
      <c r="L208" s="70">
        <f>IF(K208&lt;=1000,(ROUNDUP(K208,-1)-1),(ROUNDUP(K208,-2)-10))</f>
        <v>1990</v>
      </c>
      <c r="M208" s="80">
        <f>VLOOKUP($A208,'Выгр Кат'!$A:$R,M$1,0)</f>
        <v>1500</v>
      </c>
      <c r="N208" s="80">
        <f>VLOOKUP($A208,'Выгр Кат'!$A:$R,N$1,0)</f>
        <v>1990</v>
      </c>
      <c r="O208" s="28">
        <f>M208-I208</f>
        <v>0</v>
      </c>
      <c r="P208" s="28">
        <f>N208-L208</f>
        <v>0</v>
      </c>
      <c r="Q208" s="36">
        <f>IFERROR(L208*(1-$Q$2),"")</f>
        <v>1850.6999999999998</v>
      </c>
      <c r="R208" s="38" t="str">
        <f>IFERROR(VLOOKUP($A208,'Из Гугла'!$B:$G,6,0)*S208,VLOOKUP($A208,'Из Гугла'!$B:$G,6,0))</f>
        <v/>
      </c>
      <c r="S208" s="14">
        <v>1</v>
      </c>
      <c r="T208" s="83">
        <f>IFERROR(Q208/I208-1,"")</f>
        <v>0.23379999999999979</v>
      </c>
      <c r="U208" s="83" t="str">
        <f>IFERROR((W208-Q208)/W208,"")</f>
        <v/>
      </c>
      <c r="V208" s="83" t="str">
        <f>IFERROR(IF(W208="","",W208/I208-1),"")</f>
        <v/>
      </c>
      <c r="W208" s="94" t="s">
        <v>1269</v>
      </c>
    </row>
    <row r="209" spans="1:24" ht="30.75" thickTop="1" x14ac:dyDescent="0.25">
      <c r="A209" s="80">
        <v>138415</v>
      </c>
      <c r="B209" s="80">
        <f>VLOOKUP($A209,'Выгр Кат'!$A:$R,B$1,0)</f>
        <v>7450</v>
      </c>
      <c r="C209" s="81" t="str">
        <f>VLOOKUP($A209,'Выгр Кат'!$A:$R,C$1,0)</f>
        <v>Боковые зеркала "Волна" чёрные для ВАЗ 2108-21099, 2113-2115</v>
      </c>
      <c r="D209" s="80" t="str">
        <f>VLOOKUP($A209,'Выгр Кат'!$A:$R,D$1,0)</f>
        <v>Y</v>
      </c>
      <c r="E209" s="80" t="str">
        <f>VLOOKUP($A209,'Выгр Кат'!$A:$R,E$1,0)</f>
        <v>1</v>
      </c>
      <c r="F209" s="80">
        <f>VLOOKUP($A209,'Выгр Кат'!$A:$R,F$1,0)</f>
        <v>0</v>
      </c>
      <c r="G209" s="80" t="str">
        <f>VLOOKUP($A209,'Выгр Кат'!$A:$R,G$1,0)</f>
        <v>https://motorring.ru/product/15956-bokovye-zerkala-volna-belye-libo-chernye-vaz-2108-21099</v>
      </c>
      <c r="H209" s="67" t="s">
        <v>3</v>
      </c>
      <c r="I209" s="82">
        <v>1500</v>
      </c>
      <c r="J209" s="5">
        <f>VLOOKUP(I209,Наценка!$A$1:$G$8,2,1)</f>
        <v>1.3</v>
      </c>
      <c r="K209" s="90">
        <f>W209*1.04</f>
        <v>2069.6</v>
      </c>
      <c r="L209" s="70">
        <f>IF(K209&lt;=1000,(ROUNDUP(K209,-1)-1),(ROUNDUP(K209,-2)-10))</f>
        <v>2090</v>
      </c>
      <c r="M209" s="80">
        <f>VLOOKUP($A209,'Выгр Кат'!$A:$R,M$1,0)</f>
        <v>1500</v>
      </c>
      <c r="N209" s="80">
        <f>VLOOKUP($A209,'Выгр Кат'!$A:$R,N$1,0)</f>
        <v>2090</v>
      </c>
      <c r="O209" s="28">
        <f>M209-I209</f>
        <v>0</v>
      </c>
      <c r="P209" s="28">
        <f>N209-L209</f>
        <v>0</v>
      </c>
      <c r="Q209" s="36">
        <f>IFERROR(L209*(1-$Q$2),"")</f>
        <v>1943.6999999999998</v>
      </c>
      <c r="R209" s="38">
        <f>IFERROR(VLOOKUP($A209,'Из Гугла'!$B:$G,6,0)*S209,VLOOKUP($A209,'Из Гугла'!$B:$G,6,0))</f>
        <v>1990</v>
      </c>
      <c r="S209" s="14">
        <v>1</v>
      </c>
      <c r="T209" s="83">
        <f>IFERROR(Q209/I209-1,"")</f>
        <v>0.29579999999999984</v>
      </c>
      <c r="U209" s="83">
        <f>IFERROR((W209-Q209)/W209,"")</f>
        <v>2.3266331658291547E-2</v>
      </c>
      <c r="V209" s="83">
        <f>IFERROR(IF(W209="","",W209/I209-1),"")</f>
        <v>0.32666666666666666</v>
      </c>
      <c r="W209" s="93">
        <v>1990</v>
      </c>
      <c r="X209" s="71" t="s">
        <v>926</v>
      </c>
    </row>
    <row r="210" spans="1:24" ht="30" x14ac:dyDescent="0.25">
      <c r="A210" s="80">
        <v>138439</v>
      </c>
      <c r="B210" s="80">
        <f>VLOOKUP($A210,'Выгр Кат'!$A:$R,B$1,0)</f>
        <v>7455</v>
      </c>
      <c r="C210" s="81" t="str">
        <f>VLOOKUP($A210,'Выгр Кат'!$A:$R,C$1,0)</f>
        <v>Боковые зеркала "Питер" хром для ВАЗ 2108-21099, 2113-2115</v>
      </c>
      <c r="D210" s="80" t="str">
        <f>VLOOKUP($A210,'Выгр Кат'!$A:$R,D$1,0)</f>
        <v>Y</v>
      </c>
      <c r="E210" s="80" t="str">
        <f>VLOOKUP($A210,'Выгр Кат'!$A:$R,E$1,0)</f>
        <v>1</v>
      </c>
      <c r="F210" s="80">
        <f>VLOOKUP($A210,'Выгр Кат'!$A:$R,F$1,0)</f>
        <v>0</v>
      </c>
      <c r="G210" s="80" t="str">
        <f>VLOOKUP($A210,'Выгр Кат'!$A:$R,G$1,0)</f>
        <v>https://motorring.ru/product/15968-bokovye-zerkala-piter-hrom-vaz-2108-21099-2113-2115</v>
      </c>
      <c r="H210" s="67" t="s">
        <v>3</v>
      </c>
      <c r="I210" s="82">
        <v>1500</v>
      </c>
      <c r="J210" s="5">
        <f>VLOOKUP(I210,Наценка!$A$1:$G$8,2,1)</f>
        <v>1.3</v>
      </c>
      <c r="K210" s="90">
        <f>W210*1.04</f>
        <v>2069.6</v>
      </c>
      <c r="L210" s="70">
        <f>IF(K210&lt;=1000,(ROUNDUP(K210,-1)-1),(ROUNDUP(K210,-2)-10))</f>
        <v>2090</v>
      </c>
      <c r="M210" s="80">
        <f>VLOOKUP($A210,'Выгр Кат'!$A:$R,M$1,0)</f>
        <v>1500</v>
      </c>
      <c r="N210" s="80">
        <f>VLOOKUP($A210,'Выгр Кат'!$A:$R,N$1,0)</f>
        <v>2090</v>
      </c>
      <c r="O210" s="28">
        <f>M210-I210</f>
        <v>0</v>
      </c>
      <c r="P210" s="28">
        <f>N210-L210</f>
        <v>0</v>
      </c>
      <c r="Q210" s="36">
        <f>IFERROR(L210*(1-$Q$2),"")</f>
        <v>1943.6999999999998</v>
      </c>
      <c r="R210" s="38">
        <f>IFERROR(VLOOKUP($A210,'Из Гугла'!$B:$G,6,0)*S210,VLOOKUP($A210,'Из Гугла'!$B:$G,6,0))</f>
        <v>1990</v>
      </c>
      <c r="S210" s="14">
        <v>1</v>
      </c>
      <c r="T210" s="83">
        <f>IFERROR(Q210/I210-1,"")</f>
        <v>0.29579999999999984</v>
      </c>
      <c r="U210" s="83">
        <f>IFERROR((W210-Q210)/W210,"")</f>
        <v>2.3266331658291547E-2</v>
      </c>
      <c r="V210" s="83">
        <f>IFERROR(IF(W210="","",W210/I210-1),"")</f>
        <v>0.32666666666666666</v>
      </c>
      <c r="W210" s="93">
        <v>1990</v>
      </c>
      <c r="X210" s="71" t="s">
        <v>927</v>
      </c>
    </row>
    <row r="211" spans="1:24" ht="45" x14ac:dyDescent="0.25">
      <c r="A211" s="80">
        <v>138431</v>
      </c>
      <c r="B211" s="80">
        <f>VLOOKUP($A211,'Выгр Кат'!$A:$R,B$1,0)</f>
        <v>11449</v>
      </c>
      <c r="C211" s="81" t="str">
        <f>VLOOKUP($A211,'Выгр Кат'!$A:$R,C$1,0)</f>
        <v>Боковые зеркала "Питер" YH-3388 чёрные, с голубым антибликом для ВАЗ 2108-21099, 2113-2115</v>
      </c>
      <c r="D211" s="80" t="str">
        <f>VLOOKUP($A211,'Выгр Кат'!$A:$R,D$1,0)</f>
        <v>Y</v>
      </c>
      <c r="E211" s="80" t="str">
        <f>VLOOKUP($A211,'Выгр Кат'!$A:$R,E$1,0)</f>
        <v>1</v>
      </c>
      <c r="F211" s="80" t="str">
        <f>VLOOKUP($A211,'Выгр Кат'!$A:$R,F$1,0)</f>
        <v>YH-3388</v>
      </c>
      <c r="G211" s="80" t="str">
        <f>VLOOKUP($A211,'Выгр Кат'!$A:$R,G$1,0)</f>
        <v>https://motorring.ru/product/12748-bokovye-zerkala-piter-chernye-antiblikom-vaz-2108-21099</v>
      </c>
      <c r="H211" s="67" t="s">
        <v>3</v>
      </c>
      <c r="I211" s="82">
        <v>1500</v>
      </c>
      <c r="J211" s="5">
        <f>VLOOKUP(I211,Наценка!$A$1:$G$8,2,1)</f>
        <v>1.3</v>
      </c>
      <c r="K211" s="55">
        <f>W211*1.04</f>
        <v>2069.6</v>
      </c>
      <c r="L211" s="70">
        <f>IF(K211&lt;=1000,(ROUNDUP(K211,-1)-1),(ROUNDUP(K211,-2)-10))</f>
        <v>2090</v>
      </c>
      <c r="M211" s="80">
        <f>VLOOKUP($A211,'Выгр Кат'!$A:$R,M$1,0)</f>
        <v>1500</v>
      </c>
      <c r="N211" s="80">
        <f>VLOOKUP($A211,'Выгр Кат'!$A:$R,N$1,0)</f>
        <v>2090</v>
      </c>
      <c r="O211" s="28">
        <f>M211-I211</f>
        <v>0</v>
      </c>
      <c r="P211" s="28">
        <f>N211-L211</f>
        <v>0</v>
      </c>
      <c r="Q211" s="36">
        <f>IFERROR(L211*(1-$Q$2),"")</f>
        <v>1943.6999999999998</v>
      </c>
      <c r="R211" s="38">
        <f>IFERROR(VLOOKUP($A211,'Из Гугла'!$B:$G,6,0)*S211,VLOOKUP($A211,'Из Гугла'!$B:$G,6,0))</f>
        <v>1990</v>
      </c>
      <c r="S211" s="14">
        <v>1</v>
      </c>
      <c r="T211" s="83">
        <f>IFERROR(Q211/I211-1,"")</f>
        <v>0.29579999999999984</v>
      </c>
      <c r="U211" s="83">
        <f>IFERROR((W211-Q211)/W211,"")</f>
        <v>2.3266331658291547E-2</v>
      </c>
      <c r="V211" s="83">
        <f>IFERROR(IF(W211="","",W211/I211-1),"")</f>
        <v>0.32666666666666666</v>
      </c>
      <c r="W211" s="93">
        <v>1990</v>
      </c>
      <c r="X211" s="71" t="s">
        <v>928</v>
      </c>
    </row>
    <row r="212" spans="1:24" ht="45" x14ac:dyDescent="0.25">
      <c r="A212" s="80">
        <v>138432</v>
      </c>
      <c r="B212" s="80">
        <f>VLOOKUP($A212,'Выгр Кат'!$A:$R,B$1,0)</f>
        <v>11451</v>
      </c>
      <c r="C212" s="81" t="str">
        <f>VLOOKUP($A212,'Выгр Кат'!$A:$R,C$1,0)</f>
        <v>Боковые зеркала "Питер" белые, с антибликом для ВАЗ 2108-21099, 2113-2115</v>
      </c>
      <c r="D212" s="80" t="str">
        <f>VLOOKUP($A212,'Выгр Кат'!$A:$R,D$1,0)</f>
        <v>Y</v>
      </c>
      <c r="E212" s="80" t="str">
        <f>VLOOKUP($A212,'Выгр Кат'!$A:$R,E$1,0)</f>
        <v>1</v>
      </c>
      <c r="F212" s="80">
        <f>VLOOKUP($A212,'Выгр Кат'!$A:$R,F$1,0)</f>
        <v>0</v>
      </c>
      <c r="G212" s="80" t="str">
        <f>VLOOKUP($A212,'Выгр Кат'!$A:$R,G$1,0)</f>
        <v>https://motorring.ru/product/12750-bokovye-zerkala-piter-belye-antiblikom-vaz-2108-21099</v>
      </c>
      <c r="H212" s="67" t="s">
        <v>3</v>
      </c>
      <c r="I212" s="82">
        <v>1500</v>
      </c>
      <c r="J212" s="5">
        <f>VLOOKUP(I212,Наценка!$A$1:$G$8,2,1)</f>
        <v>1.3</v>
      </c>
      <c r="K212" s="90">
        <f>W212*1.04</f>
        <v>2069.6</v>
      </c>
      <c r="L212" s="70">
        <f>IF(K212&lt;=1000,(ROUNDUP(K212,-1)-1),(ROUNDUP(K212,-2)-10))</f>
        <v>2090</v>
      </c>
      <c r="M212" s="80">
        <f>VLOOKUP($A212,'Выгр Кат'!$A:$R,M$1,0)</f>
        <v>1500</v>
      </c>
      <c r="N212" s="80">
        <f>VLOOKUP($A212,'Выгр Кат'!$A:$R,N$1,0)</f>
        <v>2090</v>
      </c>
      <c r="O212" s="28">
        <f>M212-I212</f>
        <v>0</v>
      </c>
      <c r="P212" s="28">
        <f>N212-L212</f>
        <v>0</v>
      </c>
      <c r="Q212" s="36">
        <f>IFERROR(L212*(1-$Q$2),"")</f>
        <v>1943.6999999999998</v>
      </c>
      <c r="R212" s="38">
        <f>IFERROR(VLOOKUP($A212,'Из Гугла'!$B:$G,6,0)*S212,VLOOKUP($A212,'Из Гугла'!$B:$G,6,0))</f>
        <v>1990</v>
      </c>
      <c r="S212" s="14">
        <v>1</v>
      </c>
      <c r="T212" s="83">
        <f>IFERROR(Q212/I212-1,"")</f>
        <v>0.29579999999999984</v>
      </c>
      <c r="U212" s="83">
        <f>IFERROR((W212-Q212)/W212,"")</f>
        <v>2.3266331658291547E-2</v>
      </c>
      <c r="V212" s="83">
        <f>IFERROR(IF(W212="","",W212/I212-1),"")</f>
        <v>0.32666666666666666</v>
      </c>
      <c r="W212" s="93">
        <v>1990</v>
      </c>
      <c r="X212" s="71" t="s">
        <v>929</v>
      </c>
    </row>
    <row r="213" spans="1:24" ht="30.75" thickBot="1" x14ac:dyDescent="0.3">
      <c r="A213" s="80">
        <v>138441</v>
      </c>
      <c r="B213" s="80">
        <f>VLOOKUP($A213,'Выгр Кат'!$A:$R,B$1,0)</f>
        <v>19175</v>
      </c>
      <c r="C213" s="81" t="str">
        <f>VLOOKUP($A213,'Выгр Кат'!$A:$R,C$1,0)</f>
        <v>Боковые зеркала "Питер", снежка для ВАЗ 2110-2112</v>
      </c>
      <c r="D213" s="80" t="str">
        <f>VLOOKUP($A213,'Выгр Кат'!$A:$R,D$1,0)</f>
        <v>Y</v>
      </c>
      <c r="E213" s="80" t="str">
        <f>VLOOKUP($A213,'Выгр Кат'!$A:$R,E$1,0)</f>
        <v>1</v>
      </c>
      <c r="F213" s="80">
        <f>VLOOKUP($A213,'Выгр Кат'!$A:$R,F$1,0)</f>
        <v>0</v>
      </c>
      <c r="G213" s="80" t="str">
        <f>VLOOKUP($A213,'Выгр Кат'!$A:$R,G$1,0)</f>
        <v>https://motorring.ru/product/12751</v>
      </c>
      <c r="H213" s="67" t="s">
        <v>3</v>
      </c>
      <c r="I213" s="82">
        <v>1500</v>
      </c>
      <c r="J213" s="5">
        <f>VLOOKUP(I213,Наценка!$A$1:$G$8,2,1)</f>
        <v>1.3</v>
      </c>
      <c r="K213" s="55">
        <f>W213*1.04</f>
        <v>1965.6000000000001</v>
      </c>
      <c r="L213" s="70">
        <f>IF(K213&lt;=1000,(ROUNDUP(K213,-1)-1),(ROUNDUP(K213,-2)-10))</f>
        <v>1990</v>
      </c>
      <c r="M213" s="80">
        <f>VLOOKUP($A213,'Выгр Кат'!$A:$R,M$1,0)</f>
        <v>1500</v>
      </c>
      <c r="N213" s="80">
        <f>VLOOKUP($A213,'Выгр Кат'!$A:$R,N$1,0)</f>
        <v>1990</v>
      </c>
      <c r="O213" s="28">
        <f>M213-I213</f>
        <v>0</v>
      </c>
      <c r="P213" s="28">
        <f>N213-L213</f>
        <v>0</v>
      </c>
      <c r="Q213" s="36">
        <f>IFERROR(L213*(1-$Q$2),"")</f>
        <v>1850.6999999999998</v>
      </c>
      <c r="R213" s="38">
        <f>IFERROR(VLOOKUP($A213,'Из Гугла'!$B:$G,6,0)*S213,VLOOKUP($A213,'Из Гугла'!$B:$G,6,0))</f>
        <v>1890</v>
      </c>
      <c r="S213" s="14">
        <v>1</v>
      </c>
      <c r="T213" s="83">
        <f>IFERROR(Q213/I213-1,"")</f>
        <v>0.23379999999999979</v>
      </c>
      <c r="U213" s="83">
        <f>IFERROR((W213-Q213)/W213,"")</f>
        <v>2.0793650793650888E-2</v>
      </c>
      <c r="V213" s="83">
        <f>IFERROR(IF(W213="","",W213/I213-1),"")</f>
        <v>0.26</v>
      </c>
      <c r="W213" s="85">
        <v>1890</v>
      </c>
      <c r="X213" s="71" t="s">
        <v>851</v>
      </c>
    </row>
    <row r="214" spans="1:24" ht="31.5" thickTop="1" thickBot="1" x14ac:dyDescent="0.3">
      <c r="A214" s="80">
        <v>211419</v>
      </c>
      <c r="B214" s="80">
        <f>VLOOKUP($A214,'Выгр Кат'!$A:$R,B$1,0)</f>
        <v>19221</v>
      </c>
      <c r="C214" s="81" t="str">
        <f>VLOOKUP($A214,'Выгр Кат'!$A:$R,C$1,0)</f>
        <v>Руль "F-1" LUXE серый (без вылета)</v>
      </c>
      <c r="D214" s="80" t="str">
        <f>VLOOKUP($A214,'Выгр Кат'!$A:$R,D$1,0)</f>
        <v>Y</v>
      </c>
      <c r="E214" s="80" t="str">
        <f>VLOOKUP($A214,'Выгр Кат'!$A:$R,E$1,0)</f>
        <v>1</v>
      </c>
      <c r="F214" s="80" t="str">
        <f>VLOOKUP($A214,'Выгр Кат'!$A:$R,F$1,0)</f>
        <v>4163С+PVC+серый</v>
      </c>
      <c r="G214" s="80">
        <f>VLOOKUP($A214,'Выгр Кат'!$A:$R,G$1,0)</f>
        <v>0</v>
      </c>
      <c r="H214" s="67" t="s">
        <v>3</v>
      </c>
      <c r="I214" s="82">
        <v>1500</v>
      </c>
      <c r="J214" s="5">
        <f>VLOOKUP(I214,Наценка!$A$1:$G$8,2,1)</f>
        <v>1.3</v>
      </c>
      <c r="K214" s="34">
        <f>I214*J214</f>
        <v>1950</v>
      </c>
      <c r="L214" s="70">
        <f>IF(K214&lt;=1000,(ROUNDUP(K214,-1)-1),(ROUNDUP(K214,-2)-10))</f>
        <v>1990</v>
      </c>
      <c r="M214" s="80">
        <f>VLOOKUP($A214,'Выгр Кат'!$A:$R,M$1,0)</f>
        <v>1500</v>
      </c>
      <c r="N214" s="80">
        <f>VLOOKUP($A214,'Выгр Кат'!$A:$R,N$1,0)</f>
        <v>1990</v>
      </c>
      <c r="O214" s="28">
        <f>M214-I214</f>
        <v>0</v>
      </c>
      <c r="P214" s="28">
        <f>N214-L214</f>
        <v>0</v>
      </c>
      <c r="Q214" s="36">
        <f>IFERROR(L214*(1-$Q$2),"")</f>
        <v>1850.6999999999998</v>
      </c>
      <c r="R214" s="38" t="str">
        <f>IFERROR(VLOOKUP($A214,'Из Гугла'!$B:$G,6,0)*S214,VLOOKUP($A214,'Из Гугла'!$B:$G,6,0))</f>
        <v/>
      </c>
      <c r="S214" s="14">
        <v>1</v>
      </c>
      <c r="T214" s="83">
        <f>IFERROR(Q214/I214-1,"")</f>
        <v>0.23379999999999979</v>
      </c>
      <c r="U214" s="83" t="str">
        <f>IFERROR((W214-Q214)/W214,"")</f>
        <v/>
      </c>
      <c r="V214" s="83" t="str">
        <f>IFERROR(IF(W214="","",W214/I214-1),"")</f>
        <v/>
      </c>
      <c r="W214" s="94" t="s">
        <v>1269</v>
      </c>
    </row>
    <row r="215" spans="1:24" ht="60.75" thickTop="1" x14ac:dyDescent="0.25">
      <c r="A215" s="80">
        <v>213677</v>
      </c>
      <c r="B215" s="80">
        <f>VLOOKUP($A215,'Выгр Кат'!$A:$R,B$1,0)</f>
        <v>19389</v>
      </c>
      <c r="C215" s="81" t="str">
        <f>VLOOKUP($A215,'Выгр Кат'!$A:$R,C$1,0)</f>
        <v>Светодиодные противотуманные фары (4 полосы, 40W) для ВАЗ (2110-2112, 2113-2115), Шевроле Нива (до рестайлинга)</v>
      </c>
      <c r="D215" s="80" t="str">
        <f>VLOOKUP($A215,'Выгр Кат'!$A:$R,D$1,0)</f>
        <v>Y</v>
      </c>
      <c r="E215" s="80" t="str">
        <f>VLOOKUP($A215,'Выгр Кат'!$A:$R,E$1,0)</f>
        <v>1</v>
      </c>
      <c r="F215" s="80">
        <f>VLOOKUP($A215,'Выгр Кат'!$A:$R,F$1,0)</f>
        <v>0</v>
      </c>
      <c r="G215" s="80" t="str">
        <f>VLOOKUP($A215,'Выгр Кат'!$A:$R,G$1,0)</f>
        <v>https://motorring.ru/product/24470-svetodiodnye-led-protivotumannye-fary-analog-polosy</v>
      </c>
      <c r="H215" s="67" t="s">
        <v>3</v>
      </c>
      <c r="I215" s="82">
        <v>1500</v>
      </c>
      <c r="J215" s="5">
        <f>VLOOKUP(I215,Наценка!$A$1:$G$8,2,1)</f>
        <v>1.3</v>
      </c>
      <c r="K215" s="55">
        <f>W215*1.04</f>
        <v>2277.6</v>
      </c>
      <c r="L215" s="70">
        <f>IF(K215&lt;=1000,(ROUNDUP(K215,-1)-1),(ROUNDUP(K215,-2)-10))</f>
        <v>2290</v>
      </c>
      <c r="M215" s="80">
        <f>VLOOKUP($A215,'Выгр Кат'!$A:$R,M$1,0)</f>
        <v>1500</v>
      </c>
      <c r="N215" s="80">
        <f>VLOOKUP($A215,'Выгр Кат'!$A:$R,N$1,0)</f>
        <v>2290</v>
      </c>
      <c r="O215" s="28">
        <f>M215-I215</f>
        <v>0</v>
      </c>
      <c r="P215" s="28">
        <f>N215-L215</f>
        <v>0</v>
      </c>
      <c r="Q215" s="36">
        <f>IFERROR(L215*(1-$Q$2),"")</f>
        <v>2129.6999999999998</v>
      </c>
      <c r="R215" s="38">
        <f>IFERROR(VLOOKUP($A215,'Из Гугла'!$B:$G,6,0)*S215,VLOOKUP($A215,'Из Гугла'!$B:$G,6,0))</f>
        <v>2190</v>
      </c>
      <c r="S215" s="14">
        <v>1</v>
      </c>
      <c r="T215" s="83">
        <f>IFERROR(Q215/I215-1,"")</f>
        <v>0.41979999999999995</v>
      </c>
      <c r="U215" s="83">
        <f>IFERROR((W215-Q215)/W215,"")</f>
        <v>2.753424657534255E-2</v>
      </c>
      <c r="V215" s="83">
        <f>IFERROR(IF(W215="","",W215/I215-1),"")</f>
        <v>0.45999999999999996</v>
      </c>
      <c r="W215" s="93">
        <v>2190</v>
      </c>
      <c r="X215" s="71" t="s">
        <v>850</v>
      </c>
    </row>
    <row r="216" spans="1:24" ht="60" x14ac:dyDescent="0.25">
      <c r="A216" s="80">
        <v>201787</v>
      </c>
      <c r="B216" s="80">
        <f>VLOOKUP($A216,'Выгр Кат'!$A:$R,B$1,0)</f>
        <v>26581</v>
      </c>
      <c r="C216" s="81" t="str">
        <f>VLOOKUP($A216,'Выгр Кат'!$A:$R,C$1,0)</f>
        <v>Противотуманные фары 4 линзы LED (алюминиевый корпус, двухцветные белый и желтый) для ВАЗ 2110-2112, 2113-2115</v>
      </c>
      <c r="D216" s="80" t="str">
        <f>VLOOKUP($A216,'Выгр Кат'!$A:$R,D$1,0)</f>
        <v>Y</v>
      </c>
      <c r="E216" s="80" t="str">
        <f>VLOOKUP($A216,'Выгр Кат'!$A:$R,E$1,0)</f>
        <v>1</v>
      </c>
      <c r="F216" s="80" t="str">
        <f>VLOOKUP($A216,'Выгр Кат'!$A:$R,F$1,0)</f>
        <v>40FD</v>
      </c>
      <c r="G216" s="80" t="str">
        <f>VLOOKUP($A216,'Выгр Кат'!$A:$R,G$1,0)</f>
        <v>https://motorring.ru/product/24471-svetodiodnye-dvuhcvetnie-led-protivotumannye-fary-analog-polosy</v>
      </c>
      <c r="H216" s="67" t="s">
        <v>3</v>
      </c>
      <c r="I216" s="82">
        <v>1500</v>
      </c>
      <c r="J216" s="5">
        <f>VLOOKUP(I216,Наценка!$A$1:$G$8,2,1)</f>
        <v>1.3</v>
      </c>
      <c r="K216" s="90">
        <f>W216*1.04</f>
        <v>2485.6</v>
      </c>
      <c r="L216" s="70">
        <f>IF(K216&lt;=1000,(ROUNDUP(K216,-1)-1),(ROUNDUP(K216,-2)-10))</f>
        <v>2490</v>
      </c>
      <c r="M216" s="80">
        <f>VLOOKUP($A216,'Выгр Кат'!$A:$R,M$1,0)</f>
        <v>1500</v>
      </c>
      <c r="N216" s="80">
        <f>VLOOKUP($A216,'Выгр Кат'!$A:$R,N$1,0)</f>
        <v>2490</v>
      </c>
      <c r="O216" s="28">
        <f>M216-I216</f>
        <v>0</v>
      </c>
      <c r="P216" s="28">
        <f>N216-L216</f>
        <v>0</v>
      </c>
      <c r="Q216" s="36">
        <f>IFERROR(L216*(1-$Q$2),"")</f>
        <v>2315.6999999999998</v>
      </c>
      <c r="R216" s="38">
        <f>IFERROR(VLOOKUP($A216,'Из Гугла'!$B:$G,6,0)*S216,VLOOKUP($A216,'Из Гугла'!$B:$G,6,0))</f>
        <v>2390</v>
      </c>
      <c r="S216" s="14">
        <v>1</v>
      </c>
      <c r="T216" s="83">
        <f>IFERROR(Q216/I216-1,"")</f>
        <v>0.54379999999999984</v>
      </c>
      <c r="U216" s="83">
        <f>IFERROR((W216-Q216)/W216,"")</f>
        <v>3.1087866108786687E-2</v>
      </c>
      <c r="V216" s="83">
        <f>IFERROR(IF(W216="","",W216/I216-1),"")</f>
        <v>0.59333333333333327</v>
      </c>
      <c r="W216" s="93">
        <v>2390</v>
      </c>
      <c r="X216" s="71" t="s">
        <v>857</v>
      </c>
    </row>
    <row r="217" spans="1:24" ht="45.75" thickBot="1" x14ac:dyDescent="0.3">
      <c r="A217" s="80">
        <v>166025</v>
      </c>
      <c r="B217" s="80">
        <f>VLOOKUP($A217,'Выгр Кат'!$A:$R,B$1,0)</f>
        <v>20183</v>
      </c>
      <c r="C217" s="81" t="str">
        <f>VLOOKUP($A217,'Выгр Кат'!$A:$R,C$1,0)</f>
        <v>Накладка заднего номера с подсветкой тонированная для Лада Нива 4x4</v>
      </c>
      <c r="D217" s="80" t="str">
        <f>VLOOKUP($A217,'Выгр Кат'!$A:$R,D$1,0)</f>
        <v>Y</v>
      </c>
      <c r="E217" s="80" t="str">
        <f>VLOOKUP($A217,'Выгр Кат'!$A:$R,E$1,0)</f>
        <v>1</v>
      </c>
      <c r="F217" s="80">
        <f>VLOOKUP($A217,'Выгр Кат'!$A:$R,F$1,0)</f>
        <v>0</v>
      </c>
      <c r="G217" s="80">
        <f>VLOOKUP($A217,'Выгр Кат'!$A:$R,G$1,0)</f>
        <v>0</v>
      </c>
      <c r="H217" s="67" t="s">
        <v>3</v>
      </c>
      <c r="I217" s="82">
        <v>1500</v>
      </c>
      <c r="J217" s="5">
        <f>VLOOKUP(I217,Наценка!$A$1:$G$8,2,1)</f>
        <v>1.3</v>
      </c>
      <c r="K217" s="88">
        <f>I217*J217</f>
        <v>1950</v>
      </c>
      <c r="L217" s="70">
        <f>IF(K217&lt;=1000,(ROUNDUP(K217,-1)-1),(ROUNDUP(K217,-2)-10))</f>
        <v>1990</v>
      </c>
      <c r="M217" s="80">
        <f>VLOOKUP($A217,'Выгр Кат'!$A:$R,M$1,0)</f>
        <v>1500</v>
      </c>
      <c r="N217" s="80">
        <f>VLOOKUP($A217,'Выгр Кат'!$A:$R,N$1,0)</f>
        <v>1990</v>
      </c>
      <c r="O217" s="28">
        <f>M217-I217</f>
        <v>0</v>
      </c>
      <c r="P217" s="28">
        <f>N217-L217</f>
        <v>0</v>
      </c>
      <c r="Q217" s="36">
        <f>IFERROR(L217*(1-$Q$2),"")</f>
        <v>1850.6999999999998</v>
      </c>
      <c r="R217" s="38" t="str">
        <f>IFERROR(VLOOKUP($A217,'Из Гугла'!$B:$G,6,0)*S217,VLOOKUP($A217,'Из Гугла'!$B:$G,6,0))</f>
        <v/>
      </c>
      <c r="S217" s="14">
        <v>1</v>
      </c>
      <c r="T217" s="83">
        <f>IFERROR(Q217/I217-1,"")</f>
        <v>0.23379999999999979</v>
      </c>
      <c r="U217" s="83" t="str">
        <f>IFERROR((W217-Q217)/W217,"")</f>
        <v/>
      </c>
      <c r="V217" s="83" t="str">
        <f>IFERROR(IF(W217="","",W217/I217-1),"")</f>
        <v/>
      </c>
      <c r="W217" s="94" t="s">
        <v>1428</v>
      </c>
    </row>
    <row r="218" spans="1:24" ht="46.5" thickTop="1" thickBot="1" x14ac:dyDescent="0.3">
      <c r="A218" s="80">
        <v>138436</v>
      </c>
      <c r="B218" s="80">
        <f>VLOOKUP($A218,'Выгр Кат'!$A:$R,B$1,0)</f>
        <v>6410</v>
      </c>
      <c r="C218" s="81" t="str">
        <f>VLOOKUP($A218,'Выгр Кат'!$A:$R,C$1,0)</f>
        <v>Боковые зеркала "Питер" механические (хром) для ВАЗ 2104, 2105, 2107</v>
      </c>
      <c r="D218" s="80" t="str">
        <f>VLOOKUP($A218,'Выгр Кат'!$A:$R,D$1,0)</f>
        <v>Y</v>
      </c>
      <c r="E218" s="80" t="str">
        <f>VLOOKUP($A218,'Выгр Кат'!$A:$R,E$1,0)</f>
        <v>1</v>
      </c>
      <c r="F218" s="80">
        <f>VLOOKUP($A218,'Выгр Кат'!$A:$R,F$1,0)</f>
        <v>0</v>
      </c>
      <c r="G218" s="80" t="str">
        <f>VLOOKUP($A218,'Выгр Кат'!$A:$R,G$1,0)</f>
        <v>https://motorring.ru/product/24273-bokovye-zerkala-piter-snejka-vaz-2104-2107</v>
      </c>
      <c r="H218" s="67" t="s">
        <v>3</v>
      </c>
      <c r="I218" s="82">
        <v>1600</v>
      </c>
      <c r="J218" s="5">
        <f>VLOOKUP(I218,Наценка!$A$1:$G$8,2,1)</f>
        <v>1.3</v>
      </c>
      <c r="K218" s="55">
        <f>W218*1.04</f>
        <v>2069.6</v>
      </c>
      <c r="L218" s="70">
        <f>IF(K218&lt;=1000,(ROUNDUP(K218,-1)-1),(ROUNDUP(K218,-2)-10))</f>
        <v>2090</v>
      </c>
      <c r="M218" s="80">
        <f>VLOOKUP($A218,'Выгр Кат'!$A:$R,M$1,0)</f>
        <v>1600</v>
      </c>
      <c r="N218" s="80">
        <f>VLOOKUP($A218,'Выгр Кат'!$A:$R,N$1,0)</f>
        <v>2090</v>
      </c>
      <c r="O218" s="28">
        <f>M218-I218</f>
        <v>0</v>
      </c>
      <c r="P218" s="28">
        <f>N218-L218</f>
        <v>0</v>
      </c>
      <c r="Q218" s="36">
        <f>IFERROR(L218*(1-$Q$2),"")</f>
        <v>1943.6999999999998</v>
      </c>
      <c r="R218" s="38">
        <f>IFERROR(VLOOKUP($A218,'Из Гугла'!$B:$G,6,0)*S218,VLOOKUP($A218,'Из Гугла'!$B:$G,6,0))</f>
        <v>1990</v>
      </c>
      <c r="S218" s="14">
        <v>1</v>
      </c>
      <c r="T218" s="83">
        <f>IFERROR(Q218/I218-1,"")</f>
        <v>0.21481249999999985</v>
      </c>
      <c r="U218" s="83">
        <f>IFERROR((W218-Q218)/W218,"")</f>
        <v>2.3266331658291547E-2</v>
      </c>
      <c r="V218" s="83">
        <f>IFERROR(IF(W218="","",W218/I218-1),"")</f>
        <v>0.24374999999999991</v>
      </c>
      <c r="W218" s="94">
        <v>1990</v>
      </c>
      <c r="X218" s="71" t="s">
        <v>1431</v>
      </c>
    </row>
    <row r="219" spans="1:24" ht="30.75" thickTop="1" x14ac:dyDescent="0.25">
      <c r="A219" s="80">
        <v>223093</v>
      </c>
      <c r="B219" s="80">
        <f>VLOOKUP($A219,'Выгр Кат'!$A:$R,B$1,0)</f>
        <v>8284</v>
      </c>
      <c r="C219" s="81" t="str">
        <f>VLOOKUP($A219,'Выгр Кат'!$A:$R,C$1,0)</f>
        <v>Универсальные ПТФ "DLAA" LA988H-W белые</v>
      </c>
      <c r="D219" s="80" t="str">
        <f>VLOOKUP($A219,'Выгр Кат'!$A:$R,D$1,0)</f>
        <v>Y</v>
      </c>
      <c r="E219" s="80" t="str">
        <f>VLOOKUP($A219,'Выгр Кат'!$A:$R,E$1,0)</f>
        <v>1</v>
      </c>
      <c r="F219" s="80" t="str">
        <f>VLOOKUP($A219,'Выгр Кат'!$A:$R,F$1,0)</f>
        <v>LA988H-W</v>
      </c>
      <c r="G219" s="80">
        <f>VLOOKUP($A219,'Выгр Кат'!$A:$R,G$1,0)</f>
        <v>0</v>
      </c>
      <c r="H219" s="67" t="s">
        <v>3</v>
      </c>
      <c r="I219" s="82">
        <v>1600</v>
      </c>
      <c r="J219" s="5">
        <f>VLOOKUP(I219,Наценка!$A$1:$G$8,2,1)</f>
        <v>1.3</v>
      </c>
      <c r="K219" s="34">
        <f>I219*J219</f>
        <v>2080</v>
      </c>
      <c r="L219" s="70">
        <f>IF(K219&lt;=1000,(ROUNDUP(K219,-1)-1),(ROUNDUP(K219,-2)-10))</f>
        <v>2090</v>
      </c>
      <c r="M219" s="80">
        <f>VLOOKUP($A219,'Выгр Кат'!$A:$R,M$1,0)</f>
        <v>1600</v>
      </c>
      <c r="N219" s="80">
        <f>VLOOKUP($A219,'Выгр Кат'!$A:$R,N$1,0)</f>
        <v>2090</v>
      </c>
      <c r="O219" s="28">
        <f>M219-I219</f>
        <v>0</v>
      </c>
      <c r="P219" s="28">
        <f>N219-L219</f>
        <v>0</v>
      </c>
      <c r="Q219" s="36">
        <f>IFERROR(L219*(1-$Q$2),"")</f>
        <v>1943.6999999999998</v>
      </c>
      <c r="R219" s="38" t="str">
        <f>IFERROR(VLOOKUP($A219,'Из Гугла'!$B:$G,6,0)*S219,VLOOKUP($A219,'Из Гугла'!$B:$G,6,0))</f>
        <v/>
      </c>
      <c r="S219" s="14">
        <v>1</v>
      </c>
      <c r="T219" s="83">
        <f>IFERROR(Q219/I219-1,"")</f>
        <v>0.21481249999999985</v>
      </c>
      <c r="U219" s="83" t="str">
        <f>IFERROR((W219-Q219)/W219,"")</f>
        <v/>
      </c>
      <c r="V219" s="83" t="str">
        <f>IFERROR(IF(W219="","",W219/I219-1),"")</f>
        <v/>
      </c>
      <c r="W219" s="84" t="s">
        <v>1269</v>
      </c>
    </row>
    <row r="220" spans="1:24" ht="30" x14ac:dyDescent="0.25">
      <c r="A220" s="80">
        <v>212187</v>
      </c>
      <c r="B220" s="80">
        <f>VLOOKUP($A220,'Выгр Кат'!$A:$R,B$1,0)</f>
        <v>4498</v>
      </c>
      <c r="C220" s="81" t="str">
        <f>VLOOKUP($A220,'Выгр Кат'!$A:$R,C$1,0)</f>
        <v>Руль с анатомической формой для ВАЗ, замша</v>
      </c>
      <c r="D220" s="80" t="str">
        <f>VLOOKUP($A220,'Выгр Кат'!$A:$R,D$1,0)</f>
        <v>Y</v>
      </c>
      <c r="E220" s="80" t="str">
        <f>VLOOKUP($A220,'Выгр Кат'!$A:$R,E$1,0)</f>
        <v>1</v>
      </c>
      <c r="F220" s="80" t="str">
        <f>VLOOKUP($A220,'Выгр Кат'!$A:$R,F$1,0)</f>
        <v>4163 замша</v>
      </c>
      <c r="G220" s="80">
        <f>VLOOKUP($A220,'Выгр Кат'!$A:$R,G$1,0)</f>
        <v>0</v>
      </c>
      <c r="H220" s="67" t="s">
        <v>3</v>
      </c>
      <c r="I220" s="82">
        <v>1600</v>
      </c>
      <c r="J220" s="5">
        <f>VLOOKUP(I220,Наценка!$A$1:$G$8,2,1)</f>
        <v>1.3</v>
      </c>
      <c r="K220" s="34">
        <f>I220*J220</f>
        <v>2080</v>
      </c>
      <c r="L220" s="70">
        <f>IF(K220&lt;=1000,(ROUNDUP(K220,-1)-1),(ROUNDUP(K220,-2)-10))</f>
        <v>2090</v>
      </c>
      <c r="M220" s="80">
        <f>VLOOKUP($A220,'Выгр Кат'!$A:$R,M$1,0)</f>
        <v>1600</v>
      </c>
      <c r="N220" s="80">
        <f>VLOOKUP($A220,'Выгр Кат'!$A:$R,N$1,0)</f>
        <v>2090</v>
      </c>
      <c r="O220" s="28">
        <f>M220-I220</f>
        <v>0</v>
      </c>
      <c r="P220" s="28">
        <f>N220-L220</f>
        <v>0</v>
      </c>
      <c r="Q220" s="36">
        <f>IFERROR(L220*(1-$Q$2),"")</f>
        <v>1943.6999999999998</v>
      </c>
      <c r="R220" s="38" t="str">
        <f>IFERROR(VLOOKUP($A220,'Из Гугла'!$B:$G,6,0)*S220,VLOOKUP($A220,'Из Гугла'!$B:$G,6,0))</f>
        <v/>
      </c>
      <c r="S220" s="14">
        <v>1</v>
      </c>
      <c r="T220" s="83">
        <f>IFERROR(Q220/I220-1,"")</f>
        <v>0.21481249999999985</v>
      </c>
      <c r="U220" s="83" t="str">
        <f>IFERROR((W220-Q220)/W220,"")</f>
        <v/>
      </c>
      <c r="V220" s="83" t="str">
        <f>IFERROR(IF(W220="","",W220/I220-1),"")</f>
        <v/>
      </c>
      <c r="W220" s="84" t="s">
        <v>1269</v>
      </c>
    </row>
    <row r="221" spans="1:24" ht="30.75" thickBot="1" x14ac:dyDescent="0.3">
      <c r="A221" s="80">
        <v>211440</v>
      </c>
      <c r="B221" s="80">
        <f>VLOOKUP($A221,'Выгр Кат'!$A:$R,B$1,0)</f>
        <v>4500</v>
      </c>
      <c r="C221" s="81" t="str">
        <f>VLOOKUP($A221,'Выгр Кат'!$A:$R,C$1,0)</f>
        <v>Руль "Rtech" (замша) с анатомической формой для ВАЗ</v>
      </c>
      <c r="D221" s="80" t="str">
        <f>VLOOKUP($A221,'Выгр Кат'!$A:$R,D$1,0)</f>
        <v>Y</v>
      </c>
      <c r="E221" s="80" t="str">
        <f>VLOOKUP($A221,'Выгр Кат'!$A:$R,E$1,0)</f>
        <v>1</v>
      </c>
      <c r="F221" s="80" t="str">
        <f>VLOOKUP($A221,'Выгр Кат'!$A:$R,F$1,0)</f>
        <v>13064 замша</v>
      </c>
      <c r="G221" s="80">
        <f>VLOOKUP($A221,'Выгр Кат'!$A:$R,G$1,0)</f>
        <v>0</v>
      </c>
      <c r="H221" s="67" t="s">
        <v>3</v>
      </c>
      <c r="I221" s="82">
        <v>1600</v>
      </c>
      <c r="J221" s="5">
        <f>VLOOKUP(I221,Наценка!$A$1:$G$8,2,1)</f>
        <v>1.3</v>
      </c>
      <c r="K221" s="88">
        <f>I221*J221</f>
        <v>2080</v>
      </c>
      <c r="L221" s="70">
        <f>IF(K221&lt;=1000,(ROUNDUP(K221,-1)-1),(ROUNDUP(K221,-2)-10))</f>
        <v>2090</v>
      </c>
      <c r="M221" s="80">
        <f>VLOOKUP($A221,'Выгр Кат'!$A:$R,M$1,0)</f>
        <v>1600</v>
      </c>
      <c r="N221" s="80">
        <f>VLOOKUP($A221,'Выгр Кат'!$A:$R,N$1,0)</f>
        <v>2090</v>
      </c>
      <c r="O221" s="28">
        <f>M221-I221</f>
        <v>0</v>
      </c>
      <c r="P221" s="28">
        <f>N221-L221</f>
        <v>0</v>
      </c>
      <c r="Q221" s="36">
        <f>IFERROR(L221*(1-$Q$2),"")</f>
        <v>1943.6999999999998</v>
      </c>
      <c r="R221" s="38" t="str">
        <f>IFERROR(VLOOKUP($A221,'Из Гугла'!$B:$G,6,0)*S221,VLOOKUP($A221,'Из Гугла'!$B:$G,6,0))</f>
        <v/>
      </c>
      <c r="S221" s="14">
        <v>1</v>
      </c>
      <c r="T221" s="83">
        <f>IFERROR(Q221/I221-1,"")</f>
        <v>0.21481249999999985</v>
      </c>
      <c r="U221" s="83" t="str">
        <f>IFERROR((W221-Q221)/W221,"")</f>
        <v/>
      </c>
      <c r="V221" s="83" t="str">
        <f>IFERROR(IF(W221="","",W221/I221-1),"")</f>
        <v/>
      </c>
      <c r="W221" s="94" t="s">
        <v>1269</v>
      </c>
    </row>
    <row r="222" spans="1:24" ht="46.5" thickTop="1" thickBot="1" x14ac:dyDescent="0.3">
      <c r="A222" s="80">
        <v>138408</v>
      </c>
      <c r="B222" s="80">
        <f>VLOOKUP($A222,'Выгр Кат'!$A:$R,B$1,0)</f>
        <v>6403</v>
      </c>
      <c r="C222" s="81" t="str">
        <f>VLOOKUP($A222,'Выгр Кат'!$A:$R,C$1,0)</f>
        <v>Боковые зеркала "Волна" механические (хром) для ВАЗ 2104, 2105, 2107</v>
      </c>
      <c r="D222" s="80" t="str">
        <f>VLOOKUP($A222,'Выгр Кат'!$A:$R,D$1,0)</f>
        <v>Y</v>
      </c>
      <c r="E222" s="80" t="str">
        <f>VLOOKUP($A222,'Выгр Кат'!$A:$R,E$1,0)</f>
        <v>1</v>
      </c>
      <c r="F222" s="80">
        <f>VLOOKUP($A222,'Выгр Кат'!$A:$R,F$1,0)</f>
        <v>0</v>
      </c>
      <c r="G222" s="80" t="str">
        <f>VLOOKUP($A222,'Выгр Кат'!$A:$R,G$1,0)</f>
        <v>https://motorring.ru/product/15997-bokovye-zerkala-volna-hrom-nakladkami-vaz-2104-2105-2107</v>
      </c>
      <c r="H222" s="67" t="s">
        <v>3</v>
      </c>
      <c r="I222" s="82">
        <v>1600</v>
      </c>
      <c r="J222" s="5">
        <f>VLOOKUP(I222,Наценка!$A$1:$G$8,2,1)</f>
        <v>1.3</v>
      </c>
      <c r="K222" s="55">
        <f>W222*1.04</f>
        <v>2277.6</v>
      </c>
      <c r="L222" s="70">
        <f>IF(K222&lt;=1000,(ROUNDUP(K222,-1)-1),(ROUNDUP(K222,-2)-10))</f>
        <v>2290</v>
      </c>
      <c r="M222" s="80">
        <f>VLOOKUP($A222,'Выгр Кат'!$A:$R,M$1,0)</f>
        <v>1600</v>
      </c>
      <c r="N222" s="80">
        <f>VLOOKUP($A222,'Выгр Кат'!$A:$R,N$1,0)</f>
        <v>2290</v>
      </c>
      <c r="O222" s="28">
        <f>M222-I222</f>
        <v>0</v>
      </c>
      <c r="P222" s="28">
        <f>N222-L222</f>
        <v>0</v>
      </c>
      <c r="Q222" s="36">
        <f>IFERROR(L222*(1-$Q$2),"")</f>
        <v>2129.6999999999998</v>
      </c>
      <c r="R222" s="38">
        <f>IFERROR(VLOOKUP($A222,'Из Гугла'!$B:$G,6,0)*S222,VLOOKUP($A222,'Из Гугла'!$B:$G,6,0))</f>
        <v>2190</v>
      </c>
      <c r="S222" s="14">
        <v>1</v>
      </c>
      <c r="T222" s="83">
        <f>IFERROR(Q222/I222-1,"")</f>
        <v>0.33106249999999982</v>
      </c>
      <c r="U222" s="83">
        <f>IFERROR((W222-Q222)/W222,"")</f>
        <v>2.753424657534255E-2</v>
      </c>
      <c r="V222" s="83">
        <f>IFERROR(IF(W222="","",W222/I222-1),"")</f>
        <v>0.36874999999999991</v>
      </c>
      <c r="W222" s="85">
        <v>2190</v>
      </c>
      <c r="X222" s="71" t="s">
        <v>853</v>
      </c>
    </row>
    <row r="223" spans="1:24" ht="46.5" thickTop="1" thickBot="1" x14ac:dyDescent="0.3">
      <c r="A223" s="80">
        <v>138434</v>
      </c>
      <c r="B223" s="80">
        <f>VLOOKUP($A223,'Выгр Кат'!$A:$R,B$1,0)</f>
        <v>6413</v>
      </c>
      <c r="C223" s="81" t="str">
        <f>VLOOKUP($A223,'Выгр Кат'!$A:$R,C$1,0)</f>
        <v>Боковые зеркала "Питер" механические (белые) для ВАЗ 2104, 2105, 2107</v>
      </c>
      <c r="D223" s="80" t="str">
        <f>VLOOKUP($A223,'Выгр Кат'!$A:$R,D$1,0)</f>
        <v>Y</v>
      </c>
      <c r="E223" s="80" t="str">
        <f>VLOOKUP($A223,'Выгр Кат'!$A:$R,E$1,0)</f>
        <v>1</v>
      </c>
      <c r="F223" s="80">
        <f>VLOOKUP($A223,'Выгр Кат'!$A:$R,F$1,0)</f>
        <v>0</v>
      </c>
      <c r="G223" s="80" t="str">
        <f>VLOOKUP($A223,'Выгр Кат'!$A:$R,G$1,0)</f>
        <v>https://motorring.ru/product/12746-bokovye-zerkala-piter-belye-antiblikom-vaz-2104-2105-2107</v>
      </c>
      <c r="H223" s="67" t="s">
        <v>3</v>
      </c>
      <c r="I223" s="82">
        <v>1600</v>
      </c>
      <c r="J223" s="5">
        <f>VLOOKUP(I223,Наценка!$A$1:$G$8,2,1)</f>
        <v>1.3</v>
      </c>
      <c r="K223" s="55">
        <f>W223*1.04</f>
        <v>2277.6</v>
      </c>
      <c r="L223" s="70">
        <f>IF(K223&lt;=1000,(ROUNDUP(K223,-1)-1),(ROUNDUP(K223,-2)-10))</f>
        <v>2290</v>
      </c>
      <c r="M223" s="80">
        <f>VLOOKUP($A223,'Выгр Кат'!$A:$R,M$1,0)</f>
        <v>1600</v>
      </c>
      <c r="N223" s="80">
        <f>VLOOKUP($A223,'Выгр Кат'!$A:$R,N$1,0)</f>
        <v>2290</v>
      </c>
      <c r="O223" s="28">
        <f>M223-I223</f>
        <v>0</v>
      </c>
      <c r="P223" s="28">
        <f>N223-L223</f>
        <v>0</v>
      </c>
      <c r="Q223" s="36">
        <f>IFERROR(L223*(1-$Q$2),"")</f>
        <v>2129.6999999999998</v>
      </c>
      <c r="R223" s="38">
        <f>IFERROR(VLOOKUP($A223,'Из Гугла'!$B:$G,6,0)*S223,VLOOKUP($A223,'Из Гугла'!$B:$G,6,0))</f>
        <v>2190</v>
      </c>
      <c r="S223" s="14">
        <v>1</v>
      </c>
      <c r="T223" s="83">
        <f>IFERROR(Q223/I223-1,"")</f>
        <v>0.33106249999999982</v>
      </c>
      <c r="U223" s="83">
        <f>IFERROR((W223-Q223)/W223,"")</f>
        <v>2.753424657534255E-2</v>
      </c>
      <c r="V223" s="83">
        <f>IFERROR(IF(W223="","",W223/I223-1),"")</f>
        <v>0.36874999999999991</v>
      </c>
      <c r="W223" s="85">
        <v>2190</v>
      </c>
      <c r="X223" s="71" t="s">
        <v>854</v>
      </c>
    </row>
    <row r="224" spans="1:24" ht="31.5" thickTop="1" thickBot="1" x14ac:dyDescent="0.3">
      <c r="A224" s="80">
        <v>133333</v>
      </c>
      <c r="B224" s="80">
        <f>VLOOKUP($A224,'Выгр Кат'!$A:$R,B$1,0)</f>
        <v>8065</v>
      </c>
      <c r="C224" s="81" t="str">
        <f>VLOOKUP($A224,'Выгр Кат'!$A:$R,C$1,0)</f>
        <v>Балка с диодами PL-3101-FS (8*3 Вт)</v>
      </c>
      <c r="D224" s="80" t="str">
        <f>VLOOKUP($A224,'Выгр Кат'!$A:$R,D$1,0)</f>
        <v>Y</v>
      </c>
      <c r="E224" s="80" t="str">
        <f>VLOOKUP($A224,'Выгр Кат'!$A:$R,E$1,0)</f>
        <v>1</v>
      </c>
      <c r="F224" s="80" t="str">
        <f>VLOOKUP($A224,'Выгр Кат'!$A:$R,F$1,0)</f>
        <v>PL-3101-FS</v>
      </c>
      <c r="G224" s="80" t="str">
        <f>VLOOKUP($A224,'Выгр Кат'!$A:$R,G$1,0)</f>
        <v>https://motorring.ru/product/8278-diodnaya-balka-pl-3101-24w-3vt</v>
      </c>
      <c r="H224" s="67" t="s">
        <v>3</v>
      </c>
      <c r="I224" s="82">
        <v>1600</v>
      </c>
      <c r="J224" s="5">
        <f>VLOOKUP(I224,Наценка!$A$1:$G$8,2,1)</f>
        <v>1.3</v>
      </c>
      <c r="K224" s="57">
        <f>W224*1.07</f>
        <v>3199.3</v>
      </c>
      <c r="L224" s="70">
        <f>IF(K224&lt;=1000,(ROUNDUP(K224,-1)-1),(ROUNDUP(K224,-2)-10))</f>
        <v>3190</v>
      </c>
      <c r="M224" s="80">
        <f>VLOOKUP($A224,'Выгр Кат'!$A:$R,M$1,0)</f>
        <v>1600</v>
      </c>
      <c r="N224" s="80">
        <f>VLOOKUP($A224,'Выгр Кат'!$A:$R,N$1,0)</f>
        <v>3190</v>
      </c>
      <c r="O224" s="28">
        <f>M224-I224</f>
        <v>0</v>
      </c>
      <c r="P224" s="28">
        <f>N224-L224</f>
        <v>0</v>
      </c>
      <c r="Q224" s="36">
        <f>IFERROR(L224*(1-$Q$2),"")</f>
        <v>2966.7</v>
      </c>
      <c r="R224" s="38">
        <f>IFERROR(VLOOKUP($A224,'Из Гугла'!$B:$G,6,0)*S224,VLOOKUP($A224,'Из Гугла'!$B:$G,6,0))</f>
        <v>2990</v>
      </c>
      <c r="S224" s="14">
        <v>1</v>
      </c>
      <c r="T224" s="83">
        <f>IFERROR(Q224/I224-1,"")</f>
        <v>0.85418749999999988</v>
      </c>
      <c r="U224" s="83">
        <f>IFERROR((W224-Q224)/W224,"")</f>
        <v>7.7926421404682878E-3</v>
      </c>
      <c r="V224" s="83">
        <f>IFERROR(IF(W224="","",W224/I224-1),"")</f>
        <v>0.86874999999999991</v>
      </c>
      <c r="W224" s="85">
        <v>2990</v>
      </c>
      <c r="X224" s="71" t="s">
        <v>930</v>
      </c>
    </row>
    <row r="225" spans="1:24" ht="31.5" thickTop="1" thickBot="1" x14ac:dyDescent="0.3">
      <c r="A225" s="80">
        <v>133317</v>
      </c>
      <c r="B225" s="80">
        <f>VLOOKUP($A225,'Выгр Кат'!$A:$R,B$1,0)</f>
        <v>8110</v>
      </c>
      <c r="C225" s="81" t="str">
        <f>VLOOKUP($A225,'Выгр Кат'!$A:$R,C$1,0)</f>
        <v>Балка освещения CCLB-36W, L-17 см</v>
      </c>
      <c r="D225" s="80" t="str">
        <f>VLOOKUP($A225,'Выгр Кат'!$A:$R,D$1,0)</f>
        <v>Y</v>
      </c>
      <c r="E225" s="80" t="str">
        <f>VLOOKUP($A225,'Выгр Кат'!$A:$R,E$1,0)</f>
        <v>1</v>
      </c>
      <c r="F225" s="80" t="str">
        <f>VLOOKUP($A225,'Выгр Кат'!$A:$R,F$1,0)</f>
        <v>CCLB-36W</v>
      </c>
      <c r="G225" s="80" t="str">
        <f>VLOOKUP($A225,'Выгр Кат'!$A:$R,G$1,0)</f>
        <v>https://motorring.ru/product/11764-diodnaya-balka-cclb-36-36w-3vt</v>
      </c>
      <c r="H225" s="67" t="s">
        <v>3</v>
      </c>
      <c r="I225" s="82">
        <v>1600</v>
      </c>
      <c r="J225" s="5">
        <f>VLOOKUP(I225,Наценка!$A$1:$G$8,2,1)</f>
        <v>1.3</v>
      </c>
      <c r="K225" s="55">
        <f>W225*1.04</f>
        <v>2589.6</v>
      </c>
      <c r="L225" s="70">
        <f>IF(K225&lt;=1000,(ROUNDUP(K225,-1)-1),(ROUNDUP(K225,-2)-10))</f>
        <v>2590</v>
      </c>
      <c r="M225" s="80">
        <f>VLOOKUP($A225,'Выгр Кат'!$A:$R,M$1,0)</f>
        <v>1600</v>
      </c>
      <c r="N225" s="80">
        <f>VLOOKUP($A225,'Выгр Кат'!$A:$R,N$1,0)</f>
        <v>2590</v>
      </c>
      <c r="O225" s="28">
        <f>M225-I225</f>
        <v>0</v>
      </c>
      <c r="P225" s="28">
        <f>N225-L225</f>
        <v>0</v>
      </c>
      <c r="Q225" s="36">
        <f>IFERROR(L225*(1-$Q$2),"")</f>
        <v>2408.6999999999998</v>
      </c>
      <c r="R225" s="38">
        <f>IFERROR(VLOOKUP($A225,'Из Гугла'!$B:$G,6,0)*S225,VLOOKUP($A225,'Из Гугла'!$B:$G,6,0))</f>
        <v>2490</v>
      </c>
      <c r="S225" s="14">
        <v>1</v>
      </c>
      <c r="T225" s="83">
        <f>IFERROR(Q225/I225-1,"")</f>
        <v>0.50543749999999998</v>
      </c>
      <c r="U225" s="83">
        <f>IFERROR((W225-Q225)/W225,"")</f>
        <v>3.2650602409638629E-2</v>
      </c>
      <c r="V225" s="83">
        <f>IFERROR(IF(W225="","",W225/I225-1),"")</f>
        <v>0.55624999999999991</v>
      </c>
      <c r="W225" s="85">
        <v>2490</v>
      </c>
      <c r="X225" s="71" t="s">
        <v>931</v>
      </c>
    </row>
    <row r="226" spans="1:24" ht="30.75" thickTop="1" x14ac:dyDescent="0.25">
      <c r="A226" s="80">
        <v>223064</v>
      </c>
      <c r="B226" s="80">
        <f>VLOOKUP($A226,'Выгр Кат'!$A:$R,B$1,0)</f>
        <v>8300</v>
      </c>
      <c r="C226" s="81" t="str">
        <f>VLOOKUP($A226,'Выгр Кат'!$A:$R,C$1,0)</f>
        <v>Универсальная ПТФ PT298HID (ксенон, D-14)</v>
      </c>
      <c r="D226" s="80" t="str">
        <f>VLOOKUP($A226,'Выгр Кат'!$A:$R,D$1,0)</f>
        <v>Y</v>
      </c>
      <c r="E226" s="80" t="str">
        <f>VLOOKUP($A226,'Выгр Кат'!$A:$R,E$1,0)</f>
        <v>1</v>
      </c>
      <c r="F226" s="80" t="str">
        <f>VLOOKUP($A226,'Выгр Кат'!$A:$R,F$1,0)</f>
        <v>PT298HID</v>
      </c>
      <c r="G226" s="80">
        <f>VLOOKUP($A226,'Выгр Кат'!$A:$R,G$1,0)</f>
        <v>0</v>
      </c>
      <c r="H226" s="67" t="s">
        <v>3</v>
      </c>
      <c r="I226" s="82">
        <v>1600</v>
      </c>
      <c r="J226" s="5">
        <f>VLOOKUP(I226,Наценка!$A$1:$G$8,2,1)</f>
        <v>1.3</v>
      </c>
      <c r="K226" s="34">
        <f>I226*J226</f>
        <v>2080</v>
      </c>
      <c r="L226" s="70">
        <f>IF(K226&lt;=1000,(ROUNDUP(K226,-1)-1),(ROUNDUP(K226,-2)-10))</f>
        <v>2090</v>
      </c>
      <c r="M226" s="80">
        <f>VLOOKUP($A226,'Выгр Кат'!$A:$R,M$1,0)</f>
        <v>1600</v>
      </c>
      <c r="N226" s="80">
        <f>VLOOKUP($A226,'Выгр Кат'!$A:$R,N$1,0)</f>
        <v>2090</v>
      </c>
      <c r="O226" s="28">
        <f>M226-I226</f>
        <v>0</v>
      </c>
      <c r="P226" s="28">
        <f>N226-L226</f>
        <v>0</v>
      </c>
      <c r="Q226" s="36">
        <f>IFERROR(L226*(1-$Q$2),"")</f>
        <v>1943.6999999999998</v>
      </c>
      <c r="R226" s="38" t="str">
        <f>IFERROR(VLOOKUP($A226,'Из Гугла'!$B:$G,6,0)*S226,VLOOKUP($A226,'Из Гугла'!$B:$G,6,0))</f>
        <v/>
      </c>
      <c r="S226" s="14">
        <v>1</v>
      </c>
      <c r="T226" s="83">
        <f>IFERROR(Q226/I226-1,"")</f>
        <v>0.21481249999999985</v>
      </c>
      <c r="U226" s="83" t="str">
        <f>IFERROR((W226-Q226)/W226,"")</f>
        <v/>
      </c>
      <c r="V226" s="83" t="str">
        <f>IFERROR(IF(W226="","",W226/I226-1),"")</f>
        <v/>
      </c>
      <c r="W226" s="84" t="s">
        <v>1269</v>
      </c>
    </row>
    <row r="227" spans="1:24" ht="45.75" thickBot="1" x14ac:dyDescent="0.3">
      <c r="A227" s="80">
        <v>138438</v>
      </c>
      <c r="B227" s="80">
        <f>VLOOKUP($A227,'Выгр Кат'!$A:$R,B$1,0)</f>
        <v>11450</v>
      </c>
      <c r="C227" s="81" t="str">
        <f>VLOOKUP($A227,'Выгр Кат'!$A:$R,C$1,0)</f>
        <v>Боковые зеркала "Питер" снежка, с антибликом для ВАЗ 2108-21099, 2113-215</v>
      </c>
      <c r="D227" s="80" t="str">
        <f>VLOOKUP($A227,'Выгр Кат'!$A:$R,D$1,0)</f>
        <v>Y</v>
      </c>
      <c r="E227" s="80" t="str">
        <f>VLOOKUP($A227,'Выгр Кат'!$A:$R,E$1,0)</f>
        <v>1</v>
      </c>
      <c r="F227" s="80">
        <f>VLOOKUP($A227,'Выгр Кат'!$A:$R,F$1,0)</f>
        <v>0</v>
      </c>
      <c r="G227" s="80" t="str">
        <f>VLOOKUP($A227,'Выгр Кат'!$A:$R,G$1,0)</f>
        <v>https://motorring.ru/product/12749-bokovye-zerkala-piter-sneghka-antiblikom-vaz-2108-2115</v>
      </c>
      <c r="H227" s="67" t="s">
        <v>3</v>
      </c>
      <c r="I227" s="82">
        <v>1600</v>
      </c>
      <c r="J227" s="5">
        <f>VLOOKUP(I227,Наценка!$A$1:$G$8,2,1)</f>
        <v>1.3</v>
      </c>
      <c r="K227" s="57">
        <f>W227*1.07</f>
        <v>2022.3000000000002</v>
      </c>
      <c r="L227" s="70">
        <f>IF(K227&lt;=1000,(ROUNDUP(K227,-1)-1),(ROUNDUP(K227,-2)-10))</f>
        <v>2090</v>
      </c>
      <c r="M227" s="80">
        <f>VLOOKUP($A227,'Выгр Кат'!$A:$R,M$1,0)</f>
        <v>1600</v>
      </c>
      <c r="N227" s="80">
        <f>VLOOKUP($A227,'Выгр Кат'!$A:$R,N$1,0)</f>
        <v>2090</v>
      </c>
      <c r="O227" s="28">
        <f>M227-I227</f>
        <v>0</v>
      </c>
      <c r="P227" s="28">
        <f>N227-L227</f>
        <v>0</v>
      </c>
      <c r="Q227" s="36">
        <f>IFERROR(L227*(1-$Q$2),"")</f>
        <v>1943.6999999999998</v>
      </c>
      <c r="R227" s="38">
        <f>IFERROR(VLOOKUP($A227,'Из Гугла'!$B:$G,6,0)*S227,VLOOKUP($A227,'Из Гугла'!$B:$G,6,0))</f>
        <v>1890</v>
      </c>
      <c r="S227" s="14">
        <v>1</v>
      </c>
      <c r="T227" s="83">
        <f>IFERROR(Q227/I227-1,"")</f>
        <v>0.21481249999999985</v>
      </c>
      <c r="U227" s="83">
        <f>IFERROR((W227-Q227)/W227,"")</f>
        <v>-2.8412698412698317E-2</v>
      </c>
      <c r="V227" s="83">
        <f>IFERROR(IF(W227="","",W227/I227-1),"")</f>
        <v>0.18124999999999991</v>
      </c>
      <c r="W227" s="85">
        <v>1890</v>
      </c>
      <c r="X227" s="71" t="s">
        <v>855</v>
      </c>
    </row>
    <row r="228" spans="1:24" ht="61.5" thickTop="1" thickBot="1" x14ac:dyDescent="0.3">
      <c r="A228" s="80">
        <v>201811</v>
      </c>
      <c r="B228" s="80">
        <f>VLOOKUP($A228,'Выгр Кат'!$A:$R,B$1,0)</f>
        <v>25046</v>
      </c>
      <c r="C228" s="81" t="str">
        <f>VLOOKUP($A228,'Выгр Кат'!$A:$R,C$1,0)</f>
        <v>Противотуманные фары светодиодные (LED) с ангельскими глазками + повторитель для Лада Калина, Калина 2, Гранта, Ларгус</v>
      </c>
      <c r="D228" s="80" t="str">
        <f>VLOOKUP($A228,'Выгр Кат'!$A:$R,D$1,0)</f>
        <v>Y</v>
      </c>
      <c r="E228" s="80" t="str">
        <f>VLOOKUP($A228,'Выгр Кат'!$A:$R,E$1,0)</f>
        <v>1</v>
      </c>
      <c r="F228" s="80" t="str">
        <f>VLOOKUP($A228,'Выгр Кат'!$A:$R,F$1,0)</f>
        <v>HP-GZD-118-01</v>
      </c>
      <c r="G228" s="80" t="str">
        <f>VLOOKUP($A228,'Выгр Кат'!$A:$R,G$1,0)</f>
        <v>https://motorring.ru/product/27725-diodnye-dvuhcvetnye-ptf-angelyskimi-glazkami-lada-kalina3</v>
      </c>
      <c r="H228" s="67" t="s">
        <v>3</v>
      </c>
      <c r="I228" s="82">
        <v>1600</v>
      </c>
      <c r="J228" s="5">
        <f>VLOOKUP(I228,Наценка!$A$1:$G$8,2,1)</f>
        <v>1.3</v>
      </c>
      <c r="K228" s="55">
        <f>W228*1.04</f>
        <v>2485.6</v>
      </c>
      <c r="L228" s="70">
        <f>IF(K228&lt;=1000,(ROUNDUP(K228,-1)-1),(ROUNDUP(K228,-2)-10))</f>
        <v>2490</v>
      </c>
      <c r="M228" s="80">
        <f>VLOOKUP($A228,'Выгр Кат'!$A:$R,M$1,0)</f>
        <v>1600</v>
      </c>
      <c r="N228" s="80">
        <f>VLOOKUP($A228,'Выгр Кат'!$A:$R,N$1,0)</f>
        <v>2490</v>
      </c>
      <c r="O228" s="28">
        <f>M228-I228</f>
        <v>0</v>
      </c>
      <c r="P228" s="28">
        <f>N228-L228</f>
        <v>0</v>
      </c>
      <c r="Q228" s="36">
        <f>IFERROR(L228*(1-$Q$2),"")</f>
        <v>2315.6999999999998</v>
      </c>
      <c r="R228" s="38">
        <f>IFERROR(VLOOKUP($A228,'Из Гугла'!$B:$G,6,0)*S228,VLOOKUP($A228,'Из Гугла'!$B:$G,6,0))</f>
        <v>2390</v>
      </c>
      <c r="S228" s="14">
        <v>1</v>
      </c>
      <c r="T228" s="83">
        <f>IFERROR(Q228/I228-1,"")</f>
        <v>0.44731249999999978</v>
      </c>
      <c r="U228" s="83">
        <f>IFERROR((W228-Q228)/W228,"")</f>
        <v>3.1087866108786687E-2</v>
      </c>
      <c r="V228" s="83">
        <f>IFERROR(IF(W228="","",W228/I228-1),"")</f>
        <v>0.49374999999999991</v>
      </c>
      <c r="W228" s="85">
        <v>2390</v>
      </c>
      <c r="X228" s="71" t="s">
        <v>867</v>
      </c>
    </row>
    <row r="229" spans="1:24" ht="76.5" thickTop="1" thickBot="1" x14ac:dyDescent="0.3">
      <c r="A229" s="80">
        <v>143809</v>
      </c>
      <c r="B229" s="80">
        <f>VLOOKUP($A229,'Выгр Кат'!$A:$R,B$1,0)</f>
        <v>26561</v>
      </c>
      <c r="C229" s="81" t="str">
        <f>VLOOKUP($A229,'Выгр Кат'!$A:$R,C$1,0)</f>
        <v>Диодные ПТФ двухцветные (50w, бело-синий 6000К, жёлтый 3000К) для Лада (Гранта FL, Лада Веста, XRAY, Нива Урбан), Renault (Duster, Fluence, Kaptur, Koleos, Logan, Sandero)</v>
      </c>
      <c r="D229" s="80" t="str">
        <f>VLOOKUP($A229,'Выгр Кат'!$A:$R,D$1,0)</f>
        <v>Y</v>
      </c>
      <c r="E229" s="80" t="str">
        <f>VLOOKUP($A229,'Выгр Кат'!$A:$R,E$1,0)</f>
        <v>1</v>
      </c>
      <c r="F229" s="80" t="str">
        <f>VLOOKUP($A229,'Выгр Кат'!$A:$R,F$1,0)</f>
        <v>HP-GZD-071-012</v>
      </c>
      <c r="G229" s="80" t="str">
        <f>VLOOKUP($A229,'Выгр Кат'!$A:$R,G$1,0)</f>
        <v>https://motorring.ru/product/27724-diodnye-dvuhcvetnye-ptf-polos-analog-lada-granta-lada-vesta</v>
      </c>
      <c r="H229" s="67" t="s">
        <v>3</v>
      </c>
      <c r="I229" s="82">
        <v>1600</v>
      </c>
      <c r="J229" s="5">
        <f>VLOOKUP(I229,Наценка!$A$1:$G$8,2,1)</f>
        <v>1.3</v>
      </c>
      <c r="K229" s="55">
        <f>W229*1.04</f>
        <v>2693.6</v>
      </c>
      <c r="L229" s="70">
        <f>IF(K229&lt;=1000,(ROUNDUP(K229,-1)-1),(ROUNDUP(K229,-2)-10))</f>
        <v>2690</v>
      </c>
      <c r="M229" s="80">
        <f>VLOOKUP($A229,'Выгр Кат'!$A:$R,M$1,0)</f>
        <v>1600</v>
      </c>
      <c r="N229" s="80">
        <f>VLOOKUP($A229,'Выгр Кат'!$A:$R,N$1,0)</f>
        <v>2690</v>
      </c>
      <c r="O229" s="28">
        <f>M229-I229</f>
        <v>0</v>
      </c>
      <c r="P229" s="28">
        <f>N229-L229</f>
        <v>0</v>
      </c>
      <c r="Q229" s="36">
        <f>IFERROR(L229*(1-$Q$2),"")</f>
        <v>2501.6999999999998</v>
      </c>
      <c r="R229" s="38">
        <f>IFERROR(VLOOKUP($A229,'Из Гугла'!$B:$G,6,0)*S229,VLOOKUP($A229,'Из Гугла'!$B:$G,6,0))</f>
        <v>2590</v>
      </c>
      <c r="S229" s="14">
        <v>1</v>
      </c>
      <c r="T229" s="83">
        <f>IFERROR(Q229/I229-1,"")</f>
        <v>0.56356249999999997</v>
      </c>
      <c r="U229" s="83">
        <f>IFERROR((W229-Q229)/W229,"")</f>
        <v>3.4092664092664163E-2</v>
      </c>
      <c r="V229" s="83">
        <f>IFERROR(IF(W229="","",W229/I229-1),"")</f>
        <v>0.61874999999999991</v>
      </c>
      <c r="W229" s="85">
        <v>2590</v>
      </c>
      <c r="X229" s="71" t="s">
        <v>866</v>
      </c>
    </row>
    <row r="230" spans="1:24" ht="30.75" thickTop="1" x14ac:dyDescent="0.25">
      <c r="A230" s="80">
        <v>145568</v>
      </c>
      <c r="B230" s="80">
        <f>VLOOKUP($A230,'Выгр Кат'!$A:$R,B$1,0)</f>
        <v>5104</v>
      </c>
      <c r="C230" s="81" t="str">
        <f>VLOOKUP($A230,'Выгр Кат'!$A:$R,C$1,0)</f>
        <v>Задние фонари с красной полосой для ВАЗ 2106</v>
      </c>
      <c r="D230" s="80" t="str">
        <f>VLOOKUP($A230,'Выгр Кат'!$A:$R,D$1,0)</f>
        <v>Y</v>
      </c>
      <c r="E230" s="80" t="str">
        <f>VLOOKUP($A230,'Выгр Кат'!$A:$R,E$1,0)</f>
        <v>1</v>
      </c>
      <c r="F230" s="80">
        <f>VLOOKUP($A230,'Выгр Кат'!$A:$R,F$1,0)</f>
        <v>0</v>
      </c>
      <c r="G230" s="80" t="str">
        <f>VLOOKUP($A230,'Выгр Кат'!$A:$R,G$1,0)</f>
        <v>https://motorring.ru/product/15993-zadnie-fonari-krasnoy-polosoy-dlya-vaz-2106-lada-niva-4h4</v>
      </c>
      <c r="H230" s="67" t="s">
        <v>3</v>
      </c>
      <c r="I230" s="82">
        <v>1600</v>
      </c>
      <c r="J230" s="5">
        <f>VLOOKUP(I230,Наценка!$A$1:$G$8,2,1)</f>
        <v>1.3</v>
      </c>
      <c r="K230" s="34">
        <f>I230*J230</f>
        <v>2080</v>
      </c>
      <c r="L230" s="70">
        <f>IF(K230&lt;=1000,(ROUNDUP(K230,-1)-1),(ROUNDUP(K230,-2)-10))</f>
        <v>2090</v>
      </c>
      <c r="M230" s="80">
        <f>VLOOKUP($A230,'Выгр Кат'!$A:$R,M$1,0)</f>
        <v>1600</v>
      </c>
      <c r="N230" s="80">
        <f>VLOOKUP($A230,'Выгр Кат'!$A:$R,N$1,0)</f>
        <v>2090</v>
      </c>
      <c r="O230" s="28">
        <f>M230-I230</f>
        <v>0</v>
      </c>
      <c r="P230" s="28">
        <f>N230-L230</f>
        <v>0</v>
      </c>
      <c r="Q230" s="36">
        <f>IFERROR(L230*(1-$Q$2),"")</f>
        <v>1943.6999999999998</v>
      </c>
      <c r="R230" s="38">
        <f>IFERROR(VLOOKUP($A230,'Из Гугла'!$B:$G,6,0)*S230,VLOOKUP($A230,'Из Гугла'!$B:$G,6,0))</f>
        <v>1990</v>
      </c>
      <c r="S230" s="14">
        <v>1</v>
      </c>
      <c r="T230" s="83">
        <f>IFERROR(Q230/I230-1,"")</f>
        <v>0.21481249999999985</v>
      </c>
      <c r="U230" s="83">
        <f>IFERROR((W230-Q230)/W230,"")</f>
        <v>2.3266331658291547E-2</v>
      </c>
      <c r="V230" s="83">
        <f>IFERROR(IF(W230="","",W230/I230-1),"")</f>
        <v>0.24374999999999991</v>
      </c>
      <c r="W230" s="84">
        <v>1990</v>
      </c>
      <c r="X230" s="71" t="s">
        <v>1424</v>
      </c>
    </row>
    <row r="231" spans="1:24" ht="60" x14ac:dyDescent="0.25">
      <c r="A231" s="80">
        <v>213679</v>
      </c>
      <c r="B231" s="80">
        <f>VLOOKUP($A231,'Выгр Кат'!$A:$R,B$1,0)</f>
        <v>25049</v>
      </c>
      <c r="C231" s="81" t="str">
        <f>VLOOKUP($A231,'Выгр Кат'!$A:$R,C$1,0)</f>
        <v>Светодиодные противотуманные фары (5 полос, 60W) для ВАЗ (2110-2112, 2113-2115), Шевроле Нива (до рестайлинга)</v>
      </c>
      <c r="D231" s="80" t="str">
        <f>VLOOKUP($A231,'Выгр Кат'!$A:$R,D$1,0)</f>
        <v>Y</v>
      </c>
      <c r="E231" s="80" t="str">
        <f>VLOOKUP($A231,'Выгр Кат'!$A:$R,E$1,0)</f>
        <v>1</v>
      </c>
      <c r="F231" s="80" t="str">
        <f>VLOOKUP($A231,'Выгр Кат'!$A:$R,F$1,0)</f>
        <v>HP-GZD-050-05</v>
      </c>
      <c r="G231" s="80" t="str">
        <f>VLOOKUP($A231,'Выгр Кат'!$A:$R,G$1,0)</f>
        <v>https://motorring.ru/product/27720-diodnye-ptf-polos-analog-vaz-2110-2112-2113-2115-shevrole</v>
      </c>
      <c r="H231" s="67" t="s">
        <v>3</v>
      </c>
      <c r="I231" s="82">
        <v>1700</v>
      </c>
      <c r="J231" s="5">
        <f>VLOOKUP(I231,Наценка!$A$1:$G$8,2,1)</f>
        <v>1.3</v>
      </c>
      <c r="K231" s="90">
        <f>W231*1.04</f>
        <v>2381.6</v>
      </c>
      <c r="L231" s="70">
        <f>IF(K231&lt;=1000,(ROUNDUP(K231,-1)-1),(ROUNDUP(K231,-2)-10))</f>
        <v>2390</v>
      </c>
      <c r="M231" s="80">
        <f>VLOOKUP($A231,'Выгр Кат'!$A:$R,M$1,0)</f>
        <v>1700</v>
      </c>
      <c r="N231" s="80">
        <f>VLOOKUP($A231,'Выгр Кат'!$A:$R,N$1,0)</f>
        <v>2390</v>
      </c>
      <c r="O231" s="28">
        <f>M231-I231</f>
        <v>0</v>
      </c>
      <c r="P231" s="28">
        <f>N231-L231</f>
        <v>0</v>
      </c>
      <c r="Q231" s="36">
        <f>IFERROR(L231*(1-$Q$2),"")</f>
        <v>2222.6999999999998</v>
      </c>
      <c r="R231" s="38">
        <f>IFERROR(VLOOKUP($A231,'Из Гугла'!$B:$G,6,0)*S231,VLOOKUP($A231,'Из Гугла'!$B:$G,6,0))</f>
        <v>2290</v>
      </c>
      <c r="S231" s="14">
        <v>1</v>
      </c>
      <c r="T231" s="83">
        <f>IFERROR(Q231/I231-1,"")</f>
        <v>0.30747058823529394</v>
      </c>
      <c r="U231" s="83">
        <f>IFERROR((W231-Q231)/W231,"")</f>
        <v>2.9388646288209686E-2</v>
      </c>
      <c r="V231" s="83">
        <f>IFERROR(IF(W231="","",W231/I231-1),"")</f>
        <v>0.34705882352941186</v>
      </c>
      <c r="W231" s="93">
        <v>2290</v>
      </c>
      <c r="X231" s="71" t="s">
        <v>856</v>
      </c>
    </row>
    <row r="232" spans="1:24" ht="30" x14ac:dyDescent="0.25">
      <c r="A232" s="80">
        <v>143806</v>
      </c>
      <c r="B232" s="80">
        <f>VLOOKUP($A232,'Выгр Кат'!$A:$R,B$1,0)</f>
        <v>25045</v>
      </c>
      <c r="C232" s="81" t="str">
        <f>VLOOKUP($A232,'Выгр Кат'!$A:$R,C$1,0)</f>
        <v>Диодные ПТФ 5-диодов 60W для Лада Приора, Шевроле Нива</v>
      </c>
      <c r="D232" s="80" t="str">
        <f>VLOOKUP($A232,'Выгр Кат'!$A:$R,D$1,0)</f>
        <v>Y</v>
      </c>
      <c r="E232" s="80" t="str">
        <f>VLOOKUP($A232,'Выгр Кат'!$A:$R,E$1,0)</f>
        <v>1</v>
      </c>
      <c r="F232" s="80" t="str">
        <f>VLOOKUP($A232,'Выгр Кат'!$A:$R,F$1,0)</f>
        <v>HP-GZD-106 / HP-GZD 11 - 01</v>
      </c>
      <c r="G232" s="80" t="str">
        <f>VLOOKUP($A232,'Выгр Кат'!$A:$R,G$1,0)</f>
        <v>https://motorring.ru/product/27726-diodnye-ptf-60w-dvuhryadnie-analog-lada-priora</v>
      </c>
      <c r="H232" s="67" t="s">
        <v>3</v>
      </c>
      <c r="I232" s="82">
        <v>1700</v>
      </c>
      <c r="J232" s="5">
        <f>VLOOKUP(I232,Наценка!$A$1:$G$8,2,1)</f>
        <v>1.3</v>
      </c>
      <c r="K232" s="90">
        <f>W232*1.04</f>
        <v>2381.6</v>
      </c>
      <c r="L232" s="70">
        <f>IF(K232&lt;=1000,(ROUNDUP(K232,-1)-1),(ROUNDUP(K232,-2)-10))</f>
        <v>2390</v>
      </c>
      <c r="M232" s="80">
        <f>VLOOKUP($A232,'Выгр Кат'!$A:$R,M$1,0)</f>
        <v>1700</v>
      </c>
      <c r="N232" s="80">
        <f>VLOOKUP($A232,'Выгр Кат'!$A:$R,N$1,0)</f>
        <v>2390</v>
      </c>
      <c r="O232" s="28">
        <f>M232-I232</f>
        <v>0</v>
      </c>
      <c r="P232" s="28">
        <f>N232-L232</f>
        <v>0</v>
      </c>
      <c r="Q232" s="36">
        <f>IFERROR(L232*(1-$Q$2),"")</f>
        <v>2222.6999999999998</v>
      </c>
      <c r="R232" s="38">
        <f>IFERROR(VLOOKUP($A232,'Из Гугла'!$B:$G,6,0)*S232,VLOOKUP($A232,'Из Гугла'!$B:$G,6,0))</f>
        <v>2290</v>
      </c>
      <c r="S232" s="14">
        <v>1</v>
      </c>
      <c r="T232" s="83">
        <f>IFERROR(Q232/I232-1,"")</f>
        <v>0.30747058823529394</v>
      </c>
      <c r="U232" s="83">
        <f>IFERROR((W232-Q232)/W232,"")</f>
        <v>2.9388646288209686E-2</v>
      </c>
      <c r="V232" s="83">
        <f>IFERROR(IF(W232="","",W232/I232-1),"")</f>
        <v>0.34705882352941186</v>
      </c>
      <c r="W232" s="84">
        <v>2290</v>
      </c>
      <c r="X232" s="71" t="s">
        <v>1430</v>
      </c>
    </row>
    <row r="233" spans="1:24" ht="45.75" thickBot="1" x14ac:dyDescent="0.3">
      <c r="A233" s="80">
        <v>138414</v>
      </c>
      <c r="B233" s="80">
        <f>VLOOKUP($A233,'Выгр Кат'!$A:$R,B$1,0)</f>
        <v>7451</v>
      </c>
      <c r="C233" s="81" t="str">
        <f>VLOOKUP($A233,'Выгр Кат'!$A:$R,C$1,0)</f>
        <v>Боковые зеркала "Волна" чёрные c повторителями для ВАЗ 2108-21099, 2113-2115</v>
      </c>
      <c r="D233" s="80" t="str">
        <f>VLOOKUP($A233,'Выгр Кат'!$A:$R,D$1,0)</f>
        <v>Y</v>
      </c>
      <c r="E233" s="80" t="str">
        <f>VLOOKUP($A233,'Выгр Кат'!$A:$R,E$1,0)</f>
        <v>1</v>
      </c>
      <c r="F233" s="80">
        <f>VLOOKUP($A233,'Выгр Кат'!$A:$R,F$1,0)</f>
        <v>0</v>
      </c>
      <c r="G233" s="80" t="str">
        <f>VLOOKUP($A233,'Выгр Кат'!$A:$R,G$1,0)</f>
        <v>https://motorring.ru/product/15959-bokovye-zerkala-volna-povtoritelem-chernyy-korpus-vaz</v>
      </c>
      <c r="H233" s="67" t="s">
        <v>3</v>
      </c>
      <c r="I233" s="82">
        <v>1700</v>
      </c>
      <c r="J233" s="5">
        <f>VLOOKUP(I233,Наценка!$A$1:$G$8,2,1)</f>
        <v>1.3</v>
      </c>
      <c r="K233" s="55">
        <v>2190</v>
      </c>
      <c r="L233" s="70">
        <f>IF(K233&lt;=1000,(ROUNDUP(K233,-1)-1),(ROUNDUP(K233,-2)-10))</f>
        <v>2190</v>
      </c>
      <c r="M233" s="80">
        <f>VLOOKUP($A233,'Выгр Кат'!$A:$R,M$1,0)</f>
        <v>1700</v>
      </c>
      <c r="N233" s="80">
        <f>VLOOKUP($A233,'Выгр Кат'!$A:$R,N$1,0)</f>
        <v>2190</v>
      </c>
      <c r="O233" s="28">
        <f>M233-I233</f>
        <v>0</v>
      </c>
      <c r="P233" s="28">
        <f>N233-L233</f>
        <v>0</v>
      </c>
      <c r="Q233" s="36">
        <f>IFERROR(L233*(1-$Q$2),"")</f>
        <v>2036.6999999999998</v>
      </c>
      <c r="R233" s="38">
        <f>IFERROR(VLOOKUP($A233,'Из Гугла'!$B:$G,6,0)*S233,VLOOKUP($A233,'Из Гугла'!$B:$G,6,0))</f>
        <v>1990</v>
      </c>
      <c r="S233" s="14">
        <v>1</v>
      </c>
      <c r="T233" s="83">
        <f>IFERROR(Q233/I233-1,"")</f>
        <v>0.19805882352941162</v>
      </c>
      <c r="U233" s="83">
        <f>IFERROR((W233-Q233)/W233,"")</f>
        <v>-2.3467336683416995E-2</v>
      </c>
      <c r="V233" s="83">
        <f>IFERROR(IF(W233="","",W233/I233-1),"")</f>
        <v>0.17058823529411771</v>
      </c>
      <c r="W233" s="85">
        <v>1990</v>
      </c>
      <c r="X233" s="71" t="s">
        <v>858</v>
      </c>
    </row>
    <row r="234" spans="1:24" ht="31.5" thickTop="1" thickBot="1" x14ac:dyDescent="0.3">
      <c r="A234" s="80">
        <v>133323</v>
      </c>
      <c r="B234" s="80">
        <f>VLOOKUP($A234,'Выгр Кат'!$A:$R,B$1,0)</f>
        <v>18224</v>
      </c>
      <c r="C234" s="81" t="str">
        <f>VLOOKUP($A234,'Выгр Кат'!$A:$R,C$1,0)</f>
        <v>Балка освещения круглая NV-842</v>
      </c>
      <c r="D234" s="80" t="str">
        <f>VLOOKUP($A234,'Выгр Кат'!$A:$R,D$1,0)</f>
        <v>Y</v>
      </c>
      <c r="E234" s="80" t="str">
        <f>VLOOKUP($A234,'Выгр Кат'!$A:$R,E$1,0)</f>
        <v>1</v>
      </c>
      <c r="F234" s="80" t="str">
        <f>VLOOKUP($A234,'Выгр Кат'!$A:$R,F$1,0)</f>
        <v>NV-842</v>
      </c>
      <c r="G234" s="80">
        <f>VLOOKUP($A234,'Выгр Кат'!$A:$R,G$1,0)</f>
        <v>0</v>
      </c>
      <c r="H234" s="67" t="s">
        <v>3</v>
      </c>
      <c r="I234" s="82">
        <v>1700</v>
      </c>
      <c r="J234" s="5">
        <f>VLOOKUP(I234,Наценка!$A$1:$G$8,2,1)</f>
        <v>1.3</v>
      </c>
      <c r="K234" s="88">
        <f>I234*J234</f>
        <v>2210</v>
      </c>
      <c r="L234" s="70">
        <f>IF(K234&lt;=1000,(ROUNDUP(K234,-1)-1),(ROUNDUP(K234,-2)-10))</f>
        <v>2290</v>
      </c>
      <c r="M234" s="80">
        <f>VLOOKUP($A234,'Выгр Кат'!$A:$R,M$1,0)</f>
        <v>1700</v>
      </c>
      <c r="N234" s="80">
        <f>VLOOKUP($A234,'Выгр Кат'!$A:$R,N$1,0)</f>
        <v>2290</v>
      </c>
      <c r="O234" s="28">
        <f>M234-I234</f>
        <v>0</v>
      </c>
      <c r="P234" s="28">
        <f>N234-L234</f>
        <v>0</v>
      </c>
      <c r="Q234" s="36">
        <f>IFERROR(L234*(1-$Q$2),"")</f>
        <v>2129.6999999999998</v>
      </c>
      <c r="R234" s="38" t="str">
        <f>IFERROR(VLOOKUP($A234,'Из Гугла'!$B:$G,6,0)*S234,VLOOKUP($A234,'Из Гугла'!$B:$G,6,0))</f>
        <v/>
      </c>
      <c r="S234" s="14">
        <v>1</v>
      </c>
      <c r="T234" s="83">
        <f>IFERROR(Q234/I234-1,"")</f>
        <v>0.25276470588235278</v>
      </c>
      <c r="U234" s="83" t="str">
        <f>IFERROR((W234-Q234)/W234,"")</f>
        <v/>
      </c>
      <c r="V234" s="83" t="str">
        <f>IFERROR(IF(W234="","",W234/I234-1),"")</f>
        <v/>
      </c>
      <c r="W234" s="94" t="s">
        <v>1269</v>
      </c>
    </row>
    <row r="235" spans="1:24" ht="61.5" thickTop="1" thickBot="1" x14ac:dyDescent="0.3">
      <c r="A235" s="80">
        <v>143764</v>
      </c>
      <c r="B235" s="80">
        <f>VLOOKUP($A235,'Выгр Кат'!$A:$R,B$1,0)</f>
        <v>25048</v>
      </c>
      <c r="C235" s="81" t="str">
        <f>VLOOKUP($A235,'Выгр Кат'!$A:$R,C$1,0)</f>
        <v>Диодные ПТФ "5 линз" 60w для Лада (Нива 4х4, Нива 4х4 Урбан, Гранта FL, Веста, XRAY), Renault (Duster, Kaptur, Logan, Sandero)</v>
      </c>
      <c r="D235" s="80" t="str">
        <f>VLOOKUP($A235,'Выгр Кат'!$A:$R,D$1,0)</f>
        <v>Y</v>
      </c>
      <c r="E235" s="80" t="str">
        <f>VLOOKUP($A235,'Выгр Кат'!$A:$R,E$1,0)</f>
        <v>1ск1</v>
      </c>
      <c r="F235" s="80" t="str">
        <f>VLOOKUP($A235,'Выгр Кат'!$A:$R,F$1,0)</f>
        <v>HD-GZD-071-13</v>
      </c>
      <c r="G235" s="80" t="str">
        <f>VLOOKUP($A235,'Выгр Кат'!$A:$R,G$1,0)</f>
        <v>https://motorring.ru/product/27722-diodnye-ptf-polos-analog-lada-granta-lada-vesta-iks-rey</v>
      </c>
      <c r="H235" s="67" t="s">
        <v>3</v>
      </c>
      <c r="I235" s="82">
        <v>1700</v>
      </c>
      <c r="J235" s="5">
        <f>VLOOKUP(I235,Наценка!$A$1:$G$8,2,1)</f>
        <v>1.3</v>
      </c>
      <c r="K235" s="55">
        <f>W235*1.04</f>
        <v>2485.6</v>
      </c>
      <c r="L235" s="70">
        <f>IF(K235&lt;=1000,(ROUNDUP(K235,-1)-1),(ROUNDUP(K235,-2)-10))</f>
        <v>2490</v>
      </c>
      <c r="M235" s="80">
        <f>VLOOKUP($A235,'Выгр Кат'!$A:$R,M$1,0)</f>
        <v>1700</v>
      </c>
      <c r="N235" s="80">
        <f>VLOOKUP($A235,'Выгр Кат'!$A:$R,N$1,0)</f>
        <v>2490</v>
      </c>
      <c r="O235" s="28">
        <f>M235-I235</f>
        <v>0</v>
      </c>
      <c r="P235" s="28">
        <f>N235-L235</f>
        <v>0</v>
      </c>
      <c r="Q235" s="36">
        <f>IFERROR(L235*(1-$Q$2),"")</f>
        <v>2315.6999999999998</v>
      </c>
      <c r="R235" s="38">
        <f>IFERROR(VLOOKUP($A235,'Из Гугла'!$B:$G,6,0)*S235,VLOOKUP($A235,'Из Гугла'!$B:$G,6,0))</f>
        <v>2390</v>
      </c>
      <c r="S235" s="14">
        <v>1</v>
      </c>
      <c r="T235" s="83">
        <f>IFERROR(Q235/I235-1,"")</f>
        <v>0.3621764705882351</v>
      </c>
      <c r="U235" s="83">
        <f>IFERROR((W235-Q235)/W235,"")</f>
        <v>3.1087866108786687E-2</v>
      </c>
      <c r="V235" s="83">
        <f>IFERROR(IF(W235="","",W235/I235-1),"")</f>
        <v>0.40588235294117636</v>
      </c>
      <c r="W235" s="94">
        <v>2390</v>
      </c>
      <c r="X235" s="71" t="s">
        <v>1420</v>
      </c>
    </row>
    <row r="236" spans="1:24" ht="31.5" thickTop="1" thickBot="1" x14ac:dyDescent="0.3">
      <c r="A236" s="80">
        <v>226471</v>
      </c>
      <c r="B236" s="80">
        <f>VLOOKUP($A236,'Выгр Кат'!$A:$R,B$1,0)</f>
        <v>4819</v>
      </c>
      <c r="C236" s="81" t="str">
        <f>VLOOKUP($A236,'Выгр Кат'!$A:$R,C$1,0)</f>
        <v>Штатные тюнингованные фонари (тонированные) для Лада Приора</v>
      </c>
      <c r="D236" s="80" t="str">
        <f>VLOOKUP($A236,'Выгр Кат'!$A:$R,D$1,0)</f>
        <v>Y</v>
      </c>
      <c r="E236" s="80" t="str">
        <f>VLOOKUP($A236,'Выгр Кат'!$A:$R,E$1,0)</f>
        <v>1</v>
      </c>
      <c r="F236" s="80">
        <f>VLOOKUP($A236,'Выгр Кат'!$A:$R,F$1,0)</f>
        <v>0</v>
      </c>
      <c r="G236" s="80">
        <f>VLOOKUP($A236,'Выгр Кат'!$A:$R,G$1,0)</f>
        <v>0</v>
      </c>
      <c r="H236" s="67" t="s">
        <v>3</v>
      </c>
      <c r="I236" s="82">
        <v>1800</v>
      </c>
      <c r="J236" s="5">
        <f>VLOOKUP(I236,Наценка!$A$1:$G$8,2,1)</f>
        <v>1.3</v>
      </c>
      <c r="K236" s="88">
        <f>I236*J236</f>
        <v>2340</v>
      </c>
      <c r="L236" s="70">
        <f>IF(K236&lt;=1000,(ROUNDUP(K236,-1)-1),(ROUNDUP(K236,-2)-10))</f>
        <v>2390</v>
      </c>
      <c r="M236" s="80">
        <f>VLOOKUP($A236,'Выгр Кат'!$A:$R,M$1,0)</f>
        <v>1800</v>
      </c>
      <c r="N236" s="80">
        <f>VLOOKUP($A236,'Выгр Кат'!$A:$R,N$1,0)</f>
        <v>2390</v>
      </c>
      <c r="O236" s="28">
        <f>M236-I236</f>
        <v>0</v>
      </c>
      <c r="P236" s="28">
        <f>N236-L236</f>
        <v>0</v>
      </c>
      <c r="Q236" s="36">
        <f>IFERROR(L236*(1-$Q$2),"")</f>
        <v>2222.6999999999998</v>
      </c>
      <c r="R236" s="38" t="str">
        <f>IFERROR(VLOOKUP($A236,'Из Гугла'!$B:$G,6,0)*S236,VLOOKUP($A236,'Из Гугла'!$B:$G,6,0))</f>
        <v/>
      </c>
      <c r="S236" s="14">
        <v>1</v>
      </c>
      <c r="T236" s="83">
        <f>IFERROR(Q236/I236-1,"")</f>
        <v>0.23483333333333323</v>
      </c>
      <c r="U236" s="83" t="str">
        <f>IFERROR((W236-Q236)/W236,"")</f>
        <v/>
      </c>
      <c r="V236" s="83" t="str">
        <f>IFERROR(IF(W236="","",W236/I236-1),"")</f>
        <v/>
      </c>
      <c r="W236" s="94" t="s">
        <v>1269</v>
      </c>
    </row>
    <row r="237" spans="1:24" ht="31.5" thickTop="1" thickBot="1" x14ac:dyDescent="0.3">
      <c r="A237" s="80">
        <v>138550</v>
      </c>
      <c r="B237" s="80">
        <f>VLOOKUP($A237,'Выгр Кат'!$A:$R,B$1,0)</f>
        <v>7465</v>
      </c>
      <c r="C237" s="81" t="str">
        <f>VLOOKUP($A237,'Выгр Кат'!$A:$R,C$1,0)</f>
        <v>Боковые зеркала механические чёрные для ВАЗ 2108-21099, 2113-2115</v>
      </c>
      <c r="D237" s="80" t="str">
        <f>VLOOKUP($A237,'Выгр Кат'!$A:$R,D$1,0)</f>
        <v>Y</v>
      </c>
      <c r="E237" s="80" t="str">
        <f>VLOOKUP($A237,'Выгр Кат'!$A:$R,E$1,0)</f>
        <v>1</v>
      </c>
      <c r="F237" s="80">
        <f>VLOOKUP($A237,'Выгр Кат'!$A:$R,F$1,0)</f>
        <v>0</v>
      </c>
      <c r="G237" s="80" t="str">
        <f>VLOOKUP($A237,'Выгр Кат'!$A:$R,G$1,0)</f>
        <v>https://motorring.ru/product/15981-bokovye-zerkala-chernyy-lak-vaz-2108-21099-2113-2115</v>
      </c>
      <c r="H237" s="67" t="s">
        <v>3</v>
      </c>
      <c r="I237" s="82">
        <v>1800</v>
      </c>
      <c r="J237" s="5">
        <f>VLOOKUP(I237,Наценка!$A$1:$G$8,2,1)</f>
        <v>1.3</v>
      </c>
      <c r="K237" s="88">
        <f>I237*J237</f>
        <v>2340</v>
      </c>
      <c r="L237" s="70">
        <f>IF(K237&lt;=1000,(ROUNDUP(K237,-1)-1),(ROUNDUP(K237,-2)-10))</f>
        <v>2390</v>
      </c>
      <c r="M237" s="80">
        <f>VLOOKUP($A237,'Выгр Кат'!$A:$R,M$1,0)</f>
        <v>1800</v>
      </c>
      <c r="N237" s="80">
        <f>VLOOKUP($A237,'Выгр Кат'!$A:$R,N$1,0)</f>
        <v>2390</v>
      </c>
      <c r="O237" s="28">
        <f>M237-I237</f>
        <v>0</v>
      </c>
      <c r="P237" s="28">
        <f>N237-L237</f>
        <v>0</v>
      </c>
      <c r="Q237" s="36">
        <f>IFERROR(L237*(1-$Q$2),"")</f>
        <v>2222.6999999999998</v>
      </c>
      <c r="R237" s="38">
        <f>IFERROR(VLOOKUP($A237,'Из Гугла'!$B:$G,6,0)*S237,VLOOKUP($A237,'Из Гугла'!$B:$G,6,0))</f>
        <v>1990</v>
      </c>
      <c r="S237" s="14">
        <v>1</v>
      </c>
      <c r="T237" s="83">
        <f>IFERROR(Q237/I237-1,"")</f>
        <v>0.23483333333333323</v>
      </c>
      <c r="U237" s="83" t="str">
        <f>IFERROR((W237-Q237)/W237,"")</f>
        <v/>
      </c>
      <c r="V237" s="83" t="str">
        <f>IFERROR(IF(W237="","",W237/I237-1),"")</f>
        <v/>
      </c>
      <c r="W237" s="94" t="s">
        <v>1429</v>
      </c>
      <c r="X237" s="71" t="s">
        <v>864</v>
      </c>
    </row>
    <row r="238" spans="1:24" ht="30.75" thickTop="1" x14ac:dyDescent="0.25">
      <c r="A238" s="80">
        <v>133347</v>
      </c>
      <c r="B238" s="80">
        <f>VLOOKUP($A238,'Выгр Кат'!$A:$R,B$1,0)</f>
        <v>8054</v>
      </c>
      <c r="C238" s="81" t="str">
        <f>VLOOKUP($A238,'Выгр Кат'!$A:$R,C$1,0)</f>
        <v>Балки с диодами PL-1219 (1*10 Вт, 2 шт.)</v>
      </c>
      <c r="D238" s="80" t="str">
        <f>VLOOKUP($A238,'Выгр Кат'!$A:$R,D$1,0)</f>
        <v>Y</v>
      </c>
      <c r="E238" s="80" t="str">
        <f>VLOOKUP($A238,'Выгр Кат'!$A:$R,E$1,0)</f>
        <v>1</v>
      </c>
      <c r="F238" s="80" t="str">
        <f>VLOOKUP($A238,'Выгр Кат'!$A:$R,F$1,0)</f>
        <v>PL-1219</v>
      </c>
      <c r="G238" s="80" t="str">
        <f>VLOOKUP($A238,'Выгр Кат'!$A:$R,G$1,0)</f>
        <v>https://motorring.ru/product/8271-diodnaya-balka-pl-1219-10w-10vt</v>
      </c>
      <c r="H238" s="67" t="s">
        <v>3</v>
      </c>
      <c r="I238" s="82">
        <v>1800</v>
      </c>
      <c r="J238" s="5">
        <f>VLOOKUP(I238,Наценка!$A$1:$G$8,2,1)</f>
        <v>1.3</v>
      </c>
      <c r="K238" s="92">
        <f>W238*1.02</f>
        <v>2845.8</v>
      </c>
      <c r="L238" s="70">
        <f>IF(K238&lt;=1000,(ROUNDUP(K238,-1)-1),(ROUNDUP(K238,-2)-10))</f>
        <v>2890</v>
      </c>
      <c r="M238" s="80">
        <f>VLOOKUP($A238,'Выгр Кат'!$A:$R,M$1,0)</f>
        <v>1800</v>
      </c>
      <c r="N238" s="80">
        <f>VLOOKUP($A238,'Выгр Кат'!$A:$R,N$1,0)</f>
        <v>2890</v>
      </c>
      <c r="O238" s="28">
        <f>M238-I238</f>
        <v>0</v>
      </c>
      <c r="P238" s="28">
        <f>N238-L238</f>
        <v>0</v>
      </c>
      <c r="Q238" s="36">
        <f>IFERROR(L238*(1-$Q$2),"")</f>
        <v>2687.7</v>
      </c>
      <c r="R238" s="38">
        <f>IFERROR(VLOOKUP($A238,'Из Гугла'!$B:$G,6,0)*S238,VLOOKUP($A238,'Из Гугла'!$B:$G,6,0))</f>
        <v>2790</v>
      </c>
      <c r="S238" s="14">
        <v>1</v>
      </c>
      <c r="T238" s="83">
        <f>IFERROR(Q238/I238-1,"")</f>
        <v>0.49316666666666653</v>
      </c>
      <c r="U238" s="83">
        <f>IFERROR((W238-Q238)/W238,"")</f>
        <v>3.6666666666666729E-2</v>
      </c>
      <c r="V238" s="83">
        <f>IFERROR(IF(W238="","",W238/I238-1),"")</f>
        <v>0.55000000000000004</v>
      </c>
      <c r="W238" s="84">
        <v>2790</v>
      </c>
      <c r="X238" s="71" t="s">
        <v>1470</v>
      </c>
    </row>
    <row r="239" spans="1:24" ht="30" x14ac:dyDescent="0.25">
      <c r="A239" s="80">
        <v>223091</v>
      </c>
      <c r="B239" s="80">
        <f>VLOOKUP($A239,'Выгр Кат'!$A:$R,B$1,0)</f>
        <v>8283</v>
      </c>
      <c r="C239" s="81" t="str">
        <f>VLOOKUP($A239,'Выгр Кат'!$A:$R,C$1,0)</f>
        <v>Универсальные ПТФ "DLAA" LA9834BX белые</v>
      </c>
      <c r="D239" s="80" t="str">
        <f>VLOOKUP($A239,'Выгр Кат'!$A:$R,D$1,0)</f>
        <v>Y</v>
      </c>
      <c r="E239" s="80" t="str">
        <f>VLOOKUP($A239,'Выгр Кат'!$A:$R,E$1,0)</f>
        <v>1</v>
      </c>
      <c r="F239" s="80" t="str">
        <f>VLOOKUP($A239,'Выгр Кат'!$A:$R,F$1,0)</f>
        <v>LA9834BX</v>
      </c>
      <c r="G239" s="80">
        <f>VLOOKUP($A239,'Выгр Кат'!$A:$R,G$1,0)</f>
        <v>0</v>
      </c>
      <c r="H239" s="67" t="s">
        <v>3</v>
      </c>
      <c r="I239" s="82">
        <v>1800</v>
      </c>
      <c r="J239" s="5">
        <f>VLOOKUP(I239,Наценка!$A$1:$G$8,2,1)</f>
        <v>1.3</v>
      </c>
      <c r="K239" s="88">
        <f>I239*J239</f>
        <v>2340</v>
      </c>
      <c r="L239" s="70">
        <f>IF(K239&lt;=1000,(ROUNDUP(K239,-1)-1),(ROUNDUP(K239,-2)-10))</f>
        <v>2390</v>
      </c>
      <c r="M239" s="80">
        <f>VLOOKUP($A239,'Выгр Кат'!$A:$R,M$1,0)</f>
        <v>1800</v>
      </c>
      <c r="N239" s="80">
        <f>VLOOKUP($A239,'Выгр Кат'!$A:$R,N$1,0)</f>
        <v>2390</v>
      </c>
      <c r="O239" s="28">
        <f>M239-I239</f>
        <v>0</v>
      </c>
      <c r="P239" s="28">
        <f>N239-L239</f>
        <v>0</v>
      </c>
      <c r="Q239" s="36">
        <f>IFERROR(L239*(1-$Q$2),"")</f>
        <v>2222.6999999999998</v>
      </c>
      <c r="R239" s="38" t="str">
        <f>IFERROR(VLOOKUP($A239,'Из Гугла'!$B:$G,6,0)*S239,VLOOKUP($A239,'Из Гугла'!$B:$G,6,0))</f>
        <v/>
      </c>
      <c r="S239" s="14">
        <v>1</v>
      </c>
      <c r="T239" s="83">
        <f>IFERROR(Q239/I239-1,"")</f>
        <v>0.23483333333333323</v>
      </c>
      <c r="U239" s="83" t="str">
        <f>IFERROR((W239-Q239)/W239,"")</f>
        <v/>
      </c>
      <c r="V239" s="83" t="str">
        <f>IFERROR(IF(W239="","",W239/I239-1),"")</f>
        <v/>
      </c>
      <c r="W239" s="84" t="s">
        <v>1269</v>
      </c>
    </row>
    <row r="240" spans="1:24" ht="30" x14ac:dyDescent="0.25">
      <c r="A240" s="80">
        <v>201795</v>
      </c>
      <c r="B240" s="80">
        <f>VLOOKUP($A240,'Выгр Кат'!$A:$R,B$1,0)</f>
        <v>15441</v>
      </c>
      <c r="C240" s="81" t="str">
        <f>VLOOKUP($A240,'Выгр Кат'!$A:$R,C$1,0)</f>
        <v>Противотуманные фары RN 699 для Лада (Гранта FL, Веста, XRAY), Renault</v>
      </c>
      <c r="D240" s="80" t="str">
        <f>VLOOKUP($A240,'Выгр Кат'!$A:$R,D$1,0)</f>
        <v>Y</v>
      </c>
      <c r="E240" s="80" t="str">
        <f>VLOOKUP($A240,'Выгр Кат'!$A:$R,E$1,0)</f>
        <v>1</v>
      </c>
      <c r="F240" s="80" t="str">
        <f>VLOOKUP($A240,'Выгр Кат'!$A:$R,F$1,0)</f>
        <v>RN 699</v>
      </c>
      <c r="G240" s="80" t="str">
        <f>VLOOKUP($A240,'Выгр Кат'!$A:$R,G$1,0)</f>
        <v>https://motorring.ru/product/19766-ptf-699-lada-vesta-iks-rey-granta-niva-urban-reno</v>
      </c>
      <c r="H240" s="67" t="s">
        <v>3</v>
      </c>
      <c r="I240" s="82">
        <v>1800</v>
      </c>
      <c r="J240" s="5">
        <f>VLOOKUP(I240,Наценка!$A$1:$G$8,2,1)</f>
        <v>1.3</v>
      </c>
      <c r="K240" s="90">
        <f>W240*1.04</f>
        <v>2797.6</v>
      </c>
      <c r="L240" s="70">
        <f>IF(K240&lt;=1000,(ROUNDUP(K240,-1)-1),(ROUNDUP(K240,-2)-10))</f>
        <v>2790</v>
      </c>
      <c r="M240" s="80">
        <f>VLOOKUP($A240,'Выгр Кат'!$A:$R,M$1,0)</f>
        <v>1800</v>
      </c>
      <c r="N240" s="80">
        <f>VLOOKUP($A240,'Выгр Кат'!$A:$R,N$1,0)</f>
        <v>2790</v>
      </c>
      <c r="O240" s="28">
        <f>M240-I240</f>
        <v>0</v>
      </c>
      <c r="P240" s="28">
        <f>N240-L240</f>
        <v>0</v>
      </c>
      <c r="Q240" s="36">
        <f>IFERROR(L240*(1-$Q$2),"")</f>
        <v>2594.6999999999998</v>
      </c>
      <c r="R240" s="38">
        <f>IFERROR(VLOOKUP($A240,'Из Гугла'!$B:$G,6,0)*S240,VLOOKUP($A240,'Из Гугла'!$B:$G,6,0))</f>
        <v>2690</v>
      </c>
      <c r="S240" s="14">
        <v>1</v>
      </c>
      <c r="T240" s="83">
        <f>IFERROR(Q240/I240-1,"")</f>
        <v>0.4415</v>
      </c>
      <c r="U240" s="83">
        <f>IFERROR((W240-Q240)/W240,"")</f>
        <v>3.5427509293680368E-2</v>
      </c>
      <c r="V240" s="83">
        <f>IFERROR(IF(W240="","",W240/I240-1),"")</f>
        <v>0.49444444444444446</v>
      </c>
      <c r="W240" s="93">
        <v>2690</v>
      </c>
      <c r="X240" s="71" t="s">
        <v>860</v>
      </c>
    </row>
    <row r="241" spans="1:24" ht="45.75" thickBot="1" x14ac:dyDescent="0.3">
      <c r="A241" s="80">
        <v>170592</v>
      </c>
      <c r="B241" s="80">
        <f>VLOOKUP($A241,'Выгр Кат'!$A:$R,B$1,0)</f>
        <v>17620</v>
      </c>
      <c r="C241" s="81" t="str">
        <f>VLOOKUP($A241,'Выгр Кат'!$A:$R,C$1,0)</f>
        <v>Накладки на пороги с надписью "Urban" и подсветкой для Лада Нива 4х4, Нива 4х4 Урбан</v>
      </c>
      <c r="D241" s="80" t="str">
        <f>VLOOKUP($A241,'Выгр Кат'!$A:$R,D$1,0)</f>
        <v>Y</v>
      </c>
      <c r="E241" s="80" t="str">
        <f>VLOOKUP($A241,'Выгр Кат'!$A:$R,E$1,0)</f>
        <v>1</v>
      </c>
      <c r="F241" s="80">
        <f>VLOOKUP($A241,'Выгр Кат'!$A:$R,F$1,0)</f>
        <v>0</v>
      </c>
      <c r="G241" s="80" t="str">
        <f>VLOOKUP($A241,'Выгр Кат'!$A:$R,G$1,0)</f>
        <v>https://motorring.ru/product/16660-svetodiodnye-nakladki-porogi-nadpisyyu-urban-lada-niva</v>
      </c>
      <c r="H241" s="67" t="s">
        <v>3</v>
      </c>
      <c r="I241" s="82">
        <v>1800</v>
      </c>
      <c r="J241" s="5">
        <f>VLOOKUP(I241,Наценка!$A$1:$G$8,2,1)</f>
        <v>1.3</v>
      </c>
      <c r="K241" s="55">
        <f>W241*1.04</f>
        <v>2485.6</v>
      </c>
      <c r="L241" s="70">
        <f>IF(K241&lt;=1000,(ROUNDUP(K241,-1)-1),(ROUNDUP(K241,-2)-10))</f>
        <v>2490</v>
      </c>
      <c r="M241" s="80">
        <f>VLOOKUP($A241,'Выгр Кат'!$A:$R,M$1,0)</f>
        <v>1800</v>
      </c>
      <c r="N241" s="80">
        <f>VLOOKUP($A241,'Выгр Кат'!$A:$R,N$1,0)</f>
        <v>2490</v>
      </c>
      <c r="O241" s="28">
        <f>M241-I241</f>
        <v>0</v>
      </c>
      <c r="P241" s="28">
        <f>N241-L241</f>
        <v>0</v>
      </c>
      <c r="Q241" s="36">
        <f>IFERROR(L241*(1-$Q$2),"")</f>
        <v>2315.6999999999998</v>
      </c>
      <c r="R241" s="38">
        <f>IFERROR(VLOOKUP($A241,'Из Гугла'!$B:$G,6,0)*S241,VLOOKUP($A241,'Из Гугла'!$B:$G,6,0))</f>
        <v>2390</v>
      </c>
      <c r="S241" s="14">
        <v>1</v>
      </c>
      <c r="T241" s="83">
        <f>IFERROR(Q241/I241-1,"")</f>
        <v>0.28649999999999998</v>
      </c>
      <c r="U241" s="83">
        <f>IFERROR((W241-Q241)/W241,"")</f>
        <v>3.1087866108786687E-2</v>
      </c>
      <c r="V241" s="83">
        <f>IFERROR(IF(W241="","",W241/I241-1),"")</f>
        <v>0.32777777777777772</v>
      </c>
      <c r="W241" s="95">
        <v>2390</v>
      </c>
      <c r="X241" s="71" t="s">
        <v>861</v>
      </c>
    </row>
    <row r="242" spans="1:24" ht="60.75" thickTop="1" x14ac:dyDescent="0.25">
      <c r="A242" s="80">
        <v>201813</v>
      </c>
      <c r="B242" s="80">
        <f>VLOOKUP($A242,'Выгр Кат'!$A:$R,B$1,0)</f>
        <v>18330</v>
      </c>
      <c r="C242" s="81" t="str">
        <f>VLOOKUP($A242,'Выгр Кат'!$A:$R,C$1,0)</f>
        <v>Противотуманные фары светодиодные (LED) с ангельскими глазками для Лада Калина, Калина 2, Гранта, Ларгус</v>
      </c>
      <c r="D242" s="80" t="str">
        <f>VLOOKUP($A242,'Выгр Кат'!$A:$R,D$1,0)</f>
        <v>Y</v>
      </c>
      <c r="E242" s="80" t="str">
        <f>VLOOKUP($A242,'Выгр Кат'!$A:$R,E$1,0)</f>
        <v>1</v>
      </c>
      <c r="F242" s="80" t="str">
        <f>VLOOKUP($A242,'Выгр Кат'!$A:$R,F$1,0)</f>
        <v>HP-GZD-118</v>
      </c>
      <c r="G242" s="80" t="str">
        <f>VLOOKUP($A242,'Выгр Кат'!$A:$R,G$1,0)</f>
        <v>https://motorring.ru/product/21357-diodnye-ptf-30w-dho-lada-kalina-kalina-granta-largus-datsun</v>
      </c>
      <c r="H242" s="67" t="s">
        <v>3</v>
      </c>
      <c r="I242" s="82">
        <v>1800</v>
      </c>
      <c r="J242" s="5">
        <f>VLOOKUP(I242,Наценка!$A$1:$G$8,2,1)</f>
        <v>1.3</v>
      </c>
      <c r="K242" s="90">
        <f>W242*1.04</f>
        <v>2381.6</v>
      </c>
      <c r="L242" s="70">
        <f>IF(K242&lt;=1000,(ROUNDUP(K242,-1)-1),(ROUNDUP(K242,-2)-10))</f>
        <v>2390</v>
      </c>
      <c r="M242" s="80">
        <f>VLOOKUP($A242,'Выгр Кат'!$A:$R,M$1,0)</f>
        <v>1800</v>
      </c>
      <c r="N242" s="80">
        <f>VLOOKUP($A242,'Выгр Кат'!$A:$R,N$1,0)</f>
        <v>2390</v>
      </c>
      <c r="O242" s="28">
        <f>M242-I242</f>
        <v>0</v>
      </c>
      <c r="P242" s="28">
        <f>N242-L242</f>
        <v>0</v>
      </c>
      <c r="Q242" s="36">
        <f>IFERROR(L242*(1-$Q$2),"")</f>
        <v>2222.6999999999998</v>
      </c>
      <c r="R242" s="38">
        <f>IFERROR(VLOOKUP($A242,'Из Гугла'!$B:$G,6,0)*S242,VLOOKUP($A242,'Из Гугла'!$B:$G,6,0))</f>
        <v>2290</v>
      </c>
      <c r="S242" s="14">
        <v>1</v>
      </c>
      <c r="T242" s="83">
        <f>IFERROR(Q242/I242-1,"")</f>
        <v>0.23483333333333323</v>
      </c>
      <c r="U242" s="83">
        <f>IFERROR((W242-Q242)/W242,"")</f>
        <v>2.9388646288209686E-2</v>
      </c>
      <c r="V242" s="83">
        <f>IFERROR(IF(W242="","",W242/I242-1),"")</f>
        <v>0.27222222222222214</v>
      </c>
      <c r="W242" s="93">
        <v>2290</v>
      </c>
      <c r="X242" s="71" t="s">
        <v>859</v>
      </c>
    </row>
    <row r="243" spans="1:24" ht="30" x14ac:dyDescent="0.25">
      <c r="A243" s="80">
        <v>211416</v>
      </c>
      <c r="B243" s="80">
        <f>VLOOKUP($A243,'Выгр Кат'!$A:$R,B$1,0)</f>
        <v>19394</v>
      </c>
      <c r="C243" s="81" t="str">
        <f>VLOOKUP($A243,'Выгр Кат'!$A:$R,C$1,0)</f>
        <v>Руль "F-1" CANADA чёрный карбоновый (средний вылет)</v>
      </c>
      <c r="D243" s="80" t="str">
        <f>VLOOKUP($A243,'Выгр Кат'!$A:$R,D$1,0)</f>
        <v>Y</v>
      </c>
      <c r="E243" s="80" t="str">
        <f>VLOOKUP($A243,'Выгр Кат'!$A:$R,E$1,0)</f>
        <v>1</v>
      </c>
      <c r="F243" s="80" t="str">
        <f>VLOOKUP($A243,'Выгр Кат'!$A:$R,F$1,0)</f>
        <v>PT-4125+PVC</v>
      </c>
      <c r="G243" s="80">
        <f>VLOOKUP($A243,'Выгр Кат'!$A:$R,G$1,0)</f>
        <v>0</v>
      </c>
      <c r="H243" s="67" t="s">
        <v>3</v>
      </c>
      <c r="I243" s="82">
        <v>1800</v>
      </c>
      <c r="J243" s="5">
        <f>VLOOKUP(I243,Наценка!$A$1:$G$8,2,1)</f>
        <v>1.3</v>
      </c>
      <c r="K243" s="34">
        <f>I243*J243</f>
        <v>2340</v>
      </c>
      <c r="L243" s="70">
        <f>IF(K243&lt;=1000,(ROUNDUP(K243,-1)-1),(ROUNDUP(K243,-2)-10))</f>
        <v>2390</v>
      </c>
      <c r="M243" s="80">
        <f>VLOOKUP($A243,'Выгр Кат'!$A:$R,M$1,0)</f>
        <v>1800</v>
      </c>
      <c r="N243" s="80">
        <f>VLOOKUP($A243,'Выгр Кат'!$A:$R,N$1,0)</f>
        <v>2390</v>
      </c>
      <c r="O243" s="28">
        <f>M243-I243</f>
        <v>0</v>
      </c>
      <c r="P243" s="28">
        <f>N243-L243</f>
        <v>0</v>
      </c>
      <c r="Q243" s="36">
        <f>IFERROR(L243*(1-$Q$2),"")</f>
        <v>2222.6999999999998</v>
      </c>
      <c r="R243" s="38" t="str">
        <f>IFERROR(VLOOKUP($A243,'Из Гугла'!$B:$G,6,0)*S243,VLOOKUP($A243,'Из Гугла'!$B:$G,6,0))</f>
        <v/>
      </c>
      <c r="S243" s="14">
        <v>1</v>
      </c>
      <c r="T243" s="83">
        <f>IFERROR(Q243/I243-1,"")</f>
        <v>0.23483333333333323</v>
      </c>
      <c r="U243" s="83" t="str">
        <f>IFERROR((W243-Q243)/W243,"")</f>
        <v/>
      </c>
      <c r="V243" s="83" t="str">
        <f>IFERROR(IF(W243="","",W243/I243-1),"")</f>
        <v/>
      </c>
      <c r="W243" s="84" t="s">
        <v>1269</v>
      </c>
    </row>
    <row r="244" spans="1:24" ht="90" x14ac:dyDescent="0.25">
      <c r="A244" s="80">
        <v>201786</v>
      </c>
      <c r="B244" s="80">
        <f>VLOOKUP($A244,'Выгр Кат'!$A:$R,B$1,0)</f>
        <v>37892</v>
      </c>
      <c r="C244" s="81" t="str">
        <f>VLOOKUP($A244,'Выгр Кат'!$A:$R,C$1,0)</f>
        <v>Противотуманные фары (ПТФ) светодиодные с ангельскими глазками (2 линзы) для Лада (Гранта FL, Лада Веста, XRAY, Нива Урбан), Renault (Duster, Fluence, Kaptur, Koleos, Logan, Sandero)</v>
      </c>
      <c r="D244" s="80" t="str">
        <f>VLOOKUP($A244,'Выгр Кат'!$A:$R,D$1,0)</f>
        <v>Y</v>
      </c>
      <c r="E244" s="80" t="str">
        <f>VLOOKUP($A244,'Выгр Кат'!$A:$R,E$1,0)</f>
        <v>1ск1</v>
      </c>
      <c r="F244" s="80" t="str">
        <f>VLOOKUP($A244,'Выгр Кат'!$A:$R,F$1,0)</f>
        <v>hp-gzd-209-01</v>
      </c>
      <c r="G244" s="80" t="str">
        <f>VLOOKUP($A244,'Выгр Кат'!$A:$R,G$1,0)</f>
        <v>https://motorring.ru/product/32389-diodnye-ptf-linzy-kolycom-dho-dlya-lada-granta-lada-vesta</v>
      </c>
      <c r="H244" s="67" t="s">
        <v>3</v>
      </c>
      <c r="I244" s="82">
        <v>1800</v>
      </c>
      <c r="J244" s="5">
        <f>VLOOKUP(I244,Наценка!$A$1:$G$8,2,1)</f>
        <v>1.3</v>
      </c>
      <c r="K244" s="90">
        <f>W244*1.04</f>
        <v>4149.6000000000004</v>
      </c>
      <c r="L244" s="70">
        <f>IF(K244&lt;=1000,(ROUNDUP(K244,-1)-1),(ROUNDUP(K244,-2)-10))</f>
        <v>4190</v>
      </c>
      <c r="M244" s="80">
        <f>VLOOKUP($A244,'Выгр Кат'!$A:$R,M$1,0)</f>
        <v>1800</v>
      </c>
      <c r="N244" s="80">
        <f>VLOOKUP($A244,'Выгр Кат'!$A:$R,N$1,0)</f>
        <v>4190</v>
      </c>
      <c r="O244" s="28">
        <f>M244-I244</f>
        <v>0</v>
      </c>
      <c r="P244" s="28">
        <f>N244-L244</f>
        <v>0</v>
      </c>
      <c r="Q244" s="36">
        <f>IFERROR(L244*(1-$Q$2),"")</f>
        <v>3896.7</v>
      </c>
      <c r="R244" s="38">
        <f>IFERROR(VLOOKUP($A244,'Из Гугла'!$B:$G,6,0)*S244,VLOOKUP($A244,'Из Гугла'!$B:$G,6,0))</f>
        <v>3990</v>
      </c>
      <c r="S244" s="14">
        <v>1</v>
      </c>
      <c r="T244" s="83">
        <f>IFERROR(Q244/I244-1,"")</f>
        <v>1.1648333333333332</v>
      </c>
      <c r="U244" s="83">
        <f>IFERROR((W244-Q244)/W244,"")</f>
        <v>2.3383458646616586E-2</v>
      </c>
      <c r="V244" s="83">
        <f>IFERROR(IF(W244="","",W244/I244-1),"")</f>
        <v>1.2166666666666668</v>
      </c>
      <c r="W244" s="84">
        <v>3990</v>
      </c>
      <c r="X244" s="71" t="s">
        <v>1419</v>
      </c>
    </row>
    <row r="245" spans="1:24" ht="45" x14ac:dyDescent="0.25">
      <c r="A245" s="80">
        <v>345619</v>
      </c>
      <c r="B245" s="80">
        <f>VLOOKUP($A245,'Выгр Кат'!$A:$R,B$1,0)</f>
        <v>345619</v>
      </c>
      <c r="C245" s="81" t="str">
        <f>VLOOKUP($A245,'Выгр Кат'!$A:$R,C$1,0)</f>
        <v>Противотуманные LED фары "TheBestPartner" (светодиодные ПТФ) для для Лада Приора, Шевроле Нива</v>
      </c>
      <c r="D245" s="80" t="str">
        <f>VLOOKUP($A245,'Выгр Кат'!$A:$R,D$1,0)</f>
        <v>Y</v>
      </c>
      <c r="E245" s="80" t="str">
        <f>VLOOKUP($A245,'Выгр Кат'!$A:$R,E$1,0)</f>
        <v>1ск1</v>
      </c>
      <c r="F245" s="80" t="str">
        <f>VLOOKUP($A245,'Выгр Кат'!$A:$R,F$1,0)</f>
        <v>HP-GZD-361-01</v>
      </c>
      <c r="G245" s="80" t="str">
        <f>VLOOKUP($A245,'Выгр Кат'!$A:$R,G$1,0)</f>
        <v>https://motorring.ru/product/42797-svetodiodnye-ptf-thebestpartner-linza-beluye-priora</v>
      </c>
      <c r="H245" s="67" t="s">
        <v>3</v>
      </c>
      <c r="I245" s="82">
        <v>1800</v>
      </c>
      <c r="J245" s="5">
        <f>VLOOKUP(I245,Наценка!$A$1:$G$8,2,1)</f>
        <v>1.3</v>
      </c>
      <c r="K245" s="89">
        <f>W245*1.07</f>
        <v>3092.3</v>
      </c>
      <c r="L245" s="70">
        <f>IF(K245&lt;=1000,(ROUNDUP(K245,-1)-1),(ROUNDUP(K245,-2)-10))</f>
        <v>3090</v>
      </c>
      <c r="M245" s="80">
        <f>VLOOKUP($A245,'Выгр Кат'!$A:$R,M$1,0)</f>
        <v>1800</v>
      </c>
      <c r="N245" s="80">
        <f>VLOOKUP($A245,'Выгр Кат'!$A:$R,N$1,0)</f>
        <v>3090</v>
      </c>
      <c r="O245" s="28">
        <f>M245-I245</f>
        <v>0</v>
      </c>
      <c r="P245" s="28">
        <f>N245-L245</f>
        <v>0</v>
      </c>
      <c r="Q245" s="36">
        <f>IFERROR(L245*(1-$Q$2),"")</f>
        <v>2873.7</v>
      </c>
      <c r="R245" s="38">
        <f>IFERROR(VLOOKUP($A245,'Из Гугла'!$B:$G,6,0)*S245,VLOOKUP($A245,'Из Гугла'!$B:$G,6,0))</f>
        <v>2890</v>
      </c>
      <c r="S245" s="14">
        <v>1</v>
      </c>
      <c r="T245" s="83">
        <f>IFERROR(Q245/I245-1,"")</f>
        <v>0.59649999999999981</v>
      </c>
      <c r="U245" s="83">
        <f>IFERROR((W245-Q245)/W245,"")</f>
        <v>5.6401384083045614E-3</v>
      </c>
      <c r="V245" s="83">
        <f>IFERROR(IF(W245="","",W245/I245-1),"")</f>
        <v>0.60555555555555562</v>
      </c>
      <c r="W245" s="84">
        <v>2890</v>
      </c>
      <c r="X245" s="71" t="s">
        <v>1417</v>
      </c>
    </row>
    <row r="246" spans="1:24" ht="60" x14ac:dyDescent="0.25">
      <c r="A246" s="80">
        <v>345617</v>
      </c>
      <c r="B246" s="80">
        <f>VLOOKUP($A246,'Выгр Кат'!$A:$R,B$1,0)</f>
        <v>345617</v>
      </c>
      <c r="C246" s="81" t="str">
        <f>VLOOKUP($A246,'Выгр Кат'!$A:$R,C$1,0)</f>
        <v>Противотуманные LED фары "TheBestPartner" (светодиодные ПТФ) для Лада Гранта FL, Веста, XRAY, Ларгус FL, Нива 4х4, Нива Legend</v>
      </c>
      <c r="D246" s="80" t="str">
        <f>VLOOKUP($A246,'Выгр Кат'!$A:$R,D$1,0)</f>
        <v>Y</v>
      </c>
      <c r="E246" s="80" t="str">
        <f>VLOOKUP($A246,'Выгр Кат'!$A:$R,E$1,0)</f>
        <v>1</v>
      </c>
      <c r="F246" s="80" t="str">
        <f>VLOOKUP($A246,'Выгр Кат'!$A:$R,F$1,0)</f>
        <v>HP-GZD-361-02</v>
      </c>
      <c r="G246" s="80" t="str">
        <f>VLOOKUP($A246,'Выгр Кат'!$A:$R,G$1,0)</f>
        <v>https://motorring.ru/product/42798-svetodiodnye-ptf-thebestpartner-linza-regulirovkoy-vesta</v>
      </c>
      <c r="H246" s="67" t="s">
        <v>3</v>
      </c>
      <c r="I246" s="82">
        <v>1800</v>
      </c>
      <c r="J246" s="5">
        <f>VLOOKUP(I246,Наценка!$A$1:$G$8,2,1)</f>
        <v>1.3</v>
      </c>
      <c r="K246" s="89">
        <f>W246*1.07</f>
        <v>3092.3</v>
      </c>
      <c r="L246" s="70">
        <f>IF(K246&lt;=1000,(ROUNDUP(K246,-1)-1),(ROUNDUP(K246,-2)-10))</f>
        <v>3090</v>
      </c>
      <c r="M246" s="80">
        <f>VLOOKUP($A246,'Выгр Кат'!$A:$R,M$1,0)</f>
        <v>1800</v>
      </c>
      <c r="N246" s="80">
        <f>VLOOKUP($A246,'Выгр Кат'!$A:$R,N$1,0)</f>
        <v>3090</v>
      </c>
      <c r="O246" s="28">
        <f>M246-I246</f>
        <v>0</v>
      </c>
      <c r="P246" s="28">
        <f>N246-L246</f>
        <v>0</v>
      </c>
      <c r="Q246" s="36">
        <f>IFERROR(L246*(1-$Q$2),"")</f>
        <v>2873.7</v>
      </c>
      <c r="R246" s="38">
        <f>IFERROR(VLOOKUP($A246,'Из Гугла'!$B:$G,6,0)*S246,VLOOKUP($A246,'Из Гугла'!$B:$G,6,0))</f>
        <v>2890</v>
      </c>
      <c r="S246" s="14">
        <v>1</v>
      </c>
      <c r="T246" s="83">
        <f>IFERROR(Q246/I246-1,"")</f>
        <v>0.59649999999999981</v>
      </c>
      <c r="U246" s="83">
        <f>IFERROR((W246-Q246)/W246,"")</f>
        <v>5.6401384083045614E-3</v>
      </c>
      <c r="V246" s="83">
        <f>IFERROR(IF(W246="","",W246/I246-1),"")</f>
        <v>0.60555555555555562</v>
      </c>
      <c r="W246" s="84">
        <v>2890</v>
      </c>
      <c r="X246" s="71" t="s">
        <v>1418</v>
      </c>
    </row>
    <row r="247" spans="1:24" ht="45.75" thickBot="1" x14ac:dyDescent="0.3">
      <c r="A247" s="80">
        <v>213678</v>
      </c>
      <c r="B247" s="80">
        <f>VLOOKUP($A247,'Выгр Кат'!$A:$R,B$1,0)</f>
        <v>25035</v>
      </c>
      <c r="C247" s="81" t="str">
        <f>VLOOKUP($A247,'Выгр Кат'!$A:$R,C$1,0)</f>
        <v>Светодиодные противотуманные фары (5 полос, 2 режима) для ВАЗ 2110-2112, 2113-2115</v>
      </c>
      <c r="D247" s="80" t="str">
        <f>VLOOKUP($A247,'Выгр Кат'!$A:$R,D$1,0)</f>
        <v>Y</v>
      </c>
      <c r="E247" s="80" t="str">
        <f>VLOOKUP($A247,'Выгр Кат'!$A:$R,E$1,0)</f>
        <v>1</v>
      </c>
      <c r="F247" s="80" t="str">
        <f>VLOOKUP($A247,'Выгр Кат'!$A:$R,F$1,0)</f>
        <v>HP-GZD-050-02</v>
      </c>
      <c r="G247" s="80" t="str">
        <f>VLOOKUP($A247,'Выгр Кат'!$A:$R,G$1,0)</f>
        <v>https://motorring.ru/product/27721-diodnye-ptf-polos-dvuhcvetnye-analog-vaz-2110-2112</v>
      </c>
      <c r="H247" s="67" t="s">
        <v>3</v>
      </c>
      <c r="I247" s="82">
        <v>1850</v>
      </c>
      <c r="J247" s="5">
        <f>VLOOKUP(I247,Наценка!$A$1:$G$8,2,1)</f>
        <v>1.3</v>
      </c>
      <c r="K247" s="55">
        <f>W247*1.04</f>
        <v>2589.6</v>
      </c>
      <c r="L247" s="70">
        <f>IF(K247&lt;=1000,(ROUNDUP(K247,-1)-1),(ROUNDUP(K247,-2)-10))</f>
        <v>2590</v>
      </c>
      <c r="M247" s="80">
        <f>VLOOKUP($A247,'Выгр Кат'!$A:$R,M$1,0)</f>
        <v>1850</v>
      </c>
      <c r="N247" s="80">
        <f>VLOOKUP($A247,'Выгр Кат'!$A:$R,N$1,0)</f>
        <v>2590</v>
      </c>
      <c r="O247" s="28">
        <f>M247-I247</f>
        <v>0</v>
      </c>
      <c r="P247" s="28">
        <f>N247-L247</f>
        <v>0</v>
      </c>
      <c r="Q247" s="36">
        <f>IFERROR(L247*(1-$Q$2),"")</f>
        <v>2408.6999999999998</v>
      </c>
      <c r="R247" s="38">
        <f>IFERROR(VLOOKUP($A247,'Из Гугла'!$B:$G,6,0)*S247,VLOOKUP($A247,'Из Гугла'!$B:$G,6,0))</f>
        <v>2490</v>
      </c>
      <c r="S247" s="14">
        <v>1</v>
      </c>
      <c r="T247" s="83">
        <f>IFERROR(Q247/I247-1,"")</f>
        <v>0.30199999999999982</v>
      </c>
      <c r="U247" s="83">
        <f>IFERROR((W247-Q247)/W247,"")</f>
        <v>3.2650602409638629E-2</v>
      </c>
      <c r="V247" s="83">
        <f>IFERROR(IF(W247="","",W247/I247-1),"")</f>
        <v>0.34594594594594597</v>
      </c>
      <c r="W247" s="85">
        <v>2490</v>
      </c>
      <c r="X247" s="71" t="s">
        <v>862</v>
      </c>
    </row>
    <row r="248" spans="1:24" ht="61.5" thickTop="1" thickBot="1" x14ac:dyDescent="0.3">
      <c r="A248" s="80">
        <v>138406</v>
      </c>
      <c r="B248" s="80">
        <f>VLOOKUP($A248,'Выгр Кат'!$A:$R,B$1,0)</f>
        <v>6407</v>
      </c>
      <c r="C248" s="81" t="str">
        <f>VLOOKUP($A248,'Выгр Кат'!$A:$R,C$1,0)</f>
        <v>Боковые зеркала "Волна" механические (белые, с повторителем) для ВАЗ 2104, 2105, 2107</v>
      </c>
      <c r="D248" s="80" t="str">
        <f>VLOOKUP($A248,'Выгр Кат'!$A:$R,D$1,0)</f>
        <v>Y</v>
      </c>
      <c r="E248" s="80" t="str">
        <f>VLOOKUP($A248,'Выгр Кат'!$A:$R,E$1,0)</f>
        <v>1ск2</v>
      </c>
      <c r="F248" s="80">
        <f>VLOOKUP($A248,'Выгр Кат'!$A:$R,F$1,0)</f>
        <v>0</v>
      </c>
      <c r="G248" s="80" t="str">
        <f>VLOOKUP($A248,'Выгр Кат'!$A:$R,G$1,0)</f>
        <v>https://motorring.ru/product/15987-bokovye-zerkala-volna-belye-povtoritelem-vaz-2104-2107</v>
      </c>
      <c r="H248" s="67" t="s">
        <v>3</v>
      </c>
      <c r="I248" s="82">
        <v>1900</v>
      </c>
      <c r="J248" s="5">
        <f>VLOOKUP(I248,Наценка!$A$1:$G$8,2,1)</f>
        <v>1.3</v>
      </c>
      <c r="K248" s="88">
        <f>I248*J248</f>
        <v>2470</v>
      </c>
      <c r="L248" s="70">
        <f>IF(K248&lt;=1000,(ROUNDUP(K248,-1)-1),(ROUNDUP(K248,-2)-10))</f>
        <v>2490</v>
      </c>
      <c r="M248" s="80">
        <f>VLOOKUP($A248,'Выгр Кат'!$A:$R,M$1,0)</f>
        <v>1900</v>
      </c>
      <c r="N248" s="80">
        <f>VLOOKUP($A248,'Выгр Кат'!$A:$R,N$1,0)</f>
        <v>2490</v>
      </c>
      <c r="O248" s="28">
        <f>M248-I248</f>
        <v>0</v>
      </c>
      <c r="P248" s="28">
        <f>N248-L248</f>
        <v>0</v>
      </c>
      <c r="Q248" s="36">
        <f>IFERROR(L248*(1-$Q$2),"")</f>
        <v>2315.6999999999998</v>
      </c>
      <c r="R248" s="38">
        <f>IFERROR(VLOOKUP($A248,'Из Гугла'!$B:$G,6,0)*S248,VLOOKUP($A248,'Из Гугла'!$B:$G,6,0))</f>
        <v>1990</v>
      </c>
      <c r="S248" s="14">
        <v>1</v>
      </c>
      <c r="T248" s="83">
        <f>IFERROR(Q248/I248-1,"")</f>
        <v>0.21878947368421042</v>
      </c>
      <c r="U248" s="83">
        <f>IFERROR((W248-Q248)/W248,"")</f>
        <v>-0.16366834170854261</v>
      </c>
      <c r="V248" s="83">
        <f>IFERROR(IF(W248="","",W248/I248-1),"")</f>
        <v>4.7368421052631504E-2</v>
      </c>
      <c r="W248" s="85">
        <v>1990</v>
      </c>
      <c r="X248" s="71" t="s">
        <v>865</v>
      </c>
    </row>
    <row r="249" spans="1:24" ht="46.5" thickTop="1" thickBot="1" x14ac:dyDescent="0.3">
      <c r="A249" s="80">
        <v>133278</v>
      </c>
      <c r="B249" s="80">
        <f>VLOOKUP($A249,'Выгр Кат'!$A:$R,B$1,0)</f>
        <v>24042</v>
      </c>
      <c r="C249" s="81" t="str">
        <f>VLOOKUP($A249,'Выгр Кат'!$A:$R,C$1,0)</f>
        <v>Балка дополнительного освещения "The Best Partner" HP-CTD-BPTJ-001 (48 Вт, 200 мм)</v>
      </c>
      <c r="D249" s="80" t="str">
        <f>VLOOKUP($A249,'Выгр Кат'!$A:$R,D$1,0)</f>
        <v>Y</v>
      </c>
      <c r="E249" s="80" t="str">
        <f>VLOOKUP($A249,'Выгр Кат'!$A:$R,E$1,0)</f>
        <v>1</v>
      </c>
      <c r="F249" s="80" t="str">
        <f>VLOOKUP($A249,'Выгр Кат'!$A:$R,F$1,0)</f>
        <v>HP-CTD-BPTJ-001</v>
      </c>
      <c r="G249" s="80">
        <f>VLOOKUP($A249,'Выгр Кат'!$A:$R,G$1,0)</f>
        <v>0</v>
      </c>
      <c r="H249" s="67" t="s">
        <v>3</v>
      </c>
      <c r="I249" s="82">
        <v>1900</v>
      </c>
      <c r="J249" s="5">
        <f>VLOOKUP(I249,Наценка!$A$1:$G$8,2,1)</f>
        <v>1.3</v>
      </c>
      <c r="K249" s="34">
        <f>I249*J249</f>
        <v>2470</v>
      </c>
      <c r="L249" s="70">
        <f>IF(K249&lt;=1000,(ROUNDUP(K249,-1)-1),(ROUNDUP(K249,-2)-10))</f>
        <v>2490</v>
      </c>
      <c r="M249" s="80">
        <f>VLOOKUP($A249,'Выгр Кат'!$A:$R,M$1,0)</f>
        <v>1900</v>
      </c>
      <c r="N249" s="80">
        <f>VLOOKUP($A249,'Выгр Кат'!$A:$R,N$1,0)</f>
        <v>2490</v>
      </c>
      <c r="O249" s="28">
        <f>M249-I249</f>
        <v>0</v>
      </c>
      <c r="P249" s="28">
        <f>N249-L249</f>
        <v>0</v>
      </c>
      <c r="Q249" s="36">
        <f>IFERROR(L249*(1-$Q$2),"")</f>
        <v>2315.6999999999998</v>
      </c>
      <c r="R249" s="38" t="str">
        <f>IFERROR(VLOOKUP($A249,'Из Гугла'!$B:$G,6,0)*S249,VLOOKUP($A249,'Из Гугла'!$B:$G,6,0))</f>
        <v/>
      </c>
      <c r="S249" s="14">
        <v>1</v>
      </c>
      <c r="T249" s="83">
        <f>IFERROR(Q249/I249-1,"")</f>
        <v>0.21878947368421042</v>
      </c>
      <c r="U249" s="83" t="str">
        <f>IFERROR((W249-Q249)/W249,"")</f>
        <v/>
      </c>
      <c r="V249" s="83" t="str">
        <f>IFERROR(IF(W249="","",W249/I249-1),"")</f>
        <v/>
      </c>
      <c r="W249" s="94" t="s">
        <v>1269</v>
      </c>
    </row>
    <row r="250" spans="1:24" ht="61.5" thickTop="1" thickBot="1" x14ac:dyDescent="0.3">
      <c r="A250" s="80">
        <v>138543</v>
      </c>
      <c r="B250" s="80">
        <f>VLOOKUP($A250,'Выгр Кат'!$A:$R,B$1,0)</f>
        <v>10223</v>
      </c>
      <c r="C250" s="81" t="str">
        <f>VLOOKUP($A250,'Выгр Кат'!$A:$R,C$1,0)</f>
        <v>Боковые зеркала (чёрные, с обогревом, электропривод, антиблик) для ВАЗ 2108-21099, 2113-2115</v>
      </c>
      <c r="D250" s="80" t="str">
        <f>VLOOKUP($A250,'Выгр Кат'!$A:$R,D$1,0)</f>
        <v>Y</v>
      </c>
      <c r="E250" s="80" t="str">
        <f>VLOOKUP($A250,'Выгр Кат'!$A:$R,E$1,0)</f>
        <v>1</v>
      </c>
      <c r="F250" s="80" t="str">
        <f>VLOOKUP($A250,'Выгр Кат'!$A:$R,F$1,0)</f>
        <v>3381</v>
      </c>
      <c r="G250" s="80" t="str">
        <f>VLOOKUP($A250,'Выгр Кат'!$A:$R,G$1,0)</f>
        <v>https://motorring.ru/product/15979-bokovye-zerkala-chernyy-lak-antiblikom-3381-vaz-2108-2115</v>
      </c>
      <c r="H250" s="67" t="s">
        <v>3</v>
      </c>
      <c r="I250" s="82">
        <v>2000</v>
      </c>
      <c r="J250" s="5">
        <f>VLOOKUP(I250,Наценка!$A$1:$G$8,2,1)</f>
        <v>1.27</v>
      </c>
      <c r="K250" s="88">
        <f>I250*J250</f>
        <v>2540</v>
      </c>
      <c r="L250" s="70">
        <f>IF(K250&lt;=1000,(ROUNDUP(K250,-1)-1),(ROUNDUP(K250,-2)-10))</f>
        <v>2590</v>
      </c>
      <c r="M250" s="80">
        <f>VLOOKUP($A250,'Выгр Кат'!$A:$R,M$1,0)</f>
        <v>2000</v>
      </c>
      <c r="N250" s="80">
        <f>VLOOKUP($A250,'Выгр Кат'!$A:$R,N$1,0)</f>
        <v>2590</v>
      </c>
      <c r="O250" s="28">
        <f>M250-I250</f>
        <v>0</v>
      </c>
      <c r="P250" s="28">
        <f>N250-L250</f>
        <v>0</v>
      </c>
      <c r="Q250" s="36">
        <f>IFERROR(L250*(1-$Q$2),"")</f>
        <v>2408.6999999999998</v>
      </c>
      <c r="R250" s="38" t="str">
        <f>IFERROR(VLOOKUP($A250,'Из Гугла'!$B:$G,6,0)*S250,VLOOKUP($A250,'Из Гугла'!$B:$G,6,0))</f>
        <v/>
      </c>
      <c r="S250" s="14">
        <v>1</v>
      </c>
      <c r="T250" s="83">
        <f>IFERROR(Q250/I250-1,"")</f>
        <v>0.20434999999999981</v>
      </c>
      <c r="U250" s="83" t="str">
        <f>IFERROR((W250-Q250)/W250,"")</f>
        <v/>
      </c>
      <c r="V250" s="83" t="str">
        <f>IFERROR(IF(W250="","",W250/I250-1),"")</f>
        <v/>
      </c>
      <c r="W250" s="95" t="s">
        <v>1429</v>
      </c>
      <c r="X250" s="71" t="s">
        <v>1475</v>
      </c>
    </row>
    <row r="251" spans="1:24" ht="31.5" thickTop="1" thickBot="1" x14ac:dyDescent="0.3">
      <c r="A251" s="80">
        <v>223089</v>
      </c>
      <c r="B251" s="80">
        <f>VLOOKUP($A251,'Выгр Кат'!$A:$R,B$1,0)</f>
        <v>8281</v>
      </c>
      <c r="C251" s="81" t="str">
        <f>VLOOKUP($A251,'Выгр Кат'!$A:$R,C$1,0)</f>
        <v>Универсальные ПТФ "DLAA" LA935 белые</v>
      </c>
      <c r="D251" s="80" t="str">
        <f>VLOOKUP($A251,'Выгр Кат'!$A:$R,D$1,0)</f>
        <v>Y</v>
      </c>
      <c r="E251" s="80" t="str">
        <f>VLOOKUP($A251,'Выгр Кат'!$A:$R,E$1,0)</f>
        <v>1</v>
      </c>
      <c r="F251" s="80" t="str">
        <f>VLOOKUP($A251,'Выгр Кат'!$A:$R,F$1,0)</f>
        <v>LA935</v>
      </c>
      <c r="G251" s="80">
        <f>VLOOKUP($A251,'Выгр Кат'!$A:$R,G$1,0)</f>
        <v>0</v>
      </c>
      <c r="H251" s="67" t="s">
        <v>3</v>
      </c>
      <c r="I251" s="82">
        <v>2000</v>
      </c>
      <c r="J251" s="5">
        <f>VLOOKUP(I251,Наценка!$A$1:$G$8,2,1)</f>
        <v>1.27</v>
      </c>
      <c r="K251" s="88">
        <f>I251*J251</f>
        <v>2540</v>
      </c>
      <c r="L251" s="70">
        <f>IF(K251&lt;=1000,(ROUNDUP(K251,-1)-1),(ROUNDUP(K251,-2)-10))</f>
        <v>2590</v>
      </c>
      <c r="M251" s="80">
        <f>VLOOKUP($A251,'Выгр Кат'!$A:$R,M$1,0)</f>
        <v>2000</v>
      </c>
      <c r="N251" s="80">
        <f>VLOOKUP($A251,'Выгр Кат'!$A:$R,N$1,0)</f>
        <v>2590</v>
      </c>
      <c r="O251" s="28">
        <f>M251-I251</f>
        <v>0</v>
      </c>
      <c r="P251" s="28">
        <f>N251-L251</f>
        <v>0</v>
      </c>
      <c r="Q251" s="36">
        <f>IFERROR(L251*(1-$Q$2),"")</f>
        <v>2408.6999999999998</v>
      </c>
      <c r="R251" s="38" t="str">
        <f>IFERROR(VLOOKUP($A251,'Из Гугла'!$B:$G,6,0)*S251,VLOOKUP($A251,'Из Гугла'!$B:$G,6,0))</f>
        <v/>
      </c>
      <c r="S251" s="14">
        <v>1</v>
      </c>
      <c r="T251" s="83">
        <f>IFERROR(Q251/I251-1,"")</f>
        <v>0.20434999999999981</v>
      </c>
      <c r="U251" s="83" t="str">
        <f>IFERROR((W251-Q251)/W251,"")</f>
        <v/>
      </c>
      <c r="V251" s="83" t="str">
        <f>IFERROR(IF(W251="","",W251/I251-1),"")</f>
        <v/>
      </c>
      <c r="W251" s="94" t="s">
        <v>1269</v>
      </c>
    </row>
    <row r="252" spans="1:24" ht="31.5" thickTop="1" thickBot="1" x14ac:dyDescent="0.3">
      <c r="A252" s="80">
        <v>223067</v>
      </c>
      <c r="B252" s="80">
        <f>VLOOKUP($A252,'Выгр Кат'!$A:$R,B$1,0)</f>
        <v>8305</v>
      </c>
      <c r="C252" s="81" t="str">
        <f>VLOOKUP($A252,'Выгр Кат'!$A:$R,C$1,0)</f>
        <v>Универсальная ПТФ PT326HID (ксенон, D-20)</v>
      </c>
      <c r="D252" s="80" t="str">
        <f>VLOOKUP($A252,'Выгр Кат'!$A:$R,D$1,0)</f>
        <v>Y</v>
      </c>
      <c r="E252" s="80" t="str">
        <f>VLOOKUP($A252,'Выгр Кат'!$A:$R,E$1,0)</f>
        <v>1</v>
      </c>
      <c r="F252" s="80" t="str">
        <f>VLOOKUP($A252,'Выгр Кат'!$A:$R,F$1,0)</f>
        <v>PT326HID</v>
      </c>
      <c r="G252" s="80">
        <f>VLOOKUP($A252,'Выгр Кат'!$A:$R,G$1,0)</f>
        <v>0</v>
      </c>
      <c r="H252" s="67" t="s">
        <v>3</v>
      </c>
      <c r="I252" s="82">
        <v>2000</v>
      </c>
      <c r="J252" s="5">
        <f>VLOOKUP(I252,Наценка!$A$1:$G$8,2,1)</f>
        <v>1.27</v>
      </c>
      <c r="K252" s="88">
        <f>I252*J252</f>
        <v>2540</v>
      </c>
      <c r="L252" s="70">
        <f>IF(K252&lt;=1000,(ROUNDUP(K252,-1)-1),(ROUNDUP(K252,-2)-10))</f>
        <v>2590</v>
      </c>
      <c r="M252" s="80">
        <f>VLOOKUP($A252,'Выгр Кат'!$A:$R,M$1,0)</f>
        <v>2000</v>
      </c>
      <c r="N252" s="80">
        <f>VLOOKUP($A252,'Выгр Кат'!$A:$R,N$1,0)</f>
        <v>2590</v>
      </c>
      <c r="O252" s="28">
        <f>M252-I252</f>
        <v>0</v>
      </c>
      <c r="P252" s="28">
        <f>N252-L252</f>
        <v>0</v>
      </c>
      <c r="Q252" s="36">
        <f>IFERROR(L252*(1-$Q$2),"")</f>
        <v>2408.6999999999998</v>
      </c>
      <c r="R252" s="38" t="str">
        <f>IFERROR(VLOOKUP($A252,'Из Гугла'!$B:$G,6,0)*S252,VLOOKUP($A252,'Из Гугла'!$B:$G,6,0))</f>
        <v/>
      </c>
      <c r="S252" s="14">
        <v>1</v>
      </c>
      <c r="T252" s="83">
        <f>IFERROR(Q252/I252-1,"")</f>
        <v>0.20434999999999981</v>
      </c>
      <c r="U252" s="83" t="str">
        <f>IFERROR((W252-Q252)/W252,"")</f>
        <v/>
      </c>
      <c r="V252" s="83" t="str">
        <f>IFERROR(IF(W252="","",W252/I252-1),"")</f>
        <v/>
      </c>
      <c r="W252" s="94" t="s">
        <v>1269</v>
      </c>
    </row>
    <row r="253" spans="1:24" ht="60.75" thickTop="1" x14ac:dyDescent="0.25">
      <c r="A253" s="80">
        <v>117283</v>
      </c>
      <c r="B253" s="80">
        <f>VLOOKUP($A253,'Выгр Кат'!$A:$R,B$1,0)</f>
        <v>18206</v>
      </c>
      <c r="C253" s="81" t="str">
        <f>VLOOKUP($A253,'Выгр Кат'!$A:$R,C$1,0)</f>
        <v>LED (диодные) подфарники "L- красные" c ДХО и бегающим повторителем для Лада Нива 4x4, Урбан</v>
      </c>
      <c r="D253" s="80" t="str">
        <f>VLOOKUP($A253,'Выгр Кат'!$A:$R,D$1,0)</f>
        <v>Y</v>
      </c>
      <c r="E253" s="80" t="str">
        <f>VLOOKUP($A253,'Выгр Кат'!$A:$R,E$1,0)</f>
        <v>1</v>
      </c>
      <c r="F253" s="80">
        <f>VLOOKUP($A253,'Выгр Кат'!$A:$R,F$1,0)</f>
        <v>0</v>
      </c>
      <c r="G253" s="80" t="str">
        <f>VLOOKUP($A253,'Выгр Кат'!$A:$R,G$1,0)</f>
        <v>https://motorring.ru/product/22269-svetodiodnye-podfarniki-krasnye-dho-begayuschim</v>
      </c>
      <c r="H253" s="67" t="s">
        <v>3</v>
      </c>
      <c r="I253" s="82">
        <v>2000</v>
      </c>
      <c r="J253" s="5">
        <f>VLOOKUP(I253,Наценка!$A$1:$G$8,2,1)</f>
        <v>1.27</v>
      </c>
      <c r="K253" s="92">
        <f>W253*1.02</f>
        <v>2845.8</v>
      </c>
      <c r="L253" s="70">
        <f>IF(K253&lt;=1000,(ROUNDUP(K253,-1)-1),(ROUNDUP(K253,-2)-10))</f>
        <v>2890</v>
      </c>
      <c r="M253" s="80">
        <f>VLOOKUP($A253,'Выгр Кат'!$A:$R,M$1,0)</f>
        <v>2000</v>
      </c>
      <c r="N253" s="80">
        <f>VLOOKUP($A253,'Выгр Кат'!$A:$R,N$1,0)</f>
        <v>2890</v>
      </c>
      <c r="O253" s="28">
        <f>M253-I253</f>
        <v>0</v>
      </c>
      <c r="P253" s="28">
        <f>N253-L253</f>
        <v>0</v>
      </c>
      <c r="Q253" s="36">
        <f>IFERROR(L253*(1-$Q$2),"")</f>
        <v>2687.7</v>
      </c>
      <c r="R253" s="38">
        <f>IFERROR(VLOOKUP($A253,'Из Гугла'!$B:$G,6,0)*S253,VLOOKUP($A253,'Из Гугла'!$B:$G,6,0))</f>
        <v>2790</v>
      </c>
      <c r="S253" s="14">
        <v>1</v>
      </c>
      <c r="T253" s="83">
        <f>IFERROR(Q253/I253-1,"")</f>
        <v>0.34384999999999999</v>
      </c>
      <c r="U253" s="83">
        <f>IFERROR((W253-Q253)/W253,"")</f>
        <v>3.6666666666666729E-2</v>
      </c>
      <c r="V253" s="83">
        <f>IFERROR(IF(W253="","",W253/I253-1),"")</f>
        <v>0.39500000000000002</v>
      </c>
      <c r="W253" s="93">
        <v>2790</v>
      </c>
      <c r="X253" s="71" t="s">
        <v>873</v>
      </c>
    </row>
    <row r="254" spans="1:24" ht="46.5" thickTop="1" thickBot="1" x14ac:dyDescent="0.3">
      <c r="A254" s="80">
        <v>117281</v>
      </c>
      <c r="B254" s="80">
        <f>VLOOKUP($A254,'Выгр Кат'!$A:$R,B$1,0)</f>
        <v>20250</v>
      </c>
      <c r="C254" s="81" t="str">
        <f>VLOOKUP($A254,'Выгр Кат'!$A:$R,C$1,0)</f>
        <v>LED (диодные, тонированные) подфарники c бегающим повторителем для Лада Нива 4х4</v>
      </c>
      <c r="D254" s="80" t="str">
        <f>VLOOKUP($A254,'Выгр Кат'!$A:$R,D$1,0)</f>
        <v>Y</v>
      </c>
      <c r="E254" s="80" t="str">
        <f>VLOOKUP($A254,'Выгр Кат'!$A:$R,E$1,0)</f>
        <v>1</v>
      </c>
      <c r="F254" s="80" t="str">
        <f>VLOOKUP($A254,'Выгр Кат'!$A:$R,F$1,0)</f>
        <v>HP-BD13-01</v>
      </c>
      <c r="G254" s="80" t="str">
        <f>VLOOKUP($A254,'Выгр Кат'!$A:$R,G$1,0)</f>
        <v>https://motorring.ru/product/34862-tonirovannye-svetodiodnye-led-podfarniki-polos-dho</v>
      </c>
      <c r="H254" s="67" t="s">
        <v>3</v>
      </c>
      <c r="I254" s="82">
        <v>2000</v>
      </c>
      <c r="J254" s="5">
        <f>VLOOKUP(I254,Наценка!$A$1:$G$8,2,1)</f>
        <v>1.27</v>
      </c>
      <c r="K254" s="56">
        <f>W254*1.06</f>
        <v>3699.4</v>
      </c>
      <c r="L254" s="70">
        <f>IF(K254&lt;=1000,(ROUNDUP(K254,-1)-1),(ROUNDUP(K254,-2)-10))</f>
        <v>3690</v>
      </c>
      <c r="M254" s="80">
        <f>VLOOKUP($A254,'Выгр Кат'!$A:$R,M$1,0)</f>
        <v>2000</v>
      </c>
      <c r="N254" s="80">
        <f>VLOOKUP($A254,'Выгр Кат'!$A:$R,N$1,0)</f>
        <v>3690</v>
      </c>
      <c r="O254" s="28">
        <f>M254-I254</f>
        <v>0</v>
      </c>
      <c r="P254" s="28">
        <f>N254-L254</f>
        <v>0</v>
      </c>
      <c r="Q254" s="36">
        <f>IFERROR(L254*(1-$Q$2),"")</f>
        <v>3431.7</v>
      </c>
      <c r="R254" s="38">
        <f>IFERROR(VLOOKUP($A254,'Из Гугла'!$B:$G,6,0)*S254,VLOOKUP($A254,'Из Гугла'!$B:$G,6,0))</f>
        <v>3490</v>
      </c>
      <c r="S254" s="14">
        <v>1</v>
      </c>
      <c r="T254" s="83">
        <f>IFERROR(Q254/I254-1,"")</f>
        <v>0.71584999999999988</v>
      </c>
      <c r="U254" s="83">
        <f>IFERROR((W254-Q254)/W254,"")</f>
        <v>1.6704871060171971E-2</v>
      </c>
      <c r="V254" s="83">
        <f>IFERROR(IF(W254="","",W254/I254-1),"")</f>
        <v>0.74500000000000011</v>
      </c>
      <c r="W254" s="95">
        <v>3490</v>
      </c>
      <c r="X254" s="71" t="s">
        <v>870</v>
      </c>
    </row>
    <row r="255" spans="1:24" ht="61.5" thickTop="1" thickBot="1" x14ac:dyDescent="0.3">
      <c r="A255" s="80">
        <v>376364</v>
      </c>
      <c r="B255" s="80">
        <f>VLOOKUP($A255,'Выгр Кат'!$A:$R,B$1,0)</f>
        <v>376364</v>
      </c>
      <c r="C255" s="81" t="str">
        <f>VLOOKUP($A255,'Выгр Кат'!$A:$R,C$1,0)</f>
        <v>Противотуманные фары "DLAA" светодиодные для Лада (Гранта FL, Веста, XRAY), Renault (Logan, Kaptur, Duster, Sandero)</v>
      </c>
      <c r="D255" s="80" t="str">
        <f>VLOOKUP($A255,'Выгр Кат'!$A:$R,D$1,0)</f>
        <v>Y</v>
      </c>
      <c r="E255" s="80" t="str">
        <f>VLOOKUP($A255,'Выгр Кат'!$A:$R,E$1,0)</f>
        <v>1ск1</v>
      </c>
      <c r="F255" s="80" t="str">
        <f>VLOOKUP($A255,'Выгр Кат'!$A:$R,F$1,0)</f>
        <v>PT-653</v>
      </c>
      <c r="G255" s="80">
        <f>VLOOKUP($A255,'Выгр Кат'!$A:$R,G$1,0)</f>
        <v>0</v>
      </c>
      <c r="H255" s="67" t="s">
        <v>3</v>
      </c>
      <c r="I255" s="82">
        <v>2000</v>
      </c>
      <c r="J255" s="5">
        <f>VLOOKUP(I255,Наценка!$A$1:$G$8,2,1)</f>
        <v>1.27</v>
      </c>
      <c r="K255" s="59">
        <f>I255*J255</f>
        <v>2540</v>
      </c>
      <c r="L255" s="70">
        <f>IF(K255&lt;=1000,(ROUNDUP(K255,-1)-1),(ROUNDUP(K255,-2)-10))</f>
        <v>2590</v>
      </c>
      <c r="M255" s="80">
        <f>VLOOKUP($A255,'Выгр Кат'!$A:$R,M$1,0)</f>
        <v>2000</v>
      </c>
      <c r="N255" s="80">
        <f>VLOOKUP($A255,'Выгр Кат'!$A:$R,N$1,0)</f>
        <v>2590</v>
      </c>
      <c r="O255" s="28">
        <f>M255-I255</f>
        <v>0</v>
      </c>
      <c r="P255" s="28">
        <f>N255-L255</f>
        <v>0</v>
      </c>
      <c r="Q255" s="36">
        <f>IFERROR(L255*(1-$Q$2),"")</f>
        <v>2408.6999999999998</v>
      </c>
      <c r="R255" s="38" t="e">
        <f>IFERROR(VLOOKUP($A255,'Из Гугла'!$B:$G,6,0)*S255,VLOOKUP($A255,'Из Гугла'!$B:$G,6,0))</f>
        <v>#N/A</v>
      </c>
      <c r="S255" s="14">
        <v>1</v>
      </c>
      <c r="T255" s="83">
        <f>IFERROR(Q255/I255-1,"")</f>
        <v>0.20434999999999981</v>
      </c>
      <c r="U255" s="83" t="str">
        <f>IFERROR((W255-Q255)/W255,"")</f>
        <v/>
      </c>
      <c r="V255" s="83" t="str">
        <f>IFERROR(IF(W255="","",W255/I255-1),"")</f>
        <v/>
      </c>
      <c r="W255" s="94"/>
    </row>
    <row r="256" spans="1:24" ht="31.5" thickTop="1" thickBot="1" x14ac:dyDescent="0.3">
      <c r="A256" s="80">
        <v>212191</v>
      </c>
      <c r="B256" s="80">
        <f>VLOOKUP($A256,'Выгр Кат'!$A:$R,B$1,0)</f>
        <v>4560</v>
      </c>
      <c r="C256" s="81" t="str">
        <f>VLOOKUP($A256,'Выгр Кат'!$A:$R,C$1,0)</f>
        <v xml:space="preserve">Руль спортивный черный для ВАЗ </v>
      </c>
      <c r="D256" s="80" t="str">
        <f>VLOOKUP($A256,'Выгр Кат'!$A:$R,D$1,0)</f>
        <v>Y</v>
      </c>
      <c r="E256" s="80" t="str">
        <f>VLOOKUP($A256,'Выгр Кат'!$A:$R,E$1,0)</f>
        <v>1</v>
      </c>
      <c r="F256" s="80" t="str">
        <f>VLOOKUP($A256,'Выгр Кат'!$A:$R,F$1,0)</f>
        <v>T-4125+PVC+68MM+черный</v>
      </c>
      <c r="G256" s="80">
        <f>VLOOKUP($A256,'Выгр Кат'!$A:$R,G$1,0)</f>
        <v>0</v>
      </c>
      <c r="H256" s="67" t="s">
        <v>3</v>
      </c>
      <c r="I256" s="82">
        <v>2200</v>
      </c>
      <c r="J256" s="5">
        <f>VLOOKUP(I256,Наценка!$A$1:$G$8,2,1)</f>
        <v>1.27</v>
      </c>
      <c r="K256" s="88">
        <f>I256*J256</f>
        <v>2794</v>
      </c>
      <c r="L256" s="70">
        <f>IF(K256&lt;=1000,(ROUNDUP(K256,-1)-1),(ROUNDUP(K256,-2)-10))</f>
        <v>2790</v>
      </c>
      <c r="M256" s="80">
        <f>VLOOKUP($A256,'Выгр Кат'!$A:$R,M$1,0)</f>
        <v>2200</v>
      </c>
      <c r="N256" s="80">
        <f>VLOOKUP($A256,'Выгр Кат'!$A:$R,N$1,0)</f>
        <v>2890</v>
      </c>
      <c r="O256" s="28">
        <f>M256-I256</f>
        <v>0</v>
      </c>
      <c r="P256" s="28">
        <f>N256-L256</f>
        <v>100</v>
      </c>
      <c r="Q256" s="36">
        <f>IFERROR(L256*(1-$Q$2),"")</f>
        <v>2594.6999999999998</v>
      </c>
      <c r="R256" s="38" t="str">
        <f>IFERROR(VLOOKUP($A256,'Из Гугла'!$B:$G,6,0)*S256,VLOOKUP($A256,'Из Гугла'!$B:$G,6,0))</f>
        <v/>
      </c>
      <c r="S256" s="14">
        <v>1</v>
      </c>
      <c r="T256" s="83">
        <f>IFERROR(Q256/I256-1,"")</f>
        <v>0.17940909090909085</v>
      </c>
      <c r="U256" s="83" t="str">
        <f>IFERROR((W256-Q256)/W256,"")</f>
        <v/>
      </c>
      <c r="V256" s="83" t="str">
        <f>IFERROR(IF(W256="","",W256/I256-1),"")</f>
        <v/>
      </c>
      <c r="W256" s="94" t="s">
        <v>1269</v>
      </c>
    </row>
    <row r="257" spans="1:24" ht="30.75" thickTop="1" x14ac:dyDescent="0.25">
      <c r="A257" s="80">
        <v>212185</v>
      </c>
      <c r="B257" s="80">
        <f>VLOOKUP($A257,'Выгр Кат'!$A:$R,B$1,0)</f>
        <v>4502</v>
      </c>
      <c r="C257" s="81" t="str">
        <f>VLOOKUP($A257,'Выгр Кат'!$A:$R,C$1,0)</f>
        <v>Руль Nardi "кожзам BLACK" для ВАЗ</v>
      </c>
      <c r="D257" s="80" t="str">
        <f>VLOOKUP($A257,'Выгр Кат'!$A:$R,D$1,0)</f>
        <v>Y</v>
      </c>
      <c r="E257" s="80" t="str">
        <f>VLOOKUP($A257,'Выгр Кат'!$A:$R,E$1,0)</f>
        <v>1</v>
      </c>
      <c r="F257" s="80" t="str">
        <f>VLOOKUP($A257,'Выгр Кат'!$A:$R,F$1,0)</f>
        <v>PT-5174+PVC+черный</v>
      </c>
      <c r="G257" s="80">
        <f>VLOOKUP($A257,'Выгр Кат'!$A:$R,G$1,0)</f>
        <v>0</v>
      </c>
      <c r="H257" s="67" t="s">
        <v>3</v>
      </c>
      <c r="I257" s="82">
        <v>2200</v>
      </c>
      <c r="J257" s="5">
        <f>VLOOKUP(I257,Наценка!$A$1:$G$8,2,1)</f>
        <v>1.27</v>
      </c>
      <c r="K257" s="88">
        <f>I257*J257</f>
        <v>2794</v>
      </c>
      <c r="L257" s="70">
        <f>IF(K257&lt;=1000,(ROUNDUP(K257,-1)-1),(ROUNDUP(K257,-2)-10))</f>
        <v>2790</v>
      </c>
      <c r="M257" s="80">
        <f>VLOOKUP($A257,'Выгр Кат'!$A:$R,M$1,0)</f>
        <v>2200</v>
      </c>
      <c r="N257" s="80">
        <f>VLOOKUP($A257,'Выгр Кат'!$A:$R,N$1,0)</f>
        <v>2890</v>
      </c>
      <c r="O257" s="28">
        <f>M257-I257</f>
        <v>0</v>
      </c>
      <c r="P257" s="28">
        <f>N257-L257</f>
        <v>100</v>
      </c>
      <c r="Q257" s="36">
        <f>IFERROR(L257*(1-$Q$2),"")</f>
        <v>2594.6999999999998</v>
      </c>
      <c r="R257" s="38" t="str">
        <f>IFERROR(VLOOKUP($A257,'Из Гугла'!$B:$G,6,0)*S257,VLOOKUP($A257,'Из Гугла'!$B:$G,6,0))</f>
        <v/>
      </c>
      <c r="S257" s="14">
        <v>1</v>
      </c>
      <c r="T257" s="83">
        <f>IFERROR(Q257/I257-1,"")</f>
        <v>0.17940909090909085</v>
      </c>
      <c r="U257" s="83" t="str">
        <f>IFERROR((W257-Q257)/W257,"")</f>
        <v/>
      </c>
      <c r="V257" s="83" t="str">
        <f>IFERROR(IF(W257="","",W257/I257-1),"")</f>
        <v/>
      </c>
      <c r="W257" s="84" t="s">
        <v>1269</v>
      </c>
    </row>
    <row r="258" spans="1:24" ht="30.75" thickBot="1" x14ac:dyDescent="0.3">
      <c r="A258" s="80">
        <v>212188</v>
      </c>
      <c r="B258" s="80">
        <f>VLOOKUP($A258,'Выгр Кат'!$A:$R,B$1,0)</f>
        <v>4519</v>
      </c>
      <c r="C258" s="81" t="str">
        <f>VLOOKUP($A258,'Выгр Кат'!$A:$R,C$1,0)</f>
        <v>Руль с желтыми полосами для ВАЗ "MOMO"</v>
      </c>
      <c r="D258" s="80" t="str">
        <f>VLOOKUP($A258,'Выгр Кат'!$A:$R,D$1,0)</f>
        <v>Y</v>
      </c>
      <c r="E258" s="80" t="str">
        <f>VLOOKUP($A258,'Выгр Кат'!$A:$R,E$1,0)</f>
        <v>1</v>
      </c>
      <c r="F258" s="80" t="str">
        <f>VLOOKUP($A258,'Выгр Кат'!$A:$R,F$1,0)</f>
        <v>PT-4125C+PVC+желтый</v>
      </c>
      <c r="G258" s="80">
        <f>VLOOKUP($A258,'Выгр Кат'!$A:$R,G$1,0)</f>
        <v>0</v>
      </c>
      <c r="H258" s="67" t="s">
        <v>3</v>
      </c>
      <c r="I258" s="82">
        <v>2200</v>
      </c>
      <c r="J258" s="5">
        <f>VLOOKUP(I258,Наценка!$A$1:$G$8,2,1)</f>
        <v>1.27</v>
      </c>
      <c r="K258" s="88">
        <f>I258*J258</f>
        <v>2794</v>
      </c>
      <c r="L258" s="70">
        <f>IF(K258&lt;=1000,(ROUNDUP(K258,-1)-1),(ROUNDUP(K258,-2)-10))</f>
        <v>2790</v>
      </c>
      <c r="M258" s="80">
        <f>VLOOKUP($A258,'Выгр Кат'!$A:$R,M$1,0)</f>
        <v>2200</v>
      </c>
      <c r="N258" s="80">
        <f>VLOOKUP($A258,'Выгр Кат'!$A:$R,N$1,0)</f>
        <v>2890</v>
      </c>
      <c r="O258" s="28">
        <f>M258-I258</f>
        <v>0</v>
      </c>
      <c r="P258" s="28">
        <f>N258-L258</f>
        <v>100</v>
      </c>
      <c r="Q258" s="36">
        <f>IFERROR(L258*(1-$Q$2),"")</f>
        <v>2594.6999999999998</v>
      </c>
      <c r="R258" s="38" t="str">
        <f>IFERROR(VLOOKUP($A258,'Из Гугла'!$B:$G,6,0)*S258,VLOOKUP($A258,'Из Гугла'!$B:$G,6,0))</f>
        <v/>
      </c>
      <c r="S258" s="14">
        <v>1</v>
      </c>
      <c r="T258" s="83">
        <f>IFERROR(Q258/I258-1,"")</f>
        <v>0.17940909090909085</v>
      </c>
      <c r="U258" s="83" t="str">
        <f>IFERROR((W258-Q258)/W258,"")</f>
        <v/>
      </c>
      <c r="V258" s="83" t="str">
        <f>IFERROR(IF(W258="","",W258/I258-1),"")</f>
        <v/>
      </c>
      <c r="W258" s="94" t="s">
        <v>1269</v>
      </c>
    </row>
    <row r="259" spans="1:24" ht="60.75" thickTop="1" x14ac:dyDescent="0.25">
      <c r="A259" s="80">
        <v>117286</v>
      </c>
      <c r="B259" s="80">
        <f>VLOOKUP($A259,'Выгр Кат'!$A:$R,B$1,0)</f>
        <v>16833</v>
      </c>
      <c r="C259" s="81" t="str">
        <f>VLOOKUP($A259,'Выгр Кат'!$A:$R,C$1,0)</f>
        <v>LED (диодные) подфарники с дневными ходовыми огнями и бегающим поворотником для Лада Нива 4х4</v>
      </c>
      <c r="D259" s="80" t="str">
        <f>VLOOKUP($A259,'Выгр Кат'!$A:$R,D$1,0)</f>
        <v>Y</v>
      </c>
      <c r="E259" s="80" t="str">
        <f>VLOOKUP($A259,'Выгр Кат'!$A:$R,E$1,0)</f>
        <v>1</v>
      </c>
      <c r="F259" s="80" t="str">
        <f>VLOOKUP($A259,'Выгр Кат'!$A:$R,F$1,0)</f>
        <v>PL-2121G</v>
      </c>
      <c r="G259" s="80" t="str">
        <f>VLOOKUP($A259,'Выгр Кат'!$A:$R,G$1,0)</f>
        <v>https://motorring.ru/product/20429-svetodiodnye-podfarniki-dho-begayuschim-povorotnikom-lada</v>
      </c>
      <c r="H259" s="67" t="s">
        <v>3</v>
      </c>
      <c r="I259" s="82">
        <v>2200</v>
      </c>
      <c r="J259" s="5">
        <f>VLOOKUP(I259,Наценка!$A$1:$G$8,2,1)</f>
        <v>1.27</v>
      </c>
      <c r="K259" s="90">
        <f>W259*1.04</f>
        <v>2797.6</v>
      </c>
      <c r="L259" s="70">
        <f>IF(K259&lt;=1000,(ROUNDUP(K259,-1)-1),(ROUNDUP(K259,-2)-10))</f>
        <v>2790</v>
      </c>
      <c r="M259" s="80">
        <f>VLOOKUP($A259,'Выгр Кат'!$A:$R,M$1,0)</f>
        <v>2200</v>
      </c>
      <c r="N259" s="80">
        <f>VLOOKUP($A259,'Выгр Кат'!$A:$R,N$1,0)</f>
        <v>2890</v>
      </c>
      <c r="O259" s="28">
        <f>M259-I259</f>
        <v>0</v>
      </c>
      <c r="P259" s="28">
        <f>N259-L259</f>
        <v>100</v>
      </c>
      <c r="Q259" s="36">
        <f>IFERROR(L259*(1-$Q$2),"")</f>
        <v>2594.6999999999998</v>
      </c>
      <c r="R259" s="38">
        <f>IFERROR(VLOOKUP($A259,'Из Гугла'!$B:$G,6,0)*S259,VLOOKUP($A259,'Из Гугла'!$B:$G,6,0))</f>
        <v>2690</v>
      </c>
      <c r="S259" s="14">
        <v>1</v>
      </c>
      <c r="T259" s="83">
        <f>IFERROR(Q259/I259-1,"")</f>
        <v>0.17940909090909085</v>
      </c>
      <c r="U259" s="83">
        <f>IFERROR((W259-Q259)/W259,"")</f>
        <v>3.5427509293680368E-2</v>
      </c>
      <c r="V259" s="83">
        <f>IFERROR(IF(W259="","",W259/I259-1),"")</f>
        <v>0.22272727272727266</v>
      </c>
      <c r="W259" s="93">
        <v>2690</v>
      </c>
      <c r="X259" s="71" t="s">
        <v>872</v>
      </c>
    </row>
    <row r="260" spans="1:24" ht="45" x14ac:dyDescent="0.25">
      <c r="A260" s="80">
        <v>143761</v>
      </c>
      <c r="B260" s="80">
        <f>VLOOKUP($A260,'Выгр Кат'!$A:$R,B$1,0)</f>
        <v>16834</v>
      </c>
      <c r="C260" s="81" t="str">
        <f>VLOOKUP($A260,'Выгр Кат'!$A:$R,C$1,0)</f>
        <v>Диодные подфарники PL-2121G с ДХО и бегающим поворотником, тонированные для Лада Нива 4x4</v>
      </c>
      <c r="D260" s="80" t="str">
        <f>VLOOKUP($A260,'Выгр Кат'!$A:$R,D$1,0)</f>
        <v>Y</v>
      </c>
      <c r="E260" s="80" t="str">
        <f>VLOOKUP($A260,'Выгр Кат'!$A:$R,E$1,0)</f>
        <v>1</v>
      </c>
      <c r="F260" s="80" t="str">
        <f>VLOOKUP($A260,'Выгр Кат'!$A:$R,F$1,0)</f>
        <v>PL-2121G</v>
      </c>
      <c r="G260" s="80" t="str">
        <f>VLOOKUP($A260,'Выгр Кат'!$A:$R,G$1,0)</f>
        <v>https://motorring.ru/product/20430-svetodiodnye-podfarniki-tonirovannoe-steklo-dho-begayuschim</v>
      </c>
      <c r="H260" s="67" t="s">
        <v>3</v>
      </c>
      <c r="I260" s="82">
        <v>2200</v>
      </c>
      <c r="J260" s="5">
        <f>VLOOKUP(I260,Наценка!$A$1:$G$8,2,1)</f>
        <v>1.27</v>
      </c>
      <c r="K260" s="55">
        <f>W260*1.04</f>
        <v>2797.6</v>
      </c>
      <c r="L260" s="70">
        <f>IF(K260&lt;=1000,(ROUNDUP(K260,-1)-1),(ROUNDUP(K260,-2)-10))</f>
        <v>2790</v>
      </c>
      <c r="M260" s="80">
        <f>VLOOKUP($A260,'Выгр Кат'!$A:$R,M$1,0)</f>
        <v>2200</v>
      </c>
      <c r="N260" s="80">
        <f>VLOOKUP($A260,'Выгр Кат'!$A:$R,N$1,0)</f>
        <v>2890</v>
      </c>
      <c r="O260" s="28">
        <f>M260-I260</f>
        <v>0</v>
      </c>
      <c r="P260" s="28">
        <f>N260-L260</f>
        <v>100</v>
      </c>
      <c r="Q260" s="36">
        <f>IFERROR(L260*(1-$Q$2),"")</f>
        <v>2594.6999999999998</v>
      </c>
      <c r="R260" s="38">
        <f>IFERROR(VLOOKUP($A260,'Из Гугла'!$B:$G,6,0)*S260,VLOOKUP($A260,'Из Гугла'!$B:$G,6,0))</f>
        <v>2690</v>
      </c>
      <c r="S260" s="14">
        <v>1</v>
      </c>
      <c r="T260" s="83">
        <f>IFERROR(Q260/I260-1,"")</f>
        <v>0.17940909090909085</v>
      </c>
      <c r="U260" s="83">
        <f>IFERROR((W260-Q260)/W260,"")</f>
        <v>3.5427509293680368E-2</v>
      </c>
      <c r="V260" s="83">
        <f>IFERROR(IF(W260="","",W260/I260-1),"")</f>
        <v>0.22272727272727266</v>
      </c>
      <c r="W260" s="93">
        <v>2690</v>
      </c>
      <c r="X260" s="71" t="s">
        <v>871</v>
      </c>
    </row>
    <row r="261" spans="1:24" ht="30" x14ac:dyDescent="0.25">
      <c r="A261" s="80">
        <v>211424</v>
      </c>
      <c r="B261" s="80">
        <f>VLOOKUP($A261,'Выгр Кат'!$A:$R,B$1,0)</f>
        <v>18900</v>
      </c>
      <c r="C261" s="81" t="str">
        <f>VLOOKUP($A261,'Выгр Кат'!$A:$R,C$1,0)</f>
        <v>Руль "Nardi" кожзам для ВАЗ</v>
      </c>
      <c r="D261" s="80" t="str">
        <f>VLOOKUP($A261,'Выгр Кат'!$A:$R,D$1,0)</f>
        <v>Y</v>
      </c>
      <c r="E261" s="80" t="str">
        <f>VLOOKUP($A261,'Выгр Кат'!$A:$R,E$1,0)</f>
        <v>1</v>
      </c>
      <c r="F261" s="80" t="str">
        <f>VLOOKUP($A261,'Выгр Кат'!$A:$R,F$1,0)</f>
        <v>PT-5173+PVC+черный+титановый</v>
      </c>
      <c r="G261" s="80">
        <f>VLOOKUP($A261,'Выгр Кат'!$A:$R,G$1,0)</f>
        <v>0</v>
      </c>
      <c r="H261" s="67" t="s">
        <v>3</v>
      </c>
      <c r="I261" s="82">
        <v>2200</v>
      </c>
      <c r="J261" s="5">
        <f>VLOOKUP(I261,Наценка!$A$1:$G$8,2,1)</f>
        <v>1.27</v>
      </c>
      <c r="K261" s="34">
        <f>I261*J261</f>
        <v>2794</v>
      </c>
      <c r="L261" s="70">
        <f>IF(K261&lt;=1000,(ROUNDUP(K261,-1)-1),(ROUNDUP(K261,-2)-10))</f>
        <v>2790</v>
      </c>
      <c r="M261" s="80">
        <f>VLOOKUP($A261,'Выгр Кат'!$A:$R,M$1,0)</f>
        <v>2200</v>
      </c>
      <c r="N261" s="80">
        <f>VLOOKUP($A261,'Выгр Кат'!$A:$R,N$1,0)</f>
        <v>2890</v>
      </c>
      <c r="O261" s="28">
        <f>M261-I261</f>
        <v>0</v>
      </c>
      <c r="P261" s="28">
        <f>N261-L261</f>
        <v>100</v>
      </c>
      <c r="Q261" s="36">
        <f>IFERROR(L261*(1-$Q$2),"")</f>
        <v>2594.6999999999998</v>
      </c>
      <c r="R261" s="38" t="str">
        <f>IFERROR(VLOOKUP($A261,'Из Гугла'!$B:$G,6,0)*S261,VLOOKUP($A261,'Из Гугла'!$B:$G,6,0))</f>
        <v/>
      </c>
      <c r="S261" s="14">
        <v>1</v>
      </c>
      <c r="T261" s="83">
        <f>IFERROR(Q261/I261-1,"")</f>
        <v>0.17940909090909085</v>
      </c>
      <c r="U261" s="83" t="str">
        <f>IFERROR((W261-Q261)/W261,"")</f>
        <v/>
      </c>
      <c r="V261" s="83" t="str">
        <f>IFERROR(IF(W261="","",W261/I261-1),"")</f>
        <v/>
      </c>
      <c r="W261" s="84" t="s">
        <v>1269</v>
      </c>
    </row>
    <row r="262" spans="1:24" ht="30" x14ac:dyDescent="0.25">
      <c r="A262" s="80">
        <v>211417</v>
      </c>
      <c r="B262" s="80">
        <f>VLOOKUP($A262,'Выгр Кат'!$A:$R,B$1,0)</f>
        <v>26556</v>
      </c>
      <c r="C262" s="81" t="str">
        <f>VLOOKUP($A262,'Выгр Кат'!$A:$R,C$1,0)</f>
        <v>Руль "F-1" CANADA черный, экокожа 90 мм универсальный</v>
      </c>
      <c r="D262" s="80" t="str">
        <f>VLOOKUP($A262,'Выгр Кат'!$A:$R,D$1,0)</f>
        <v>Y</v>
      </c>
      <c r="E262" s="80" t="str">
        <f>VLOOKUP($A262,'Выгр Кат'!$A:$R,E$1,0)</f>
        <v>1</v>
      </c>
      <c r="F262" s="80" t="str">
        <f>VLOOKUP($A262,'Выгр Кат'!$A:$R,F$1,0)</f>
        <v>PT-4125-PVC</v>
      </c>
      <c r="G262" s="80">
        <f>VLOOKUP($A262,'Выгр Кат'!$A:$R,G$1,0)</f>
        <v>0</v>
      </c>
      <c r="H262" s="67" t="s">
        <v>3</v>
      </c>
      <c r="I262" s="82">
        <v>2200</v>
      </c>
      <c r="J262" s="5">
        <f>VLOOKUP(I262,Наценка!$A$1:$G$8,2,1)</f>
        <v>1.27</v>
      </c>
      <c r="K262" s="34">
        <f>I262*J262</f>
        <v>2794</v>
      </c>
      <c r="L262" s="70">
        <f>IF(K262&lt;=1000,(ROUNDUP(K262,-1)-1),(ROUNDUP(K262,-2)-10))</f>
        <v>2790</v>
      </c>
      <c r="M262" s="80">
        <f>VLOOKUP($A262,'Выгр Кат'!$A:$R,M$1,0)</f>
        <v>2200</v>
      </c>
      <c r="N262" s="80">
        <f>VLOOKUP($A262,'Выгр Кат'!$A:$R,N$1,0)</f>
        <v>2890</v>
      </c>
      <c r="O262" s="28">
        <f>M262-I262</f>
        <v>0</v>
      </c>
      <c r="P262" s="28">
        <f>N262-L262</f>
        <v>100</v>
      </c>
      <c r="Q262" s="36">
        <f>IFERROR(L262*(1-$Q$2),"")</f>
        <v>2594.6999999999998</v>
      </c>
      <c r="R262" s="38" t="str">
        <f>IFERROR(VLOOKUP($A262,'Из Гугла'!$B:$G,6,0)*S262,VLOOKUP($A262,'Из Гугла'!$B:$G,6,0))</f>
        <v/>
      </c>
      <c r="S262" s="14">
        <v>1</v>
      </c>
      <c r="T262" s="83">
        <f>IFERROR(Q262/I262-1,"")</f>
        <v>0.17940909090909085</v>
      </c>
      <c r="U262" s="83" t="str">
        <f>IFERROR((W262-Q262)/W262,"")</f>
        <v/>
      </c>
      <c r="V262" s="83" t="str">
        <f>IFERROR(IF(W262="","",W262/I262-1),"")</f>
        <v/>
      </c>
      <c r="W262" s="84" t="s">
        <v>1269</v>
      </c>
    </row>
    <row r="263" spans="1:24" ht="30" x14ac:dyDescent="0.25">
      <c r="A263" s="80">
        <v>211425</v>
      </c>
      <c r="B263" s="80">
        <f>VLOOKUP($A263,'Выгр Кат'!$A:$R,B$1,0)</f>
        <v>4561</v>
      </c>
      <c r="C263" s="81" t="str">
        <f>VLOOKUP($A263,'Выгр Кат'!$A:$R,C$1,0)</f>
        <v>Руль "Nardi" спортивный (с красной меткой) для ВАЗ</v>
      </c>
      <c r="D263" s="80" t="str">
        <f>VLOOKUP($A263,'Выгр Кат'!$A:$R,D$1,0)</f>
        <v>Y</v>
      </c>
      <c r="E263" s="80" t="str">
        <f>VLOOKUP($A263,'Выгр Кат'!$A:$R,E$1,0)</f>
        <v>1</v>
      </c>
      <c r="F263" s="80" t="str">
        <f>VLOOKUP($A263,'Выгр Кат'!$A:$R,F$1,0)</f>
        <v>8903R</v>
      </c>
      <c r="G263" s="80">
        <f>VLOOKUP($A263,'Выгр Кат'!$A:$R,G$1,0)</f>
        <v>0</v>
      </c>
      <c r="H263" s="67" t="s">
        <v>3</v>
      </c>
      <c r="I263" s="82">
        <v>2200</v>
      </c>
      <c r="J263" s="5">
        <f>VLOOKUP(I263,Наценка!$A$1:$G$8,2,1)</f>
        <v>1.27</v>
      </c>
      <c r="K263" s="88">
        <f>I263*J263</f>
        <v>2794</v>
      </c>
      <c r="L263" s="70">
        <f>IF(K263&lt;=1000,(ROUNDUP(K263,-1)-1),(ROUNDUP(K263,-2)-10))</f>
        <v>2790</v>
      </c>
      <c r="M263" s="80">
        <f>VLOOKUP($A263,'Выгр Кат'!$A:$R,M$1,0)</f>
        <v>2200</v>
      </c>
      <c r="N263" s="80">
        <f>VLOOKUP($A263,'Выгр Кат'!$A:$R,N$1,0)</f>
        <v>2890</v>
      </c>
      <c r="O263" s="28">
        <f>M263-I263</f>
        <v>0</v>
      </c>
      <c r="P263" s="28">
        <f>N263-L263</f>
        <v>100</v>
      </c>
      <c r="Q263" s="36">
        <f>IFERROR(L263*(1-$Q$2),"")</f>
        <v>2594.6999999999998</v>
      </c>
      <c r="R263" s="38" t="str">
        <f>IFERROR(VLOOKUP($A263,'Из Гугла'!$B:$G,6,0)*S263,VLOOKUP($A263,'Из Гугла'!$B:$G,6,0))</f>
        <v/>
      </c>
      <c r="S263" s="14">
        <v>1</v>
      </c>
      <c r="T263" s="83">
        <f>IFERROR(Q263/I263-1,"")</f>
        <v>0.17940909090909085</v>
      </c>
      <c r="U263" s="83" t="str">
        <f>IFERROR((W263-Q263)/W263,"")</f>
        <v/>
      </c>
      <c r="V263" s="83" t="str">
        <f>IFERROR(IF(W263="","",W263/I263-1),"")</f>
        <v/>
      </c>
      <c r="W263" s="84" t="s">
        <v>1269</v>
      </c>
    </row>
    <row r="264" spans="1:24" ht="30" x14ac:dyDescent="0.25">
      <c r="A264" s="80">
        <v>133322</v>
      </c>
      <c r="B264" s="80">
        <f>VLOOKUP($A264,'Выгр Кат'!$A:$R,B$1,0)</f>
        <v>8111</v>
      </c>
      <c r="C264" s="81" t="str">
        <f>VLOOKUP($A264,'Выгр Кат'!$A:$R,C$1,0)</f>
        <v>Балка освещения XRB2-120W, L-56 см</v>
      </c>
      <c r="D264" s="80" t="str">
        <f>VLOOKUP($A264,'Выгр Кат'!$A:$R,D$1,0)</f>
        <v>Y</v>
      </c>
      <c r="E264" s="80" t="str">
        <f>VLOOKUP($A264,'Выгр Кат'!$A:$R,E$1,0)</f>
        <v>1</v>
      </c>
      <c r="F264" s="80" t="str">
        <f>VLOOKUP($A264,'Выгр Кат'!$A:$R,F$1,0)</f>
        <v>XRB2-120W</v>
      </c>
      <c r="G264" s="80" t="str">
        <f>VLOOKUP($A264,'Выгр Кат'!$A:$R,G$1,0)</f>
        <v>https://motorring.ru/product/11765-diodnaya-balka-xrb-120-120w-3vt</v>
      </c>
      <c r="H264" s="67" t="s">
        <v>3</v>
      </c>
      <c r="I264" s="82">
        <v>2200</v>
      </c>
      <c r="J264" s="5">
        <f>VLOOKUP(I264,Наценка!$A$1:$G$8,2,1)</f>
        <v>1.27</v>
      </c>
      <c r="K264" s="87">
        <f>W264*1.06</f>
        <v>3593.4</v>
      </c>
      <c r="L264" s="70">
        <f>IF(K264&lt;=1000,(ROUNDUP(K264,-1)-1),(ROUNDUP(K264,-2)-10))</f>
        <v>3590</v>
      </c>
      <c r="M264" s="80">
        <f>VLOOKUP($A264,'Выгр Кат'!$A:$R,M$1,0)</f>
        <v>2200</v>
      </c>
      <c r="N264" s="80">
        <f>VLOOKUP($A264,'Выгр Кат'!$A:$R,N$1,0)</f>
        <v>3590</v>
      </c>
      <c r="O264" s="28">
        <f>M264-I264</f>
        <v>0</v>
      </c>
      <c r="P264" s="28">
        <f>N264-L264</f>
        <v>0</v>
      </c>
      <c r="Q264" s="36">
        <f>IFERROR(L264*(1-$Q$2),"")</f>
        <v>3338.7</v>
      </c>
      <c r="R264" s="38">
        <f>IFERROR(VLOOKUP($A264,'Из Гугла'!$B:$G,6,0)*S264,VLOOKUP($A264,'Из Гугла'!$B:$G,6,0))</f>
        <v>3390</v>
      </c>
      <c r="S264" s="14">
        <v>1</v>
      </c>
      <c r="T264" s="83">
        <f>IFERROR(Q264/I264-1,"")</f>
        <v>0.51759090909090899</v>
      </c>
      <c r="U264" s="83">
        <f>IFERROR((W264-Q264)/W264,"")</f>
        <v>1.5132743362831913E-2</v>
      </c>
      <c r="V264" s="83">
        <f>IFERROR(IF(W264="","",W264/I264-1),"")</f>
        <v>0.54090909090909101</v>
      </c>
      <c r="W264" s="93">
        <v>3390</v>
      </c>
      <c r="X264" s="71" t="s">
        <v>932</v>
      </c>
    </row>
    <row r="265" spans="1:24" ht="30.75" thickBot="1" x14ac:dyDescent="0.3">
      <c r="A265" s="80">
        <v>211423</v>
      </c>
      <c r="B265" s="80">
        <f>VLOOKUP($A265,'Выгр Кат'!$A:$R,B$1,0)</f>
        <v>33262</v>
      </c>
      <c r="C265" s="81" t="str">
        <f>VLOOKUP($A265,'Выгр Кат'!$A:$R,C$1,0)</f>
        <v>Руль "MOMO" (вынос 90 мм, экокожа)</v>
      </c>
      <c r="D265" s="80" t="str">
        <f>VLOOKUP($A265,'Выгр Кат'!$A:$R,D$1,0)</f>
        <v>Y</v>
      </c>
      <c r="E265" s="80" t="str">
        <f>VLOOKUP($A265,'Выгр Кат'!$A:$R,E$1,0)</f>
        <v>1</v>
      </c>
      <c r="F265" s="80" t="str">
        <f>VLOOKUP($A265,'Выгр Кат'!$A:$R,F$1,0)</f>
        <v>FR-8903 PVC YLW</v>
      </c>
      <c r="G265" s="80">
        <f>VLOOKUP($A265,'Выгр Кат'!$A:$R,G$1,0)</f>
        <v>0</v>
      </c>
      <c r="H265" s="67" t="s">
        <v>3</v>
      </c>
      <c r="I265" s="82">
        <v>2200</v>
      </c>
      <c r="J265" s="5">
        <f>VLOOKUP(I265,Наценка!$A$1:$G$8,2,1)</f>
        <v>1.27</v>
      </c>
      <c r="K265" s="88">
        <f>I265*J265</f>
        <v>2794</v>
      </c>
      <c r="L265" s="70">
        <f>IF(K265&lt;=1000,(ROUNDUP(K265,-1)-1),(ROUNDUP(K265,-2)-10))</f>
        <v>2790</v>
      </c>
      <c r="M265" s="80">
        <f>VLOOKUP($A265,'Выгр Кат'!$A:$R,M$1,0)</f>
        <v>2200</v>
      </c>
      <c r="N265" s="80">
        <f>VLOOKUP($A265,'Выгр Кат'!$A:$R,N$1,0)</f>
        <v>2890</v>
      </c>
      <c r="O265" s="28">
        <f>M265-I265</f>
        <v>0</v>
      </c>
      <c r="P265" s="28">
        <f>N265-L265</f>
        <v>100</v>
      </c>
      <c r="Q265" s="36">
        <f>IFERROR(L265*(1-$Q$2),"")</f>
        <v>2594.6999999999998</v>
      </c>
      <c r="R265" s="38" t="str">
        <f>IFERROR(VLOOKUP($A265,'Из Гугла'!$B:$G,6,0)*S265,VLOOKUP($A265,'Из Гугла'!$B:$G,6,0))</f>
        <v/>
      </c>
      <c r="S265" s="14">
        <v>1</v>
      </c>
      <c r="T265" s="83">
        <f>IFERROR(Q265/I265-1,"")</f>
        <v>0.17940909090909085</v>
      </c>
      <c r="U265" s="83" t="str">
        <f>IFERROR((W265-Q265)/W265,"")</f>
        <v/>
      </c>
      <c r="V265" s="83" t="str">
        <f>IFERROR(IF(W265="","",W265/I265-1),"")</f>
        <v/>
      </c>
      <c r="W265" s="94" t="s">
        <v>1269</v>
      </c>
    </row>
    <row r="266" spans="1:24" ht="61.5" thickTop="1" thickBot="1" x14ac:dyDescent="0.3">
      <c r="A266" s="80">
        <v>213675</v>
      </c>
      <c r="B266" s="80">
        <f>VLOOKUP($A266,'Выгр Кат'!$A:$R,B$1,0)</f>
        <v>38181</v>
      </c>
      <c r="C266" s="81" t="str">
        <f>VLOOKUP($A266,'Выгр Кат'!$A:$R,C$1,0)</f>
        <v>Светодиодные противотуманные фары (2 полосы, линза + ДХО, 50W) для ВАЗ 2110-2112, 2113-2115, Шевроле Нива (до рестайлинга)</v>
      </c>
      <c r="D266" s="80" t="str">
        <f>VLOOKUP($A266,'Выгр Кат'!$A:$R,D$1,0)</f>
        <v>Y</v>
      </c>
      <c r="E266" s="80" t="str">
        <f>VLOOKUP($A266,'Выгр Кат'!$A:$R,E$1,0)</f>
        <v>1</v>
      </c>
      <c r="F266" s="80">
        <f>VLOOKUP($A266,'Выгр Кат'!$A:$R,F$1,0)</f>
        <v>0</v>
      </c>
      <c r="G266" s="80">
        <f>VLOOKUP($A266,'Выгр Кат'!$A:$R,G$1,0)</f>
        <v>0</v>
      </c>
      <c r="H266" s="67" t="s">
        <v>3</v>
      </c>
      <c r="I266" s="82">
        <v>2200</v>
      </c>
      <c r="J266" s="5">
        <f>VLOOKUP(I266,Наценка!$A$1:$G$8,2,1)</f>
        <v>1.27</v>
      </c>
      <c r="K266" s="88">
        <f>I266*J266</f>
        <v>2794</v>
      </c>
      <c r="L266" s="70">
        <f>IF(K266&lt;=1000,(ROUNDUP(K266,-1)-1),(ROUNDUP(K266,-2)-10))</f>
        <v>2790</v>
      </c>
      <c r="M266" s="80">
        <f>VLOOKUP($A266,'Выгр Кат'!$A:$R,M$1,0)</f>
        <v>2200</v>
      </c>
      <c r="N266" s="80">
        <f>VLOOKUP($A266,'Выгр Кат'!$A:$R,N$1,0)</f>
        <v>2890</v>
      </c>
      <c r="O266" s="28">
        <f>M266-I266</f>
        <v>0</v>
      </c>
      <c r="P266" s="28">
        <f>N266-L266</f>
        <v>100</v>
      </c>
      <c r="Q266" s="36">
        <f>IFERROR(L266*(1-$Q$2),"")</f>
        <v>2594.6999999999998</v>
      </c>
      <c r="R266" s="38" t="str">
        <f>IFERROR(VLOOKUP($A266,'Из Гугла'!$B:$G,6,0)*S266,VLOOKUP($A266,'Из Гугла'!$B:$G,6,0))</f>
        <v/>
      </c>
      <c r="S266" s="14">
        <v>1</v>
      </c>
      <c r="T266" s="83">
        <f>IFERROR(Q266/I266-1,"")</f>
        <v>0.17940909090909085</v>
      </c>
      <c r="U266" s="83" t="str">
        <f>IFERROR((W266-Q266)/W266,"")</f>
        <v/>
      </c>
      <c r="V266" s="83" t="str">
        <f>IFERROR(IF(W266="","",W266/I266-1),"")</f>
        <v/>
      </c>
      <c r="W266" s="94" t="s">
        <v>1269</v>
      </c>
    </row>
    <row r="267" spans="1:24" ht="61.5" thickTop="1" thickBot="1" x14ac:dyDescent="0.3">
      <c r="A267" s="80">
        <v>117284</v>
      </c>
      <c r="B267" s="80">
        <f>VLOOKUP($A267,'Выгр Кат'!$A:$R,B$1,0)</f>
        <v>37192</v>
      </c>
      <c r="C267" s="81" t="str">
        <f>VLOOKUP($A267,'Выгр Кат'!$A:$R,C$1,0)</f>
        <v>LED (диодные) подфарники "С-желтые" c ДХО и бегающим повторителем для Лада Нива 4x4, Нива 4х4 Урбан</v>
      </c>
      <c r="D267" s="80" t="str">
        <f>VLOOKUP($A267,'Выгр Кат'!$A:$R,D$1,0)</f>
        <v>Y</v>
      </c>
      <c r="E267" s="80" t="str">
        <f>VLOOKUP($A267,'Выгр Кат'!$A:$R,E$1,0)</f>
        <v>1ск1</v>
      </c>
      <c r="F267" s="80" t="str">
        <f>VLOOKUP($A267,'Выгр Кат'!$A:$R,F$1,0)</f>
        <v>PL-2023</v>
      </c>
      <c r="G267" s="80">
        <f>VLOOKUP($A267,'Выгр Кат'!$A:$R,G$1,0)</f>
        <v>0</v>
      </c>
      <c r="H267" s="67" t="s">
        <v>3</v>
      </c>
      <c r="I267" s="82">
        <v>2200</v>
      </c>
      <c r="J267" s="5">
        <f>VLOOKUP(I267,Наценка!$A$1:$G$8,2,1)</f>
        <v>1.27</v>
      </c>
      <c r="K267" s="88">
        <f>I267*J267</f>
        <v>2794</v>
      </c>
      <c r="L267" s="70">
        <f>IF(K267&lt;=1000,(ROUNDUP(K267,-1)-1),(ROUNDUP(K267,-2)-10))</f>
        <v>2790</v>
      </c>
      <c r="M267" s="80">
        <f>VLOOKUP($A267,'Выгр Кат'!$A:$R,M$1,0)</f>
        <v>2200</v>
      </c>
      <c r="N267" s="80">
        <f>VLOOKUP($A267,'Выгр Кат'!$A:$R,N$1,0)</f>
        <v>2890</v>
      </c>
      <c r="O267" s="28">
        <f>M267-I267</f>
        <v>0</v>
      </c>
      <c r="P267" s="28">
        <f>N267-L267</f>
        <v>100</v>
      </c>
      <c r="Q267" s="36">
        <f>IFERROR(L267*(1-$Q$2),"")</f>
        <v>2594.6999999999998</v>
      </c>
      <c r="R267" s="38" t="str">
        <f>IFERROR(VLOOKUP($A267,'Из Гугла'!$B:$G,6,0)*S267,VLOOKUP($A267,'Из Гугла'!$B:$G,6,0))</f>
        <v/>
      </c>
      <c r="S267" s="14">
        <v>1</v>
      </c>
      <c r="T267" s="83">
        <f>IFERROR(Q267/I267-1,"")</f>
        <v>0.17940909090909085</v>
      </c>
      <c r="U267" s="83" t="str">
        <f>IFERROR((W267-Q267)/W267,"")</f>
        <v/>
      </c>
      <c r="V267" s="83" t="str">
        <f>IFERROR(IF(W267="","",W267/I267-1),"")</f>
        <v/>
      </c>
      <c r="W267" s="94" t="s">
        <v>1269</v>
      </c>
    </row>
    <row r="268" spans="1:24" ht="45.75" thickTop="1" x14ac:dyDescent="0.25">
      <c r="A268" s="80">
        <v>145559</v>
      </c>
      <c r="B268" s="80">
        <f>VLOOKUP($A268,'Выгр Кат'!$A:$R,B$1,0)</f>
        <v>4936</v>
      </c>
      <c r="C268" s="81" t="str">
        <f>VLOOKUP($A268,'Выгр Кат'!$A:$R,C$1,0)</f>
        <v>Задние фонари диодные "TORINO" (серо-белые) для ВАЗ 2108-21099, 2113, 2114</v>
      </c>
      <c r="D268" s="80" t="str">
        <f>VLOOKUP($A268,'Выгр Кат'!$A:$R,D$1,0)</f>
        <v>Y</v>
      </c>
      <c r="E268" s="80" t="str">
        <f>VLOOKUP($A268,'Выгр Кат'!$A:$R,E$1,0)</f>
        <v>1</v>
      </c>
      <c r="F268" s="80" t="str">
        <f>VLOOKUP($A268,'Выгр Кат'!$A:$R,F$1,0)</f>
        <v>415 Led с/б</v>
      </c>
      <c r="G268" s="80" t="str">
        <f>VLOOKUP($A268,'Выгр Кат'!$A:$R,G$1,0)</f>
        <v>https://motorring.ru/product/15969-zadnie-diodnye-fonari-chernye-beloy-polosoy-vaz-2108-21099</v>
      </c>
      <c r="H268" s="67" t="s">
        <v>3</v>
      </c>
      <c r="I268" s="82">
        <v>2300</v>
      </c>
      <c r="J268" s="5">
        <f>VLOOKUP(I268,Наценка!$A$1:$G$8,2,1)</f>
        <v>1.27</v>
      </c>
      <c r="K268" s="89">
        <f>W268*1.07</f>
        <v>3199.3</v>
      </c>
      <c r="L268" s="70">
        <f>IF(K268&lt;=1000,(ROUNDUP(K268,-1)-1),(ROUNDUP(K268,-2)-10))</f>
        <v>3190</v>
      </c>
      <c r="M268" s="80">
        <f>VLOOKUP($A268,'Выгр Кат'!$A:$R,M$1,0)</f>
        <v>2300</v>
      </c>
      <c r="N268" s="80">
        <f>VLOOKUP($A268,'Выгр Кат'!$A:$R,N$1,0)</f>
        <v>3190</v>
      </c>
      <c r="O268" s="28">
        <f>M268-I268</f>
        <v>0</v>
      </c>
      <c r="P268" s="28">
        <f>N268-L268</f>
        <v>0</v>
      </c>
      <c r="Q268" s="36">
        <f>IFERROR(L268*(1-$Q$2),"")</f>
        <v>2966.7</v>
      </c>
      <c r="R268" s="38">
        <f>IFERROR(VLOOKUP($A268,'Из Гугла'!$B:$G,6,0)*S268,VLOOKUP($A268,'Из Гугла'!$B:$G,6,0))</f>
        <v>2990</v>
      </c>
      <c r="S268" s="14">
        <v>1</v>
      </c>
      <c r="T268" s="83">
        <f>IFERROR(Q268/I268-1,"")</f>
        <v>0.28986956521739127</v>
      </c>
      <c r="U268" s="83">
        <f>IFERROR((W268-Q268)/W268,"")</f>
        <v>7.7926421404682878E-3</v>
      </c>
      <c r="V268" s="83">
        <f>IFERROR(IF(W268="","",W268/I268-1),"")</f>
        <v>0.30000000000000004</v>
      </c>
      <c r="W268" s="93">
        <v>2990</v>
      </c>
      <c r="X268" s="71" t="s">
        <v>868</v>
      </c>
    </row>
    <row r="269" spans="1:24" ht="30.75" thickTop="1" x14ac:dyDescent="0.25">
      <c r="A269" s="80">
        <v>133319</v>
      </c>
      <c r="B269" s="80">
        <f>VLOOKUP($A269,'Выгр Кат'!$A:$R,B$1,0)</f>
        <v>8116</v>
      </c>
      <c r="C269" s="81" t="str">
        <f>VLOOKUP($A269,'Выгр Кат'!$A:$R,C$1,0)</f>
        <v>Балка освещения G2-120W, L-56 см</v>
      </c>
      <c r="D269" s="80" t="str">
        <f>VLOOKUP($A269,'Выгр Кат'!$A:$R,D$1,0)</f>
        <v>Y</v>
      </c>
      <c r="E269" s="80" t="str">
        <f>VLOOKUP($A269,'Выгр Кат'!$A:$R,E$1,0)</f>
        <v>1</v>
      </c>
      <c r="F269" s="80" t="str">
        <f>VLOOKUP($A269,'Выгр Кат'!$A:$R,F$1,0)</f>
        <v>G2-120W</v>
      </c>
      <c r="G269" s="80">
        <f>VLOOKUP($A269,'Выгр Кат'!$A:$R,G$1,0)</f>
        <v>0</v>
      </c>
      <c r="H269" s="67" t="s">
        <v>3</v>
      </c>
      <c r="I269" s="82">
        <v>2300</v>
      </c>
      <c r="J269" s="5">
        <f>VLOOKUP(I269,Наценка!$A$1:$G$8,2,1)</f>
        <v>1.27</v>
      </c>
      <c r="K269" s="34">
        <f>I269*J269</f>
        <v>2921</v>
      </c>
      <c r="L269" s="70">
        <f>IF(K269&lt;=1000,(ROUNDUP(K269,-1)-1),(ROUNDUP(K269,-2)-10))</f>
        <v>2990</v>
      </c>
      <c r="M269" s="80">
        <f>VLOOKUP($A269,'Выгр Кат'!$A:$R,M$1,0)</f>
        <v>2300</v>
      </c>
      <c r="N269" s="80">
        <f>VLOOKUP($A269,'Выгр Кат'!$A:$R,N$1,0)</f>
        <v>2990</v>
      </c>
      <c r="O269" s="28">
        <f>M269-I269</f>
        <v>0</v>
      </c>
      <c r="P269" s="28">
        <f>N269-L269</f>
        <v>0</v>
      </c>
      <c r="Q269" s="36">
        <f>IFERROR(L269*(1-$Q$2),"")</f>
        <v>2780.7</v>
      </c>
      <c r="R269" s="38" t="str">
        <f>IFERROR(VLOOKUP($A269,'Из Гугла'!$B:$G,6,0)*S269,VLOOKUP($A269,'Из Гугла'!$B:$G,6,0))</f>
        <v/>
      </c>
      <c r="S269" s="14">
        <v>1</v>
      </c>
      <c r="T269" s="83">
        <f>IFERROR(Q269/I269-1,"")</f>
        <v>0.20899999999999985</v>
      </c>
      <c r="U269" s="83" t="str">
        <f>IFERROR((W269-Q269)/W269,"")</f>
        <v/>
      </c>
      <c r="V269" s="83" t="str">
        <f>IFERROR(IF(W269="","",W269/I269-1),"")</f>
        <v/>
      </c>
      <c r="W269" s="84" t="s">
        <v>1269</v>
      </c>
    </row>
    <row r="270" spans="1:24" ht="45.75" thickBot="1" x14ac:dyDescent="0.3">
      <c r="A270" s="80">
        <v>145557</v>
      </c>
      <c r="B270" s="80">
        <f>VLOOKUP($A270,'Выгр Кат'!$A:$R,B$1,0)</f>
        <v>4972</v>
      </c>
      <c r="C270" s="81" t="str">
        <f>VLOOKUP($A270,'Выгр Кат'!$A:$R,C$1,0)</f>
        <v>Задние фонари диодные "TORINO" (красно-серые) для ВАЗ 2108-21099, 2113, 2114</v>
      </c>
      <c r="D270" s="80" t="str">
        <f>VLOOKUP($A270,'Выгр Кат'!$A:$R,D$1,0)</f>
        <v>Y</v>
      </c>
      <c r="E270" s="80" t="str">
        <f>VLOOKUP($A270,'Выгр Кат'!$A:$R,E$1,0)</f>
        <v>1ск1</v>
      </c>
      <c r="F270" s="80">
        <f>VLOOKUP($A270,'Выгр Кат'!$A:$R,F$1,0)</f>
        <v>0</v>
      </c>
      <c r="G270" s="80" t="str">
        <f>VLOOKUP($A270,'Выгр Кат'!$A:$R,G$1,0)</f>
        <v>https://motorring.ru/product/15954-svetodiodnye-zadnie-fonari-krasnye-seroy-polosoy-2108</v>
      </c>
      <c r="H270" s="67" t="s">
        <v>3</v>
      </c>
      <c r="I270" s="82">
        <v>2300</v>
      </c>
      <c r="J270" s="5">
        <f>VLOOKUP(I270,Наценка!$A$1:$G$8,2,1)</f>
        <v>1.27</v>
      </c>
      <c r="K270" s="56">
        <f>W270*1.06</f>
        <v>3593.4</v>
      </c>
      <c r="L270" s="70">
        <f>IF(K270&lt;=1000,(ROUNDUP(K270,-1)-1),(ROUNDUP(K270,-2)-10))</f>
        <v>3590</v>
      </c>
      <c r="M270" s="80">
        <f>VLOOKUP($A270,'Выгр Кат'!$A:$R,M$1,0)</f>
        <v>2300</v>
      </c>
      <c r="N270" s="80">
        <f>VLOOKUP($A270,'Выгр Кат'!$A:$R,N$1,0)</f>
        <v>3590</v>
      </c>
      <c r="O270" s="28">
        <f>M270-I270</f>
        <v>0</v>
      </c>
      <c r="P270" s="28">
        <f>N270-L270</f>
        <v>0</v>
      </c>
      <c r="Q270" s="36">
        <f>IFERROR(L270*(1-$Q$2),"")</f>
        <v>3338.7</v>
      </c>
      <c r="R270" s="38">
        <f>IFERROR(VLOOKUP($A270,'Из Гугла'!$B:$G,6,0)*S270,VLOOKUP($A270,'Из Гугла'!$B:$G,6,0))</f>
        <v>3390</v>
      </c>
      <c r="S270" s="14">
        <v>1</v>
      </c>
      <c r="T270" s="83">
        <f>IFERROR(Q270/I270-1,"")</f>
        <v>0.45160869565217387</v>
      </c>
      <c r="U270" s="83">
        <f>IFERROR((W270-Q270)/W270,"")</f>
        <v>1.5132743362831913E-2</v>
      </c>
      <c r="V270" s="83">
        <f>IFERROR(IF(W270="","",W270/I270-1),"")</f>
        <v>0.4739130434782608</v>
      </c>
      <c r="W270" s="95">
        <v>3390</v>
      </c>
      <c r="X270" s="71" t="s">
        <v>869</v>
      </c>
    </row>
    <row r="271" spans="1:24" ht="46.5" thickTop="1" thickBot="1" x14ac:dyDescent="0.3">
      <c r="A271" s="80">
        <v>145556</v>
      </c>
      <c r="B271" s="80">
        <f>VLOOKUP($A271,'Выгр Кат'!$A:$R,B$1,0)</f>
        <v>4969</v>
      </c>
      <c r="C271" s="81" t="str">
        <f>VLOOKUP($A271,'Выгр Кат'!$A:$R,C$1,0)</f>
        <v>Задние фонари диодные "TORINO" (красные) для ВАЗ 2108-21099, 2113, 2114</v>
      </c>
      <c r="D271" s="80" t="str">
        <f>VLOOKUP($A271,'Выгр Кат'!$A:$R,D$1,0)</f>
        <v>Y</v>
      </c>
      <c r="E271" s="80" t="str">
        <f>VLOOKUP($A271,'Выгр Кат'!$A:$R,E$1,0)</f>
        <v>1</v>
      </c>
      <c r="F271" s="80">
        <f>VLOOKUP($A271,'Выгр Кат'!$A:$R,F$1,0)</f>
        <v>0</v>
      </c>
      <c r="G271" s="80" t="str">
        <f>VLOOKUP($A271,'Выгр Кат'!$A:$R,G$1,0)</f>
        <v>https://motorring.ru/product/249-zadnie-diodnye-fonari-krasno-belye-vaz-2108-2113-2109-2114</v>
      </c>
      <c r="H271" s="67" t="s">
        <v>3</v>
      </c>
      <c r="I271" s="82">
        <v>2300</v>
      </c>
      <c r="J271" s="5">
        <f>VLOOKUP(I271,Наценка!$A$1:$G$8,2,1)</f>
        <v>1.27</v>
      </c>
      <c r="K271" s="56">
        <f>W271*1.06</f>
        <v>3593.4</v>
      </c>
      <c r="L271" s="70">
        <f>IF(K271&lt;=1000,(ROUNDUP(K271,-1)-1),(ROUNDUP(K271,-2)-10))</f>
        <v>3590</v>
      </c>
      <c r="M271" s="80">
        <f>VLOOKUP($A271,'Выгр Кат'!$A:$R,M$1,0)</f>
        <v>2300</v>
      </c>
      <c r="N271" s="80">
        <f>VLOOKUP($A271,'Выгр Кат'!$A:$R,N$1,0)</f>
        <v>3590</v>
      </c>
      <c r="O271" s="28">
        <f>M271-I271</f>
        <v>0</v>
      </c>
      <c r="P271" s="28">
        <f>N271-L271</f>
        <v>0</v>
      </c>
      <c r="Q271" s="36">
        <f>IFERROR(L271*(1-$Q$2),"")</f>
        <v>3338.7</v>
      </c>
      <c r="R271" s="38">
        <f>IFERROR(VLOOKUP($A271,'Из Гугла'!$B:$G,6,0)*S271,VLOOKUP($A271,'Из Гугла'!$B:$G,6,0))</f>
        <v>3390</v>
      </c>
      <c r="S271" s="14">
        <v>1</v>
      </c>
      <c r="T271" s="83">
        <f>IFERROR(Q271/I271-1,"")</f>
        <v>0.45160869565217387</v>
      </c>
      <c r="U271" s="83">
        <f>IFERROR((W271-Q271)/W271,"")</f>
        <v>1.5132743362831913E-2</v>
      </c>
      <c r="V271" s="83">
        <f>IFERROR(IF(W271="","",W271/I271-1),"")</f>
        <v>0.4739130434782608</v>
      </c>
      <c r="W271" s="95">
        <v>3390</v>
      </c>
      <c r="X271" s="71" t="s">
        <v>874</v>
      </c>
    </row>
    <row r="272" spans="1:24" ht="31.5" thickTop="1" thickBot="1" x14ac:dyDescent="0.3">
      <c r="A272" s="80">
        <v>211467</v>
      </c>
      <c r="B272" s="80">
        <f>VLOOKUP($A272,'Выгр Кат'!$A:$R,B$1,0)</f>
        <v>9167</v>
      </c>
      <c r="C272" s="81" t="str">
        <f>VLOOKUP($A272,'Выгр Кат'!$A:$R,C$1,0)</f>
        <v>Руль R1 спортивный для ВАЗ, кожа</v>
      </c>
      <c r="D272" s="80" t="str">
        <f>VLOOKUP($A272,'Выгр Кат'!$A:$R,D$1,0)</f>
        <v>Y</v>
      </c>
      <c r="E272" s="80" t="str">
        <f>VLOOKUP($A272,'Выгр Кат'!$A:$R,E$1,0)</f>
        <v>1</v>
      </c>
      <c r="F272" s="80" t="str">
        <f>VLOOKUP($A272,'Выгр Кат'!$A:$R,F$1,0)</f>
        <v>4125 90 мм</v>
      </c>
      <c r="G272" s="80">
        <f>VLOOKUP($A272,'Выгр Кат'!$A:$R,G$1,0)</f>
        <v>0</v>
      </c>
      <c r="H272" s="67" t="s">
        <v>3</v>
      </c>
      <c r="I272" s="82">
        <v>2300</v>
      </c>
      <c r="J272" s="5">
        <f>VLOOKUP(I272,Наценка!$A$1:$G$8,2,1)</f>
        <v>1.27</v>
      </c>
      <c r="K272" s="34">
        <f>I272*J272</f>
        <v>2921</v>
      </c>
      <c r="L272" s="70">
        <f>IF(K272&lt;=1000,(ROUNDUP(K272,-1)-1),(ROUNDUP(K272,-2)-10))</f>
        <v>2990</v>
      </c>
      <c r="M272" s="80">
        <f>VLOOKUP($A272,'Выгр Кат'!$A:$R,M$1,0)</f>
        <v>2300</v>
      </c>
      <c r="N272" s="80">
        <f>VLOOKUP($A272,'Выгр Кат'!$A:$R,N$1,0)</f>
        <v>2990</v>
      </c>
      <c r="O272" s="28">
        <f>M272-I272</f>
        <v>0</v>
      </c>
      <c r="P272" s="28">
        <f>N272-L272</f>
        <v>0</v>
      </c>
      <c r="Q272" s="36">
        <f>IFERROR(L272*(1-$Q$2),"")</f>
        <v>2780.7</v>
      </c>
      <c r="R272" s="38" t="str">
        <f>IFERROR(VLOOKUP($A272,'Из Гугла'!$B:$G,6,0)*S272,VLOOKUP($A272,'Из Гугла'!$B:$G,6,0))</f>
        <v/>
      </c>
      <c r="S272" s="14">
        <v>1</v>
      </c>
      <c r="T272" s="83">
        <f>IFERROR(Q272/I272-1,"")</f>
        <v>0.20899999999999985</v>
      </c>
      <c r="U272" s="83" t="str">
        <f>IFERROR((W272-Q272)/W272,"")</f>
        <v/>
      </c>
      <c r="V272" s="83" t="str">
        <f>IFERROR(IF(W272="","",W272/I272-1),"")</f>
        <v/>
      </c>
      <c r="W272" s="94" t="s">
        <v>1269</v>
      </c>
    </row>
    <row r="273" spans="1:24" ht="60.75" thickTop="1" x14ac:dyDescent="0.25">
      <c r="A273" s="80">
        <v>213668</v>
      </c>
      <c r="B273" s="80">
        <f>VLOOKUP($A273,'Выгр Кат'!$A:$R,B$1,0)</f>
        <v>23362</v>
      </c>
      <c r="C273" s="81" t="str">
        <f>VLOOKUP($A273,'Выгр Кат'!$A:$R,C$1,0)</f>
        <v>Светодиодные подфарники (с плавным загоранием ДХО, поворотник в стиле "Lexus") для Лада Нива 4x4, Нива 4x4 Урбан</v>
      </c>
      <c r="D273" s="80" t="str">
        <f>VLOOKUP($A273,'Выгр Кат'!$A:$R,D$1,0)</f>
        <v>Y</v>
      </c>
      <c r="E273" s="80" t="str">
        <f>VLOOKUP($A273,'Выгр Кат'!$A:$R,E$1,0)</f>
        <v>1</v>
      </c>
      <c r="F273" s="80" t="str">
        <f>VLOOKUP($A273,'Выгр Кат'!$A:$R,F$1,0)</f>
        <v>PL2022</v>
      </c>
      <c r="G273" s="80" t="str">
        <f>VLOOKUP($A273,'Выгр Кат'!$A:$R,G$1,0)</f>
        <v>https://motorring.ru/product/25053-svetodiodnye-podfarniki-plavniye-dho-povtoritel-4x4-niva</v>
      </c>
      <c r="H273" s="67" t="s">
        <v>3</v>
      </c>
      <c r="I273" s="82">
        <v>2400</v>
      </c>
      <c r="J273" s="5">
        <f>VLOOKUP(I273,Наценка!$A$1:$G$8,2,1)</f>
        <v>1.27</v>
      </c>
      <c r="K273" s="87">
        <f>W273*1.06</f>
        <v>3381.4</v>
      </c>
      <c r="L273" s="70">
        <f>IF(K273&lt;=1000,(ROUNDUP(K273,-1)-1),(ROUNDUP(K273,-2)-10))</f>
        <v>3390</v>
      </c>
      <c r="M273" s="80">
        <f>VLOOKUP($A273,'Выгр Кат'!$A:$R,M$1,0)</f>
        <v>2400</v>
      </c>
      <c r="N273" s="80">
        <f>VLOOKUP($A273,'Выгр Кат'!$A:$R,N$1,0)</f>
        <v>3390</v>
      </c>
      <c r="O273" s="28">
        <f>M273-I273</f>
        <v>0</v>
      </c>
      <c r="P273" s="28">
        <f>N273-L273</f>
        <v>0</v>
      </c>
      <c r="Q273" s="36">
        <f>IFERROR(L273*(1-$Q$2),"")</f>
        <v>3152.7</v>
      </c>
      <c r="R273" s="38">
        <f>IFERROR(VLOOKUP($A273,'Из Гугла'!$B:$G,6,0)*S273,VLOOKUP($A273,'Из Гугла'!$B:$G,6,0))</f>
        <v>3190</v>
      </c>
      <c r="S273" s="14">
        <v>1</v>
      </c>
      <c r="T273" s="83">
        <f>IFERROR(Q273/I273-1,"")</f>
        <v>0.31362499999999982</v>
      </c>
      <c r="U273" s="83">
        <f>IFERROR((W273-Q273)/W273,"")</f>
        <v>1.1692789968652095E-2</v>
      </c>
      <c r="V273" s="83">
        <f>IFERROR(IF(W273="","",W273/I273-1),"")</f>
        <v>0.32916666666666661</v>
      </c>
      <c r="W273" s="93">
        <v>3190</v>
      </c>
      <c r="X273" s="71" t="s">
        <v>740</v>
      </c>
    </row>
    <row r="274" spans="1:24" ht="30.75" thickBot="1" x14ac:dyDescent="0.3">
      <c r="A274" s="80">
        <v>133334</v>
      </c>
      <c r="B274" s="80">
        <f>VLOOKUP($A274,'Выгр Кат'!$A:$R,B$1,0)</f>
        <v>8066</v>
      </c>
      <c r="C274" s="81" t="str">
        <f>VLOOKUP($A274,'Выгр Кат'!$A:$R,C$1,0)</f>
        <v>Балка с диодами PL-3102-FS (12*3 Вт)</v>
      </c>
      <c r="D274" s="80" t="str">
        <f>VLOOKUP($A274,'Выгр Кат'!$A:$R,D$1,0)</f>
        <v>Y</v>
      </c>
      <c r="E274" s="80" t="str">
        <f>VLOOKUP($A274,'Выгр Кат'!$A:$R,E$1,0)</f>
        <v>1</v>
      </c>
      <c r="F274" s="80" t="str">
        <f>VLOOKUP($A274,'Выгр Кат'!$A:$R,F$1,0)</f>
        <v>PL-3102-FS</v>
      </c>
      <c r="G274" s="80" t="str">
        <f>VLOOKUP($A274,'Выгр Кат'!$A:$R,G$1,0)</f>
        <v>https://motorring.ru/product/8279-diodnaya-balka-pl-3102-36w-3vt</v>
      </c>
      <c r="H274" s="67" t="s">
        <v>3</v>
      </c>
      <c r="I274" s="82">
        <v>2400</v>
      </c>
      <c r="J274" s="5">
        <f>VLOOKUP(I274,Наценка!$A$1:$G$8,2,1)</f>
        <v>1.27</v>
      </c>
      <c r="K274" s="87">
        <f>W274*1.06</f>
        <v>3699.4</v>
      </c>
      <c r="L274" s="70">
        <f>IF(K274&lt;=1000,(ROUNDUP(K274,-1)-1),(ROUNDUP(K274,-2)-10))</f>
        <v>3690</v>
      </c>
      <c r="M274" s="80">
        <f>VLOOKUP($A274,'Выгр Кат'!$A:$R,M$1,0)</f>
        <v>2400</v>
      </c>
      <c r="N274" s="80">
        <f>VLOOKUP($A274,'Выгр Кат'!$A:$R,N$1,0)</f>
        <v>3690</v>
      </c>
      <c r="O274" s="28">
        <f>M274-I274</f>
        <v>0</v>
      </c>
      <c r="P274" s="28">
        <f>N274-L274</f>
        <v>0</v>
      </c>
      <c r="Q274" s="36">
        <f>IFERROR(L274*(1-$Q$2),"")</f>
        <v>3431.7</v>
      </c>
      <c r="R274" s="38">
        <f>IFERROR(VLOOKUP($A274,'Из Гугла'!$B:$G,6,0)*S274,VLOOKUP($A274,'Из Гугла'!$B:$G,6,0))</f>
        <v>3490</v>
      </c>
      <c r="S274" s="14">
        <v>1</v>
      </c>
      <c r="T274" s="83">
        <f>IFERROR(Q274/I274-1,"")</f>
        <v>0.42987500000000001</v>
      </c>
      <c r="U274" s="83">
        <f>IFERROR((W274-Q274)/W274,"")</f>
        <v>1.6704871060171971E-2</v>
      </c>
      <c r="V274" s="83">
        <f>IFERROR(IF(W274="","",W274/I274-1),"")</f>
        <v>0.45416666666666661</v>
      </c>
      <c r="W274" s="95">
        <v>3490</v>
      </c>
      <c r="X274" s="71" t="s">
        <v>786</v>
      </c>
    </row>
    <row r="275" spans="1:24" ht="30.75" thickTop="1" x14ac:dyDescent="0.25">
      <c r="A275" s="80">
        <v>133271</v>
      </c>
      <c r="B275" s="80">
        <f>VLOOKUP($A275,'Выгр Кат'!$A:$R,B$1,0)</f>
        <v>24041</v>
      </c>
      <c r="C275" s="81" t="str">
        <f>VLOOKUP($A275,'Выгр Кат'!$A:$R,C$1,0)</f>
        <v>Балка дополнительного освещения "HP-CTD-4D-008"</v>
      </c>
      <c r="D275" s="80" t="str">
        <f>VLOOKUP($A275,'Выгр Кат'!$A:$R,D$1,0)</f>
        <v>Y</v>
      </c>
      <c r="E275" s="80" t="str">
        <f>VLOOKUP($A275,'Выгр Кат'!$A:$R,E$1,0)</f>
        <v>1</v>
      </c>
      <c r="F275" s="80" t="str">
        <f>VLOOKUP($A275,'Выгр Кат'!$A:$R,F$1,0)</f>
        <v>HP-CTD-4D-008</v>
      </c>
      <c r="G275" s="80">
        <f>VLOOKUP($A275,'Выгр Кат'!$A:$R,G$1,0)</f>
        <v>0</v>
      </c>
      <c r="H275" s="67" t="s">
        <v>3</v>
      </c>
      <c r="I275" s="82">
        <v>2400</v>
      </c>
      <c r="J275" s="5">
        <f>VLOOKUP(I275,Наценка!$A$1:$G$8,2,1)</f>
        <v>1.27</v>
      </c>
      <c r="K275" s="34">
        <f>I275*J275</f>
        <v>3048</v>
      </c>
      <c r="L275" s="70">
        <f>IF(K275&lt;=1000,(ROUNDUP(K275,-1)-1),(ROUNDUP(K275,-2)-10))</f>
        <v>3090</v>
      </c>
      <c r="M275" s="80">
        <f>VLOOKUP($A275,'Выгр Кат'!$A:$R,M$1,0)</f>
        <v>2400</v>
      </c>
      <c r="N275" s="80">
        <f>VLOOKUP($A275,'Выгр Кат'!$A:$R,N$1,0)</f>
        <v>3090</v>
      </c>
      <c r="O275" s="28">
        <f>M275-I275</f>
        <v>0</v>
      </c>
      <c r="P275" s="28">
        <f>N275-L275</f>
        <v>0</v>
      </c>
      <c r="Q275" s="36">
        <f>IFERROR(L275*(1-$Q$2),"")</f>
        <v>2873.7</v>
      </c>
      <c r="R275" s="38" t="str">
        <f>IFERROR(VLOOKUP($A275,'Из Гугла'!$B:$G,6,0)*S275,VLOOKUP($A275,'Из Гугла'!$B:$G,6,0))</f>
        <v/>
      </c>
      <c r="S275" s="14">
        <v>1</v>
      </c>
      <c r="T275" s="83">
        <f>IFERROR(Q275/I275-1,"")</f>
        <v>0.19737499999999986</v>
      </c>
      <c r="U275" s="83" t="str">
        <f>IFERROR((W275-Q275)/W275,"")</f>
        <v/>
      </c>
      <c r="V275" s="83" t="str">
        <f>IFERROR(IF(W275="","",W275/I275-1),"")</f>
        <v/>
      </c>
      <c r="W275" s="84" t="s">
        <v>1269</v>
      </c>
    </row>
    <row r="276" spans="1:24" ht="30.75" thickBot="1" x14ac:dyDescent="0.3">
      <c r="A276" s="80">
        <v>143762</v>
      </c>
      <c r="B276" s="80">
        <f>VLOOKUP($A276,'Выгр Кат'!$A:$R,B$1,0)</f>
        <v>48122</v>
      </c>
      <c r="C276" s="81" t="str">
        <f>VLOOKUP($A276,'Выгр Кат'!$A:$R,C$1,0)</f>
        <v>Диодные подфарники для Лада Нива 4x4, Нива 4x4 Урбан</v>
      </c>
      <c r="D276" s="80" t="str">
        <f>VLOOKUP($A276,'Выгр Кат'!$A:$R,D$1,0)</f>
        <v>Y</v>
      </c>
      <c r="E276" s="80" t="str">
        <f>VLOOKUP($A276,'Выгр Кат'!$A:$R,E$1,0)</f>
        <v>1</v>
      </c>
      <c r="F276" s="80" t="str">
        <f>VLOOKUP($A276,'Выгр Кат'!$A:$R,F$1,0)</f>
        <v>PL 2021</v>
      </c>
      <c r="G276" s="80" t="str">
        <f>VLOOKUP($A276,'Выгр Кат'!$A:$R,G$1,0)</f>
        <v>https://motorring.ru/product/25052-svetodiodnye-podfarniki-dho-povtoritel-4x4-niva</v>
      </c>
      <c r="H276" s="67" t="s">
        <v>3</v>
      </c>
      <c r="I276" s="82">
        <v>2400</v>
      </c>
      <c r="J276" s="5">
        <f>VLOOKUP(I276,Наценка!$A$1:$G$8,2,1)</f>
        <v>1.27</v>
      </c>
      <c r="K276" s="56">
        <f>W276*1.06</f>
        <v>3381.4</v>
      </c>
      <c r="L276" s="70">
        <f>IF(K276&lt;=1000,(ROUNDUP(K276,-1)-1),(ROUNDUP(K276,-2)-10))</f>
        <v>3390</v>
      </c>
      <c r="M276" s="80">
        <f>VLOOKUP($A276,'Выгр Кат'!$A:$R,M$1,0)</f>
        <v>2400</v>
      </c>
      <c r="N276" s="80">
        <f>VLOOKUP($A276,'Выгр Кат'!$A:$R,N$1,0)</f>
        <v>3390</v>
      </c>
      <c r="O276" s="28">
        <f>M276-I276</f>
        <v>0</v>
      </c>
      <c r="P276" s="28">
        <f>N276-L276</f>
        <v>0</v>
      </c>
      <c r="Q276" s="36">
        <f>IFERROR(L276*(1-$Q$2),"")</f>
        <v>3152.7</v>
      </c>
      <c r="R276" s="38" t="str">
        <f>IFERROR(VLOOKUP($A276,'Из Гугла'!$B:$G,6,0)*S276,VLOOKUP($A276,'Из Гугла'!$B:$G,6,0))</f>
        <v/>
      </c>
      <c r="S276" s="14">
        <v>1</v>
      </c>
      <c r="T276" s="83">
        <f>IFERROR(Q276/I276-1,"")</f>
        <v>0.31362499999999982</v>
      </c>
      <c r="U276" s="83">
        <f>IFERROR((W276-Q276)/W276,"")</f>
        <v>1.1692789968652095E-2</v>
      </c>
      <c r="V276" s="83">
        <f>IFERROR(IF(W276="","",W276/I276-1),"")</f>
        <v>0.32916666666666661</v>
      </c>
      <c r="W276" s="95">
        <v>3190</v>
      </c>
      <c r="X276" s="71" t="s">
        <v>1473</v>
      </c>
    </row>
    <row r="277" spans="1:24" ht="31.5" thickTop="1" thickBot="1" x14ac:dyDescent="0.3">
      <c r="A277" s="80">
        <v>223062</v>
      </c>
      <c r="B277" s="80">
        <f>VLOOKUP($A277,'Выгр Кат'!$A:$R,B$1,0)</f>
        <v>8303</v>
      </c>
      <c r="C277" s="81" t="str">
        <f>VLOOKUP($A277,'Выгр Кат'!$A:$R,C$1,0)</f>
        <v>Универсальная ПТФ PT 324 HID (ксенон) d-14см</v>
      </c>
      <c r="D277" s="80" t="str">
        <f>VLOOKUP($A277,'Выгр Кат'!$A:$R,D$1,0)</f>
        <v>Y</v>
      </c>
      <c r="E277" s="80" t="str">
        <f>VLOOKUP($A277,'Выгр Кат'!$A:$R,E$1,0)</f>
        <v>1</v>
      </c>
      <c r="F277" s="80" t="str">
        <f>VLOOKUP($A277,'Выгр Кат'!$A:$R,F$1,0)</f>
        <v>PT 324 HID</v>
      </c>
      <c r="G277" s="80">
        <f>VLOOKUP($A277,'Выгр Кат'!$A:$R,G$1,0)</f>
        <v>0</v>
      </c>
      <c r="H277" s="67" t="s">
        <v>3</v>
      </c>
      <c r="I277" s="82">
        <v>2450</v>
      </c>
      <c r="J277" s="5">
        <f>VLOOKUP(I277,Наценка!$A$1:$G$8,2,1)</f>
        <v>1.27</v>
      </c>
      <c r="K277" s="88">
        <f>I277*J277</f>
        <v>3111.5</v>
      </c>
      <c r="L277" s="70">
        <f>IF(K277&lt;=1000,(ROUNDUP(K277,-1)-1),(ROUNDUP(K277,-2)-10))</f>
        <v>3190</v>
      </c>
      <c r="M277" s="80">
        <f>VLOOKUP($A277,'Выгр Кат'!$A:$R,M$1,0)</f>
        <v>2450</v>
      </c>
      <c r="N277" s="80">
        <f>VLOOKUP($A277,'Выгр Кат'!$A:$R,N$1,0)</f>
        <v>3190</v>
      </c>
      <c r="O277" s="28">
        <f>M277-I277</f>
        <v>0</v>
      </c>
      <c r="P277" s="28">
        <f>N277-L277</f>
        <v>0</v>
      </c>
      <c r="Q277" s="36">
        <f>IFERROR(L277*(1-$Q$2),"")</f>
        <v>2966.7</v>
      </c>
      <c r="R277" s="38" t="str">
        <f>IFERROR(VLOOKUP($A277,'Из Гугла'!$B:$G,6,0)*S277,VLOOKUP($A277,'Из Гугла'!$B:$G,6,0))</f>
        <v/>
      </c>
      <c r="S277" s="14">
        <v>1</v>
      </c>
      <c r="T277" s="83">
        <f>IFERROR(Q277/I277-1,"")</f>
        <v>0.21089795918367349</v>
      </c>
      <c r="U277" s="83" t="str">
        <f>IFERROR((W277-Q277)/W277,"")</f>
        <v/>
      </c>
      <c r="V277" s="83" t="str">
        <f>IFERROR(IF(W277="","",W277/I277-1),"")</f>
        <v/>
      </c>
      <c r="W277" s="94" t="s">
        <v>1269</v>
      </c>
    </row>
    <row r="278" spans="1:24" ht="46.5" thickTop="1" thickBot="1" x14ac:dyDescent="0.3">
      <c r="A278" s="80">
        <v>201804</v>
      </c>
      <c r="B278" s="80">
        <f>VLOOKUP($A278,'Выгр Кат'!$A:$R,B$1,0)</f>
        <v>134755</v>
      </c>
      <c r="C278" s="81" t="str">
        <f>VLOOKUP($A278,'Выгр Кат'!$A:$R,C$1,0)</f>
        <v>Противотуманные фары для Лада Гранта FL, Нива 4х4 Урбан, Веста, Веста NG, XRAY</v>
      </c>
      <c r="D278" s="80" t="str">
        <f>VLOOKUP($A278,'Выгр Кат'!$A:$R,D$1,0)</f>
        <v>Y</v>
      </c>
      <c r="E278" s="80" t="str">
        <f>VLOOKUP($A278,'Выгр Кат'!$A:$R,E$1,0)</f>
        <v>1</v>
      </c>
      <c r="F278" s="80" t="str">
        <f>VLOOKUP($A278,'Выгр Кат'!$A:$R,F$1,0)</f>
        <v>HP-GZD-260-01</v>
      </c>
      <c r="G278" s="80" t="str">
        <f>VLOOKUP($A278,'Выгр Кат'!$A:$R,G$1,0)</f>
        <v>https://motorring.ru/product/40443-diodnye-ptf-linz-6000k-s-rasseivatelem-dlya-toyota-leksus</v>
      </c>
      <c r="H278" s="67" t="s">
        <v>3</v>
      </c>
      <c r="I278" s="82">
        <v>2500</v>
      </c>
      <c r="J278" s="5">
        <f>VLOOKUP(I278,Наценка!$A$1:$G$8,2,1)</f>
        <v>1.27</v>
      </c>
      <c r="K278" s="56">
        <f>W278*1.06</f>
        <v>3487.4</v>
      </c>
      <c r="L278" s="70">
        <f>IF(K278&lt;=1000,(ROUNDUP(K278,-1)-1),(ROUNDUP(K278,-2)-10))</f>
        <v>3490</v>
      </c>
      <c r="M278" s="80">
        <f>VLOOKUP($A278,'Выгр Кат'!$A:$R,M$1,0)</f>
        <v>2500</v>
      </c>
      <c r="N278" s="80">
        <f>VLOOKUP($A278,'Выгр Кат'!$A:$R,N$1,0)</f>
        <v>3490</v>
      </c>
      <c r="O278" s="28">
        <f>M278-I278</f>
        <v>0</v>
      </c>
      <c r="P278" s="28">
        <f>N278-L278</f>
        <v>0</v>
      </c>
      <c r="Q278" s="36">
        <f>IFERROR(L278*(1-$Q$2),"")</f>
        <v>3245.7</v>
      </c>
      <c r="R278" s="38">
        <f>IFERROR(VLOOKUP($A278,'Из Гугла'!$B:$G,6,0)*S278,VLOOKUP($A278,'Из Гугла'!$B:$G,6,0))</f>
        <v>3290</v>
      </c>
      <c r="S278" s="14">
        <v>1</v>
      </c>
      <c r="T278" s="83">
        <f>IFERROR(Q278/I278-1,"")</f>
        <v>0.29827999999999988</v>
      </c>
      <c r="U278" s="83">
        <f>IFERROR((W278-Q278)/W278,"")</f>
        <v>1.3465045592705222E-2</v>
      </c>
      <c r="V278" s="83">
        <f>IFERROR(IF(W278="","",W278/I278-1),"")</f>
        <v>0.31600000000000006</v>
      </c>
      <c r="W278" s="94">
        <v>3290</v>
      </c>
      <c r="X278" s="71" t="s">
        <v>1421</v>
      </c>
    </row>
    <row r="279" spans="1:24" ht="30.75" thickTop="1" x14ac:dyDescent="0.25">
      <c r="A279" s="80">
        <v>145537</v>
      </c>
      <c r="B279" s="80">
        <f>VLOOKUP($A279,'Выгр Кат'!$A:$R,B$1,0)</f>
        <v>31732</v>
      </c>
      <c r="C279" s="81" t="str">
        <f>VLOOKUP($A279,'Выгр Кат'!$A:$R,C$1,0)</f>
        <v>Задние фонари "Орлиный Глаз" прозрачные для ВАЗ 2105, 2107</v>
      </c>
      <c r="D279" s="80" t="str">
        <f>VLOOKUP($A279,'Выгр Кат'!$A:$R,D$1,0)</f>
        <v>Y</v>
      </c>
      <c r="E279" s="80" t="str">
        <f>VLOOKUP($A279,'Выгр Кат'!$A:$R,E$1,0)</f>
        <v>1</v>
      </c>
      <c r="F279" s="80" t="str">
        <f>VLOOKUP($A279,'Выгр Кат'!$A:$R,F$1,0)</f>
        <v>DH-405WHITE</v>
      </c>
      <c r="G279" s="80" t="str">
        <f>VLOOKUP($A279,'Выгр Кат'!$A:$R,G$1,0)</f>
        <v>https://motorring.ru/product/38688-zadnie-diodnye-fonari-orlinyy-glaz-vaz-2105</v>
      </c>
      <c r="H279" s="67" t="s">
        <v>3</v>
      </c>
      <c r="I279" s="82">
        <v>2500</v>
      </c>
      <c r="J279" s="5">
        <f>VLOOKUP(I279,Наценка!$A$1:$G$8,2,1)</f>
        <v>1.27</v>
      </c>
      <c r="K279" s="90">
        <f>W279*1.04</f>
        <v>3733.6</v>
      </c>
      <c r="L279" s="70">
        <f>IF(K279&lt;=1000,(ROUNDUP(K279,-1)-1),(ROUNDUP(K279,-2)-10))</f>
        <v>3790</v>
      </c>
      <c r="M279" s="80">
        <f>VLOOKUP($A279,'Выгр Кат'!$A:$R,M$1,0)</f>
        <v>2500</v>
      </c>
      <c r="N279" s="80">
        <f>VLOOKUP($A279,'Выгр Кат'!$A:$R,N$1,0)</f>
        <v>3790</v>
      </c>
      <c r="O279" s="28">
        <f>M279-I279</f>
        <v>0</v>
      </c>
      <c r="P279" s="28">
        <f>N279-L279</f>
        <v>0</v>
      </c>
      <c r="Q279" s="36">
        <f>IFERROR(L279*(1-$Q$2),"")</f>
        <v>3524.7</v>
      </c>
      <c r="R279" s="38">
        <f>IFERROR(VLOOKUP($A279,'Из Гугла'!$B:$G,6,0)*S279,VLOOKUP($A279,'Из Гугла'!$B:$G,6,0))</f>
        <v>3590</v>
      </c>
      <c r="S279" s="14">
        <v>1</v>
      </c>
      <c r="T279" s="83">
        <f>IFERROR(Q279/I279-1,"")</f>
        <v>0.40988000000000002</v>
      </c>
      <c r="U279" s="83">
        <f>IFERROR((W279-Q279)/W279,"")</f>
        <v>1.8189415041782779E-2</v>
      </c>
      <c r="V279" s="83">
        <f>IFERROR(IF(W279="","",W279/I279-1),"")</f>
        <v>0.43599999999999994</v>
      </c>
      <c r="W279" s="93">
        <v>3590</v>
      </c>
      <c r="X279" s="71" t="s">
        <v>758</v>
      </c>
    </row>
    <row r="280" spans="1:24" ht="60" x14ac:dyDescent="0.25">
      <c r="A280" s="80">
        <v>213661</v>
      </c>
      <c r="B280" s="80">
        <f>VLOOKUP($A280,'Выгр Кат'!$A:$R,B$1,0)</f>
        <v>31832</v>
      </c>
      <c r="C280" s="81" t="str">
        <f>VLOOKUP($A280,'Выгр Кат'!$A:$R,C$1,0)</f>
        <v>Светодиодные лампы с линзой Y6D (120W, 6500K, цоколь H4) для ВАЗ (2101-2107, 2108-21099, 2113, 2114), Лада (Нива 4x4, Гранта, Ларгус)</v>
      </c>
      <c r="D280" s="80" t="str">
        <f>VLOOKUP($A280,'Выгр Кат'!$A:$R,D$1,0)</f>
        <v>Y</v>
      </c>
      <c r="E280" s="80" t="str">
        <f>VLOOKUP($A280,'Выгр Кат'!$A:$R,E$1,0)</f>
        <v>1</v>
      </c>
      <c r="F280" s="80">
        <f>VLOOKUP($A280,'Выгр Кат'!$A:$R,F$1,0)</f>
        <v>0</v>
      </c>
      <c r="G280" s="80" t="str">
        <f>VLOOKUP($A280,'Выгр Кат'!$A:$R,G$1,0)</f>
        <v>https://motorring.ru/product/32387-svetodiodnye-lampy-6000k-linzoy</v>
      </c>
      <c r="H280" s="67" t="s">
        <v>3</v>
      </c>
      <c r="I280" s="82">
        <v>2500</v>
      </c>
      <c r="J280" s="5">
        <f>VLOOKUP(I280,Наценка!$A$1:$G$8,2,1)</f>
        <v>1.27</v>
      </c>
      <c r="K280" s="34">
        <f>I280*J280</f>
        <v>3175</v>
      </c>
      <c r="L280" s="70">
        <f>IF(K280&lt;=1000,(ROUNDUP(K280,-1)-1),(ROUNDUP(K280,-2)-10))</f>
        <v>3190</v>
      </c>
      <c r="M280" s="80">
        <f>VLOOKUP($A280,'Выгр Кат'!$A:$R,M$1,0)</f>
        <v>2500</v>
      </c>
      <c r="N280" s="80">
        <f>VLOOKUP($A280,'Выгр Кат'!$A:$R,N$1,0)</f>
        <v>3290</v>
      </c>
      <c r="O280" s="28">
        <f>M280-I280</f>
        <v>0</v>
      </c>
      <c r="P280" s="28">
        <f>N280-L280</f>
        <v>100</v>
      </c>
      <c r="Q280" s="36">
        <f>IFERROR(L280*(1-$Q$2),"")</f>
        <v>2966.7</v>
      </c>
      <c r="R280" s="38">
        <f>IFERROR(VLOOKUP($A280,'Из Гугла'!$B:$G,6,0)*S280,VLOOKUP($A280,'Из Гугла'!$B:$G,6,0))</f>
        <v>2590</v>
      </c>
      <c r="S280" s="14">
        <v>1</v>
      </c>
      <c r="T280" s="83">
        <f>IFERROR(Q280/I280-1,"")</f>
        <v>0.18667999999999996</v>
      </c>
      <c r="U280" s="83">
        <f>IFERROR((W280-Q280)/W280,"")</f>
        <v>-0.14544401544401536</v>
      </c>
      <c r="V280" s="83">
        <f>IFERROR(IF(W280="","",W280/I280-1),"")</f>
        <v>3.6000000000000032E-2</v>
      </c>
      <c r="W280" s="84">
        <v>2590</v>
      </c>
      <c r="X280" s="71" t="s">
        <v>1362</v>
      </c>
    </row>
    <row r="281" spans="1:24" ht="90" x14ac:dyDescent="0.25">
      <c r="A281" s="80">
        <v>211432</v>
      </c>
      <c r="B281" s="80">
        <f>VLOOKUP($A281,'Выгр Кат'!$A:$R,B$1,0)</f>
        <v>23777</v>
      </c>
      <c r="C281" s="81" t="str">
        <f>VLOOKUP($A281,'Выгр Кат'!$A:$R,C$1,0)</f>
        <v>Руль "PLASTWOOD URBAN" в стиле Muscle Car (с металлическим каркасом прорезь) для ВАЗ (2101-2107, 2108-21099, 2113-2115), Лада (Калина, Приора, Нива 4x4), Шевроле Нива (до 2006 г. в.)</v>
      </c>
      <c r="D281" s="80" t="str">
        <f>VLOOKUP($A281,'Выгр Кат'!$A:$R,D$1,0)</f>
        <v>Y</v>
      </c>
      <c r="E281" s="80" t="str">
        <f>VLOOKUP($A281,'Выгр Кат'!$A:$R,E$1,0)</f>
        <v>1</v>
      </c>
      <c r="F281" s="80">
        <f>VLOOKUP($A281,'Выгр Кат'!$A:$R,F$1,0)</f>
        <v>0</v>
      </c>
      <c r="G281" s="80">
        <f>VLOOKUP($A281,'Выгр Кат'!$A:$R,G$1,0)</f>
        <v>0</v>
      </c>
      <c r="H281" s="67" t="s">
        <v>3</v>
      </c>
      <c r="I281" s="82">
        <v>2500</v>
      </c>
      <c r="J281" s="5">
        <f>VLOOKUP(I281,Наценка!$A$1:$G$8,2,1)</f>
        <v>1.27</v>
      </c>
      <c r="K281" s="34">
        <f>I281*J281</f>
        <v>3175</v>
      </c>
      <c r="L281" s="70">
        <f>IF(K281&lt;=1000,(ROUNDUP(K281,-1)-1),(ROUNDUP(K281,-2)-10))</f>
        <v>3190</v>
      </c>
      <c r="M281" s="80">
        <f>VLOOKUP($A281,'Выгр Кат'!$A:$R,M$1,0)</f>
        <v>2500</v>
      </c>
      <c r="N281" s="80">
        <f>VLOOKUP($A281,'Выгр Кат'!$A:$R,N$1,0)</f>
        <v>3290</v>
      </c>
      <c r="O281" s="28">
        <f>M281-I281</f>
        <v>0</v>
      </c>
      <c r="P281" s="28">
        <f>N281-L281</f>
        <v>100</v>
      </c>
      <c r="Q281" s="36">
        <f>IFERROR(L281*(1-$Q$2),"")</f>
        <v>2966.7</v>
      </c>
      <c r="R281" s="38" t="str">
        <f>IFERROR(VLOOKUP($A281,'Из Гугла'!$B:$G,6,0)*S281,VLOOKUP($A281,'Из Гугла'!$B:$G,6,0))</f>
        <v/>
      </c>
      <c r="S281" s="14">
        <v>1</v>
      </c>
      <c r="T281" s="83">
        <f>IFERROR(Q281/I281-1,"")</f>
        <v>0.18667999999999996</v>
      </c>
      <c r="U281" s="83" t="str">
        <f>IFERROR((W281-Q281)/W281,"")</f>
        <v/>
      </c>
      <c r="V281" s="83" t="str">
        <f>IFERROR(IF(W281="","",W281/I281-1),"")</f>
        <v/>
      </c>
      <c r="W281" s="84" t="s">
        <v>1269</v>
      </c>
    </row>
    <row r="282" spans="1:24" ht="60.75" thickBot="1" x14ac:dyDescent="0.3">
      <c r="A282" s="80">
        <v>223714</v>
      </c>
      <c r="B282" s="80">
        <f>VLOOKUP($A282,'Выгр Кат'!$A:$R,B$1,0)</f>
        <v>11438</v>
      </c>
      <c r="C282" s="81" t="str">
        <f>VLOOKUP($A282,'Выгр Кат'!$A:$R,C$1,0)</f>
        <v>Установочный комплект "Vizant" биксеноновых линз с ангельскими глазками в передние фары, универсальные</v>
      </c>
      <c r="D282" s="80" t="str">
        <f>VLOOKUP($A282,'Выгр Кат'!$A:$R,D$1,0)</f>
        <v>Y</v>
      </c>
      <c r="E282" s="80" t="str">
        <f>VLOOKUP($A282,'Выгр Кат'!$A:$R,E$1,0)</f>
        <v>1</v>
      </c>
      <c r="F282" s="80">
        <f>VLOOKUP($A282,'Выгр Кат'!$A:$R,F$1,0)</f>
        <v>0</v>
      </c>
      <c r="G282" s="80">
        <f>VLOOKUP($A282,'Выгр Кат'!$A:$R,G$1,0)</f>
        <v>0</v>
      </c>
      <c r="H282" s="67" t="s">
        <v>3</v>
      </c>
      <c r="I282" s="82">
        <v>2600</v>
      </c>
      <c r="J282" s="5">
        <f>VLOOKUP(I282,Наценка!$A$1:$G$8,2,1)</f>
        <v>1.27</v>
      </c>
      <c r="K282" s="88">
        <f>I282*J282</f>
        <v>3302</v>
      </c>
      <c r="L282" s="70">
        <f>IF(K282&lt;=1000,(ROUNDUP(K282,-1)-1),(ROUNDUP(K282,-2)-10))</f>
        <v>3390</v>
      </c>
      <c r="M282" s="80">
        <f>VLOOKUP($A282,'Выгр Кат'!$A:$R,M$1,0)</f>
        <v>2600</v>
      </c>
      <c r="N282" s="80">
        <f>VLOOKUP($A282,'Выгр Кат'!$A:$R,N$1,0)</f>
        <v>3390</v>
      </c>
      <c r="O282" s="28">
        <f>M282-I282</f>
        <v>0</v>
      </c>
      <c r="P282" s="28">
        <f>N282-L282</f>
        <v>0</v>
      </c>
      <c r="Q282" s="36">
        <f>IFERROR(L282*(1-$Q$2),"")</f>
        <v>3152.7</v>
      </c>
      <c r="R282" s="38" t="str">
        <f>IFERROR(VLOOKUP($A282,'Из Гугла'!$B:$G,6,0)*S282,VLOOKUP($A282,'Из Гугла'!$B:$G,6,0))</f>
        <v/>
      </c>
      <c r="S282" s="14">
        <v>1</v>
      </c>
      <c r="T282" s="83">
        <f>IFERROR(Q282/I282-1,"")</f>
        <v>0.212576923076923</v>
      </c>
      <c r="U282" s="83" t="str">
        <f>IFERROR((W282-Q282)/W282,"")</f>
        <v/>
      </c>
      <c r="V282" s="83" t="str">
        <f>IFERROR(IF(W282="","",W282/I282-1),"")</f>
        <v/>
      </c>
      <c r="W282" s="94" t="s">
        <v>1269</v>
      </c>
    </row>
    <row r="283" spans="1:24" ht="45.75" thickTop="1" x14ac:dyDescent="0.25">
      <c r="A283" s="80">
        <v>213655</v>
      </c>
      <c r="B283" s="80">
        <f>VLOOKUP($A283,'Выгр Кат'!$A:$R,B$1,0)</f>
        <v>36901</v>
      </c>
      <c r="C283" s="81" t="str">
        <f>VLOOKUP($A283,'Выгр Кат'!$A:$R,C$1,0)</f>
        <v>Светодиодные лампы Y10 LED H4 для ВАЗ (2101-2107, 2108-21099, 2113, 2114), Лада (Нива 4x4, Гранта, Ларгус)</v>
      </c>
      <c r="D283" s="80" t="str">
        <f>VLOOKUP($A283,'Выгр Кат'!$A:$R,D$1,0)</f>
        <v>Y</v>
      </c>
      <c r="E283" s="80" t="str">
        <f>VLOOKUP($A283,'Выгр Кат'!$A:$R,E$1,0)</f>
        <v>1</v>
      </c>
      <c r="F283" s="80">
        <f>VLOOKUP($A283,'Выгр Кат'!$A:$R,F$1,0)</f>
        <v>0</v>
      </c>
      <c r="G283" s="80">
        <f>VLOOKUP($A283,'Выгр Кат'!$A:$R,G$1,0)</f>
        <v>0</v>
      </c>
      <c r="H283" s="67" t="s">
        <v>3</v>
      </c>
      <c r="I283" s="82">
        <v>2600</v>
      </c>
      <c r="J283" s="5">
        <f>VLOOKUP(I283,Наценка!$A$1:$G$8,2,1)</f>
        <v>1.27</v>
      </c>
      <c r="K283" s="34">
        <f>I283*J283</f>
        <v>3302</v>
      </c>
      <c r="L283" s="70">
        <f>IF(K283&lt;=1000,(ROUNDUP(K283,-1)-1),(ROUNDUP(K283,-2)-10))</f>
        <v>3390</v>
      </c>
      <c r="M283" s="80">
        <f>VLOOKUP($A283,'Выгр Кат'!$A:$R,M$1,0)</f>
        <v>2600</v>
      </c>
      <c r="N283" s="80">
        <f>VLOOKUP($A283,'Выгр Кат'!$A:$R,N$1,0)</f>
        <v>3390</v>
      </c>
      <c r="O283" s="28">
        <f>M283-I283</f>
        <v>0</v>
      </c>
      <c r="P283" s="28">
        <f>N283-L283</f>
        <v>0</v>
      </c>
      <c r="Q283" s="36">
        <f>IFERROR(L283*(1-$Q$2),"")</f>
        <v>3152.7</v>
      </c>
      <c r="R283" s="38" t="str">
        <f>IFERROR(VLOOKUP($A283,'Из Гугла'!$B:$G,6,0)*S283,VLOOKUP($A283,'Из Гугла'!$B:$G,6,0))</f>
        <v/>
      </c>
      <c r="S283" s="14">
        <v>1</v>
      </c>
      <c r="T283" s="83">
        <f>IFERROR(Q283/I283-1,"")</f>
        <v>0.212576923076923</v>
      </c>
      <c r="U283" s="83" t="str">
        <f>IFERROR((W283-Q283)/W283,"")</f>
        <v/>
      </c>
      <c r="V283" s="83" t="str">
        <f>IFERROR(IF(W283="","",W283/I283-1),"")</f>
        <v/>
      </c>
      <c r="W283" s="84" t="s">
        <v>1269</v>
      </c>
    </row>
    <row r="284" spans="1:24" ht="30" x14ac:dyDescent="0.25">
      <c r="A284" s="80">
        <v>145474</v>
      </c>
      <c r="B284" s="80">
        <f>VLOOKUP($A284,'Выгр Кат'!$A:$R,B$1,0)</f>
        <v>17113</v>
      </c>
      <c r="C284" s="81" t="str">
        <f>VLOOKUP($A284,'Выгр Кат'!$A:$R,C$1,0)</f>
        <v>Задние светодиодные фонари "Range Rover" красные для Лада Нива 4x4</v>
      </c>
      <c r="D284" s="80" t="str">
        <f>VLOOKUP($A284,'Выгр Кат'!$A:$R,D$1,0)</f>
        <v>Y</v>
      </c>
      <c r="E284" s="80" t="str">
        <f>VLOOKUP($A284,'Выгр Кат'!$A:$R,E$1,0)</f>
        <v>1ск1</v>
      </c>
      <c r="F284" s="80">
        <f>VLOOKUP($A284,'Выгр Кат'!$A:$R,F$1,0)</f>
        <v>0</v>
      </c>
      <c r="G284" s="80" t="str">
        <f>VLOOKUP($A284,'Выгр Кат'!$A:$R,G$1,0)</f>
        <v>https://motorring.ru/product/13366-diodnye-zadnie-fonari-red-led-krasnye-begayuschim</v>
      </c>
      <c r="H284" s="67" t="s">
        <v>3</v>
      </c>
      <c r="I284" s="82">
        <v>2600</v>
      </c>
      <c r="J284" s="5">
        <f>VLOOKUP(I284,Наценка!$A$1:$G$8,2,1)</f>
        <v>1.27</v>
      </c>
      <c r="K284" s="87">
        <f>W284*1.06</f>
        <v>3593.4</v>
      </c>
      <c r="L284" s="70">
        <f>IF(K284&lt;=1000,(ROUNDUP(K284,-1)-1),(ROUNDUP(K284,-2)-10))</f>
        <v>3590</v>
      </c>
      <c r="M284" s="80">
        <f>VLOOKUP($A284,'Выгр Кат'!$A:$R,M$1,0)</f>
        <v>2600</v>
      </c>
      <c r="N284" s="80">
        <f>VLOOKUP($A284,'Выгр Кат'!$A:$R,N$1,0)</f>
        <v>3590</v>
      </c>
      <c r="O284" s="28">
        <f>M284-I284</f>
        <v>0</v>
      </c>
      <c r="P284" s="28">
        <f>N284-L284</f>
        <v>0</v>
      </c>
      <c r="Q284" s="36">
        <f>IFERROR(L284*(1-$Q$2),"")</f>
        <v>3338.7</v>
      </c>
      <c r="R284" s="38">
        <f>IFERROR(VLOOKUP($A284,'Из Гугла'!$B:$G,6,0)*S284,VLOOKUP($A284,'Из Гугла'!$B:$G,6,0))</f>
        <v>3390</v>
      </c>
      <c r="S284" s="14">
        <v>1</v>
      </c>
      <c r="T284" s="83">
        <f>IFERROR(Q284/I284-1,"")</f>
        <v>0.28411538461538455</v>
      </c>
      <c r="U284" s="83">
        <f>IFERROR((W284-Q284)/W284,"")</f>
        <v>1.5132743362831913E-2</v>
      </c>
      <c r="V284" s="83">
        <f>IFERROR(IF(W284="","",W284/I284-1),"")</f>
        <v>0.30384615384615388</v>
      </c>
      <c r="W284" s="93">
        <v>3390</v>
      </c>
      <c r="X284" s="71" t="s">
        <v>877</v>
      </c>
    </row>
    <row r="285" spans="1:24" ht="45.75" thickBot="1" x14ac:dyDescent="0.3">
      <c r="A285" s="80">
        <v>145491</v>
      </c>
      <c r="B285" s="80">
        <f>VLOOKUP($A285,'Выгр Кат'!$A:$R,B$1,0)</f>
        <v>17114</v>
      </c>
      <c r="C285" s="81" t="str">
        <f>VLOOKUP($A285,'Выгр Кат'!$A:$R,C$1,0)</f>
        <v>Задние светодиодные фонари тонированные "Range Rover" для Лада Нива 4x4</v>
      </c>
      <c r="D285" s="80" t="str">
        <f>VLOOKUP($A285,'Выгр Кат'!$A:$R,D$1,0)</f>
        <v>Y</v>
      </c>
      <c r="E285" s="80" t="str">
        <f>VLOOKUP($A285,'Выгр Кат'!$A:$R,E$1,0)</f>
        <v>1</v>
      </c>
      <c r="F285" s="80" t="str">
        <f>VLOOKUP($A285,'Выгр Кат'!$A:$R,F$1,0)</f>
        <v>351G</v>
      </c>
      <c r="G285" s="80" t="str">
        <f>VLOOKUP($A285,'Выгр Кат'!$A:$R,G$1,0)</f>
        <v>https://motorring.ru/product/2444-diodnye-zadnie-fonari-grey-led-chernye-begayuschim</v>
      </c>
      <c r="H285" s="67" t="s">
        <v>3</v>
      </c>
      <c r="I285" s="82">
        <v>2600</v>
      </c>
      <c r="J285" s="5">
        <f>VLOOKUP(I285,Наценка!$A$1:$G$8,2,1)</f>
        <v>1.27</v>
      </c>
      <c r="K285" s="56">
        <f>W285*1.06</f>
        <v>3593.4</v>
      </c>
      <c r="L285" s="70">
        <f>IF(K285&lt;=1000,(ROUNDUP(K285,-1)-1),(ROUNDUP(K285,-2)-10))</f>
        <v>3590</v>
      </c>
      <c r="M285" s="80">
        <f>VLOOKUP($A285,'Выгр Кат'!$A:$R,M$1,0)</f>
        <v>2600</v>
      </c>
      <c r="N285" s="80">
        <f>VLOOKUP($A285,'Выгр Кат'!$A:$R,N$1,0)</f>
        <v>3590</v>
      </c>
      <c r="O285" s="28">
        <f>M285-I285</f>
        <v>0</v>
      </c>
      <c r="P285" s="28">
        <f>N285-L285</f>
        <v>0</v>
      </c>
      <c r="Q285" s="36">
        <f>IFERROR(L285*(1-$Q$2),"")</f>
        <v>3338.7</v>
      </c>
      <c r="R285" s="38">
        <f>IFERROR(VLOOKUP($A285,'Из Гугла'!$B:$G,6,0)*S285,VLOOKUP($A285,'Из Гугла'!$B:$G,6,0))</f>
        <v>3390</v>
      </c>
      <c r="S285" s="14">
        <v>1</v>
      </c>
      <c r="T285" s="83">
        <f>IFERROR(Q285/I285-1,"")</f>
        <v>0.28411538461538455</v>
      </c>
      <c r="U285" s="83">
        <f>IFERROR((W285-Q285)/W285,"")</f>
        <v>1.5132743362831913E-2</v>
      </c>
      <c r="V285" s="83">
        <f>IFERROR(IF(W285="","",W285/I285-1),"")</f>
        <v>0.30384615384615388</v>
      </c>
      <c r="W285" s="95">
        <v>3390</v>
      </c>
      <c r="X285" s="71" t="s">
        <v>878</v>
      </c>
    </row>
    <row r="286" spans="1:24" ht="61.5" thickTop="1" thickBot="1" x14ac:dyDescent="0.3">
      <c r="A286" s="80">
        <v>145476</v>
      </c>
      <c r="B286" s="80">
        <f>VLOOKUP($A286,'Выгр Кат'!$A:$R,B$1,0)</f>
        <v>23764</v>
      </c>
      <c r="C286" s="81" t="str">
        <f>VLOOKUP($A286,'Выгр Кат'!$A:$R,C$1,0)</f>
        <v>Задние светодиодные фонари "Полосы" (чёрные, с бегающим повторителем) для Лада Нива 4x4, Нива 4x4 Урбан</v>
      </c>
      <c r="D286" s="80" t="str">
        <f>VLOOKUP($A286,'Выгр Кат'!$A:$R,D$1,0)</f>
        <v>Y</v>
      </c>
      <c r="E286" s="80" t="str">
        <f>VLOOKUP($A286,'Выгр Кат'!$A:$R,E$1,0)</f>
        <v>1</v>
      </c>
      <c r="F286" s="80" t="str">
        <f>VLOOKUP($A286,'Выгр Кат'!$A:$R,F$1,0)</f>
        <v>351A G</v>
      </c>
      <c r="G286" s="80" t="str">
        <f>VLOOKUP($A286,'Выгр Кат'!$A:$R,G$1,0)</f>
        <v>https://motorring.ru/product/25915-zadnie-chernye-svetodiodnye-fonari-polosy-begayuschim</v>
      </c>
      <c r="H286" s="67" t="s">
        <v>3</v>
      </c>
      <c r="I286" s="82">
        <v>2600</v>
      </c>
      <c r="J286" s="5">
        <f>VLOOKUP(I286,Наценка!$A$1:$G$8,2,1)</f>
        <v>1.27</v>
      </c>
      <c r="K286" s="56">
        <f>W286*1.06</f>
        <v>4971.4000000000005</v>
      </c>
      <c r="L286" s="70">
        <f>IF(K286&lt;=1000,(ROUNDUP(K286,-1)-1),(ROUNDUP(K286,-2)-10))</f>
        <v>4990</v>
      </c>
      <c r="M286" s="80">
        <f>VLOOKUP($A286,'Выгр Кат'!$A:$R,M$1,0)</f>
        <v>2600</v>
      </c>
      <c r="N286" s="80">
        <f>VLOOKUP($A286,'Выгр Кат'!$A:$R,N$1,0)</f>
        <v>4990</v>
      </c>
      <c r="O286" s="28">
        <f>M286-I286</f>
        <v>0</v>
      </c>
      <c r="P286" s="28">
        <f>N286-L286</f>
        <v>0</v>
      </c>
      <c r="Q286" s="36">
        <f>IFERROR(L286*(1-$Q$2),"")</f>
        <v>4640.7</v>
      </c>
      <c r="R286" s="38">
        <f>IFERROR(VLOOKUP($A286,'Из Гугла'!$B:$G,6,0)*S286,VLOOKUP($A286,'Из Гугла'!$B:$G,6,0))</f>
        <v>4690</v>
      </c>
      <c r="S286" s="14">
        <v>1</v>
      </c>
      <c r="T286" s="83">
        <f>IFERROR(Q286/I286-1,"")</f>
        <v>0.7848846153846154</v>
      </c>
      <c r="U286" s="83">
        <f>IFERROR((W286-Q286)/W286,"")</f>
        <v>1.0511727078891296E-2</v>
      </c>
      <c r="V286" s="83">
        <f>IFERROR(IF(W286="","",W286/I286-1),"")</f>
        <v>0.80384615384615388</v>
      </c>
      <c r="W286" s="95">
        <v>4690</v>
      </c>
      <c r="X286" s="71" t="s">
        <v>742</v>
      </c>
    </row>
    <row r="287" spans="1:24" ht="45.75" thickTop="1" x14ac:dyDescent="0.25">
      <c r="A287" s="80">
        <v>145493</v>
      </c>
      <c r="B287" s="80">
        <f>VLOOKUP($A287,'Выгр Кат'!$A:$R,B$1,0)</f>
        <v>35596</v>
      </c>
      <c r="C287" s="81" t="str">
        <f>VLOOKUP($A287,'Выгр Кат'!$A:$R,C$1,0)</f>
        <v>Задние светодиодные фонари тонированные в стиле Range Rover v2 для Лада Нива 4x4, Нива 4х4 Урбан</v>
      </c>
      <c r="D287" s="80" t="str">
        <f>VLOOKUP($A287,'Выгр Кат'!$A:$R,D$1,0)</f>
        <v>Y</v>
      </c>
      <c r="E287" s="80" t="str">
        <f>VLOOKUP($A287,'Выгр Кат'!$A:$R,E$1,0)</f>
        <v>1</v>
      </c>
      <c r="F287" s="80">
        <f>VLOOKUP($A287,'Выгр Кат'!$A:$R,F$1,0)</f>
        <v>0</v>
      </c>
      <c r="G287" s="80" t="str">
        <f>VLOOKUP($A287,'Выгр Кат'!$A:$R,G$1,0)</f>
        <v>https://motorring.ru/product/34249-zadnie-svetodiodnye-fonari-tonirovannye-stile-range-rover-niva</v>
      </c>
      <c r="H287" s="67" t="s">
        <v>3</v>
      </c>
      <c r="I287" s="82">
        <v>2600</v>
      </c>
      <c r="J287" s="5">
        <f>VLOOKUP(I287,Наценка!$A$1:$G$8,2,1)</f>
        <v>1.27</v>
      </c>
      <c r="K287" s="87">
        <f>W287*1.06</f>
        <v>3699.4</v>
      </c>
      <c r="L287" s="70">
        <f>IF(K287&lt;=1000,(ROUNDUP(K287,-1)-1),(ROUNDUP(K287,-2)-10))</f>
        <v>3690</v>
      </c>
      <c r="M287" s="80">
        <f>VLOOKUP($A287,'Выгр Кат'!$A:$R,M$1,0)</f>
        <v>2600</v>
      </c>
      <c r="N287" s="80">
        <f>VLOOKUP($A287,'Выгр Кат'!$A:$R,N$1,0)</f>
        <v>3690</v>
      </c>
      <c r="O287" s="28">
        <f>M287-I287</f>
        <v>0</v>
      </c>
      <c r="P287" s="28">
        <f>N287-L287</f>
        <v>0</v>
      </c>
      <c r="Q287" s="36">
        <f>IFERROR(L287*(1-$Q$2),"")</f>
        <v>3431.7</v>
      </c>
      <c r="R287" s="38">
        <f>IFERROR(VLOOKUP($A287,'Из Гугла'!$B:$G,6,0)*S287,VLOOKUP($A287,'Из Гугла'!$B:$G,6,0))</f>
        <v>3490</v>
      </c>
      <c r="S287" s="14">
        <v>1</v>
      </c>
      <c r="T287" s="83">
        <f>IFERROR(Q287/I287-1,"")</f>
        <v>0.31988461538461532</v>
      </c>
      <c r="U287" s="83">
        <f>IFERROR((W287-Q287)/W287,"")</f>
        <v>1.6704871060171971E-2</v>
      </c>
      <c r="V287" s="83">
        <f>IFERROR(IF(W287="","",W287/I287-1),"")</f>
        <v>0.3423076923076922</v>
      </c>
      <c r="W287" s="93">
        <v>3490</v>
      </c>
      <c r="X287" s="71" t="s">
        <v>745</v>
      </c>
    </row>
    <row r="288" spans="1:24" ht="30.75" thickTop="1" x14ac:dyDescent="0.25">
      <c r="A288" s="80">
        <v>223838</v>
      </c>
      <c r="B288" s="80">
        <f>VLOOKUP($A288,'Выгр Кат'!$A:$R,B$1,0)</f>
        <v>32342</v>
      </c>
      <c r="C288" s="81" t="str">
        <f>VLOOKUP($A288,'Выгр Кат'!$A:$R,C$1,0)</f>
        <v>Фара левая, аналог для Лада Калина 2</v>
      </c>
      <c r="D288" s="80" t="str">
        <f>VLOOKUP($A288,'Выгр Кат'!$A:$R,D$1,0)</f>
        <v>Y</v>
      </c>
      <c r="E288" s="80" t="str">
        <f>VLOOKUP($A288,'Выгр Кат'!$A:$R,E$1,0)</f>
        <v>1</v>
      </c>
      <c r="F288" s="80">
        <f>VLOOKUP($A288,'Выгр Кат'!$A:$R,F$1,0)</f>
        <v>0</v>
      </c>
      <c r="G288" s="80" t="str">
        <f>VLOOKUP($A288,'Выгр Кат'!$A:$R,G$1,0)</f>
        <v>https://motorring.ru/product/148-blok-fara-levaya-analog-lada-kalina</v>
      </c>
      <c r="H288" s="67" t="s">
        <v>3</v>
      </c>
      <c r="I288" s="82">
        <v>2650</v>
      </c>
      <c r="J288" s="5">
        <f>VLOOKUP(I288,Наценка!$A$1:$G$8,2,1)</f>
        <v>1.27</v>
      </c>
      <c r="K288" s="90">
        <f>W288*1.04</f>
        <v>3941.6</v>
      </c>
      <c r="L288" s="70">
        <f>IF(K288&lt;=1000,(ROUNDUP(K288,-1)-1),(ROUNDUP(K288,-2)-10))</f>
        <v>3990</v>
      </c>
      <c r="M288" s="80">
        <f>VLOOKUP($A288,'Выгр Кат'!$A:$R,M$1,0)</f>
        <v>2650</v>
      </c>
      <c r="N288" s="80">
        <f>VLOOKUP($A288,'Выгр Кат'!$A:$R,N$1,0)</f>
        <v>3990</v>
      </c>
      <c r="O288" s="28">
        <f>M288-I288</f>
        <v>0</v>
      </c>
      <c r="P288" s="28">
        <f>N288-L288</f>
        <v>0</v>
      </c>
      <c r="Q288" s="36">
        <f>IFERROR(L288*(1-$Q$2),"")</f>
        <v>3710.7</v>
      </c>
      <c r="R288" s="38">
        <f>IFERROR(VLOOKUP($A288,'Из Гугла'!$B:$G,6,0)*S288,VLOOKUP($A288,'Из Гугла'!$B:$G,6,0))</f>
        <v>3790</v>
      </c>
      <c r="S288" s="14">
        <v>1</v>
      </c>
      <c r="T288" s="83">
        <f>IFERROR(Q288/I288-1,"")</f>
        <v>0.40026415094339618</v>
      </c>
      <c r="U288" s="83">
        <f>IFERROR((W288-Q288)/W288,"")</f>
        <v>2.0923482849604269E-2</v>
      </c>
      <c r="V288" s="83">
        <f>IFERROR(IF(W288="","",W288/I288-1),"")</f>
        <v>0.43018867924528292</v>
      </c>
      <c r="W288" s="93">
        <v>3790</v>
      </c>
      <c r="X288" s="71" t="s">
        <v>894</v>
      </c>
    </row>
    <row r="289" spans="1:24" ht="30" x14ac:dyDescent="0.25">
      <c r="A289" s="80">
        <v>223861</v>
      </c>
      <c r="B289" s="80">
        <f>VLOOKUP($A289,'Выгр Кат'!$A:$R,B$1,0)</f>
        <v>32344</v>
      </c>
      <c r="C289" s="81" t="str">
        <f>VLOOKUP($A289,'Выгр Кат'!$A:$R,C$1,0)</f>
        <v>Фара правая, аналог для Лада Калина 2</v>
      </c>
      <c r="D289" s="80" t="str">
        <f>VLOOKUP($A289,'Выгр Кат'!$A:$R,D$1,0)</f>
        <v>Y</v>
      </c>
      <c r="E289" s="80" t="str">
        <f>VLOOKUP($A289,'Выгр Кат'!$A:$R,E$1,0)</f>
        <v>1</v>
      </c>
      <c r="F289" s="80">
        <f>VLOOKUP($A289,'Выгр Кат'!$A:$R,F$1,0)</f>
        <v>0</v>
      </c>
      <c r="G289" s="80" t="str">
        <f>VLOOKUP($A289,'Выгр Кат'!$A:$R,G$1,0)</f>
        <v>https://motorring.ru/product/746-blok-fara-pravaya-analog-lada-kalina</v>
      </c>
      <c r="H289" s="67" t="s">
        <v>3</v>
      </c>
      <c r="I289" s="82">
        <v>2650</v>
      </c>
      <c r="J289" s="5">
        <f>VLOOKUP(I289,Наценка!$A$1:$G$8,2,1)</f>
        <v>1.27</v>
      </c>
      <c r="K289" s="90">
        <f>W289*1.04</f>
        <v>3941.6</v>
      </c>
      <c r="L289" s="70">
        <f>IF(K289&lt;=1000,(ROUNDUP(K289,-1)-1),(ROUNDUP(K289,-2)-10))</f>
        <v>3990</v>
      </c>
      <c r="M289" s="80">
        <f>VLOOKUP($A289,'Выгр Кат'!$A:$R,M$1,0)</f>
        <v>2650</v>
      </c>
      <c r="N289" s="80">
        <f>VLOOKUP($A289,'Выгр Кат'!$A:$R,N$1,0)</f>
        <v>3990</v>
      </c>
      <c r="O289" s="28">
        <f>M289-I289</f>
        <v>0</v>
      </c>
      <c r="P289" s="28">
        <f>N289-L289</f>
        <v>0</v>
      </c>
      <c r="Q289" s="36">
        <f>IFERROR(L289*(1-$Q$2),"")</f>
        <v>3710.7</v>
      </c>
      <c r="R289" s="38">
        <f>IFERROR(VLOOKUP($A289,'Из Гугла'!$B:$G,6,0)*S289,VLOOKUP($A289,'Из Гугла'!$B:$G,6,0))</f>
        <v>3790</v>
      </c>
      <c r="S289" s="14">
        <v>1</v>
      </c>
      <c r="T289" s="83">
        <f>IFERROR(Q289/I289-1,"")</f>
        <v>0.40026415094339618</v>
      </c>
      <c r="U289" s="83">
        <f>IFERROR((W289-Q289)/W289,"")</f>
        <v>2.0923482849604269E-2</v>
      </c>
      <c r="V289" s="83">
        <f>IFERROR(IF(W289="","",W289/I289-1),"")</f>
        <v>0.43018867924528292</v>
      </c>
      <c r="W289" s="93">
        <v>3790</v>
      </c>
      <c r="X289" s="71" t="s">
        <v>895</v>
      </c>
    </row>
    <row r="290" spans="1:24" ht="90.75" thickBot="1" x14ac:dyDescent="0.3">
      <c r="A290" s="80">
        <v>211428</v>
      </c>
      <c r="B290" s="80">
        <f>VLOOKUP($A290,'Выгр Кат'!$A:$R,B$1,0)</f>
        <v>23776</v>
      </c>
      <c r="C290" s="81" t="str">
        <f>VLOOKUP($A290,'Выгр Кат'!$A:$R,C$1,0)</f>
        <v>Руль "PLASTWOOD MOMO" в стиле Muscle Car (с металлическим каркасом прорезь) для ВАЗ (2101-2107, 2108-21099, 2113-2115), Лада (Калина, Приора, Нива 4x4), Шевроле Нива (до 2006 г. в.)</v>
      </c>
      <c r="D290" s="80" t="str">
        <f>VLOOKUP($A290,'Выгр Кат'!$A:$R,D$1,0)</f>
        <v>Y</v>
      </c>
      <c r="E290" s="80" t="str">
        <f>VLOOKUP($A290,'Выгр Кат'!$A:$R,E$1,0)</f>
        <v>1</v>
      </c>
      <c r="F290" s="80">
        <f>VLOOKUP($A290,'Выгр Кат'!$A:$R,F$1,0)</f>
        <v>0</v>
      </c>
      <c r="G290" s="80">
        <f>VLOOKUP($A290,'Выгр Кат'!$A:$R,G$1,0)</f>
        <v>0</v>
      </c>
      <c r="H290" s="67" t="s">
        <v>3</v>
      </c>
      <c r="I290" s="82">
        <v>2700</v>
      </c>
      <c r="J290" s="5">
        <f>VLOOKUP(I290,Наценка!$A$1:$G$8,2,1)</f>
        <v>1.27</v>
      </c>
      <c r="K290" s="88">
        <f>I290*J290</f>
        <v>3429</v>
      </c>
      <c r="L290" s="70">
        <f>IF(K290&lt;=1000,(ROUNDUP(K290,-1)-1),(ROUNDUP(K290,-2)-10))</f>
        <v>3490</v>
      </c>
      <c r="M290" s="80">
        <f>VLOOKUP($A290,'Выгр Кат'!$A:$R,M$1,0)</f>
        <v>2700</v>
      </c>
      <c r="N290" s="80">
        <f>VLOOKUP($A290,'Выгр Кат'!$A:$R,N$1,0)</f>
        <v>3490</v>
      </c>
      <c r="O290" s="28">
        <f>M290-I290</f>
        <v>0</v>
      </c>
      <c r="P290" s="28">
        <f>N290-L290</f>
        <v>0</v>
      </c>
      <c r="Q290" s="36">
        <f>IFERROR(L290*(1-$Q$2),"")</f>
        <v>3245.7</v>
      </c>
      <c r="R290" s="38" t="str">
        <f>IFERROR(VLOOKUP($A290,'Из Гугла'!$B:$G,6,0)*S290,VLOOKUP($A290,'Из Гугла'!$B:$G,6,0))</f>
        <v/>
      </c>
      <c r="S290" s="14">
        <v>1</v>
      </c>
      <c r="T290" s="83">
        <f>IFERROR(Q290/I290-1,"")</f>
        <v>0.20211111111111113</v>
      </c>
      <c r="U290" s="83" t="str">
        <f>IFERROR((W290-Q290)/W290,"")</f>
        <v/>
      </c>
      <c r="V290" s="83" t="str">
        <f>IFERROR(IF(W290="","",W290/I290-1),"")</f>
        <v/>
      </c>
      <c r="W290" s="94" t="s">
        <v>1269</v>
      </c>
    </row>
    <row r="291" spans="1:24" ht="91.5" thickTop="1" thickBot="1" x14ac:dyDescent="0.3">
      <c r="A291" s="80">
        <v>211427</v>
      </c>
      <c r="B291" s="80">
        <f>VLOOKUP($A291,'Выгр Кат'!$A:$R,B$1,0)</f>
        <v>23779</v>
      </c>
      <c r="C291" s="81" t="str">
        <f>VLOOKUP($A291,'Выгр Кат'!$A:$R,C$1,0)</f>
        <v>Руль "PLASTWOOD MOMO" в стиле Muscle Car (с металлическим каркасом и отверстиями) для ВАЗ (2101-2107, 2108-21099, 2113-2115), Лада (Калина, Приора, Нива 4x4), Шевроле Нива (до 2006 г. в.)</v>
      </c>
      <c r="D291" s="80" t="str">
        <f>VLOOKUP($A291,'Выгр Кат'!$A:$R,D$1,0)</f>
        <v>Y</v>
      </c>
      <c r="E291" s="80" t="str">
        <f>VLOOKUP($A291,'Выгр Кат'!$A:$R,E$1,0)</f>
        <v>1</v>
      </c>
      <c r="F291" s="80">
        <f>VLOOKUP($A291,'Выгр Кат'!$A:$R,F$1,0)</f>
        <v>0</v>
      </c>
      <c r="G291" s="80">
        <f>VLOOKUP($A291,'Выгр Кат'!$A:$R,G$1,0)</f>
        <v>0</v>
      </c>
      <c r="H291" s="67" t="s">
        <v>3</v>
      </c>
      <c r="I291" s="82">
        <v>2700</v>
      </c>
      <c r="J291" s="5">
        <f>VLOOKUP(I291,Наценка!$A$1:$G$8,2,1)</f>
        <v>1.27</v>
      </c>
      <c r="K291" s="88">
        <f>I291*J291</f>
        <v>3429</v>
      </c>
      <c r="L291" s="70">
        <f>IF(K291&lt;=1000,(ROUNDUP(K291,-1)-1),(ROUNDUP(K291,-2)-10))</f>
        <v>3490</v>
      </c>
      <c r="M291" s="80">
        <f>VLOOKUP($A291,'Выгр Кат'!$A:$R,M$1,0)</f>
        <v>2700</v>
      </c>
      <c r="N291" s="80">
        <f>VLOOKUP($A291,'Выгр Кат'!$A:$R,N$1,0)</f>
        <v>3490</v>
      </c>
      <c r="O291" s="28">
        <f>M291-I291</f>
        <v>0</v>
      </c>
      <c r="P291" s="28">
        <f>N291-L291</f>
        <v>0</v>
      </c>
      <c r="Q291" s="36">
        <f>IFERROR(L291*(1-$Q$2),"")</f>
        <v>3245.7</v>
      </c>
      <c r="R291" s="38" t="str">
        <f>IFERROR(VLOOKUP($A291,'Из Гугла'!$B:$G,6,0)*S291,VLOOKUP($A291,'Из Гугла'!$B:$G,6,0))</f>
        <v/>
      </c>
      <c r="S291" s="14">
        <v>1</v>
      </c>
      <c r="T291" s="83">
        <f>IFERROR(Q291/I291-1,"")</f>
        <v>0.20211111111111113</v>
      </c>
      <c r="U291" s="83" t="str">
        <f>IFERROR((W291-Q291)/W291,"")</f>
        <v/>
      </c>
      <c r="V291" s="83" t="str">
        <f>IFERROR(IF(W291="","",W291/I291-1),"")</f>
        <v/>
      </c>
      <c r="W291" s="94" t="s">
        <v>1269</v>
      </c>
    </row>
    <row r="292" spans="1:24" ht="90.75" thickTop="1" x14ac:dyDescent="0.25">
      <c r="A292" s="80">
        <v>211430</v>
      </c>
      <c r="B292" s="80">
        <f>VLOOKUP($A292,'Выгр Кат'!$A:$R,B$1,0)</f>
        <v>23780</v>
      </c>
      <c r="C292" s="81" t="str">
        <f>VLOOKUP($A292,'Выгр Кат'!$A:$R,C$1,0)</f>
        <v>Руль "PLASTWOOD NARDI" в стиле Muscle Car (с металлическим каркасом и отверстиями) для ВАЗ (2101-2107, 2108-21099, 2113-2115), Лада (Калина, Приора, Нива 4x4), Шевроле Нива (до 2006 г. в.)</v>
      </c>
      <c r="D292" s="80" t="str">
        <f>VLOOKUP($A292,'Выгр Кат'!$A:$R,D$1,0)</f>
        <v>Y</v>
      </c>
      <c r="E292" s="80" t="str">
        <f>VLOOKUP($A292,'Выгр Кат'!$A:$R,E$1,0)</f>
        <v>1</v>
      </c>
      <c r="F292" s="80">
        <f>VLOOKUP($A292,'Выгр Кат'!$A:$R,F$1,0)</f>
        <v>0</v>
      </c>
      <c r="G292" s="80" t="str">
        <f>VLOOKUP($A292,'Выгр Кат'!$A:$R,G$1,0)</f>
        <v>https://motorring.ru/product/35954-ruly-nardi-old-school-derevo-dlya-shervole-niva</v>
      </c>
      <c r="H292" s="67" t="s">
        <v>3</v>
      </c>
      <c r="I292" s="82">
        <v>2700</v>
      </c>
      <c r="J292" s="5">
        <f>VLOOKUP(I292,Наценка!$A$1:$G$8,2,1)</f>
        <v>1.27</v>
      </c>
      <c r="K292" s="90">
        <f>W292*1.04</f>
        <v>3733.6</v>
      </c>
      <c r="L292" s="70">
        <f>IF(K292&lt;=1000,(ROUNDUP(K292,-1)-1),(ROUNDUP(K292,-2)-10))</f>
        <v>3790</v>
      </c>
      <c r="M292" s="80">
        <f>VLOOKUP($A292,'Выгр Кат'!$A:$R,M$1,0)</f>
        <v>2700</v>
      </c>
      <c r="N292" s="80">
        <f>VLOOKUP($A292,'Выгр Кат'!$A:$R,N$1,0)</f>
        <v>3790</v>
      </c>
      <c r="O292" s="28">
        <f>M292-I292</f>
        <v>0</v>
      </c>
      <c r="P292" s="28">
        <f>N292-L292</f>
        <v>0</v>
      </c>
      <c r="Q292" s="36">
        <f>IFERROR(L292*(1-$Q$2),"")</f>
        <v>3524.7</v>
      </c>
      <c r="R292" s="38">
        <f>IFERROR(VLOOKUP($A292,'Из Гугла'!$B:$G,6,0)*S292,VLOOKUP($A292,'Из Гугла'!$B:$G,6,0))</f>
        <v>3590</v>
      </c>
      <c r="S292" s="14">
        <v>1</v>
      </c>
      <c r="T292" s="83">
        <f>IFERROR(Q292/I292-1,"")</f>
        <v>0.30544444444444441</v>
      </c>
      <c r="U292" s="83">
        <f>IFERROR((W292-Q292)/W292,"")</f>
        <v>1.8189415041782779E-2</v>
      </c>
      <c r="V292" s="83">
        <f>IFERROR(IF(W292="","",W292/I292-1),"")</f>
        <v>0.32962962962962972</v>
      </c>
      <c r="W292" s="93">
        <v>3590</v>
      </c>
      <c r="X292" s="71" t="s">
        <v>933</v>
      </c>
    </row>
    <row r="293" spans="1:24" ht="90" x14ac:dyDescent="0.25">
      <c r="A293" s="80">
        <v>211431</v>
      </c>
      <c r="B293" s="80">
        <f>VLOOKUP($A293,'Выгр Кат'!$A:$R,B$1,0)</f>
        <v>23781</v>
      </c>
      <c r="C293" s="81" t="str">
        <f>VLOOKUP($A293,'Выгр Кат'!$A:$R,C$1,0)</f>
        <v>Руль "PLASTWOOD URBAN" в стиле Muscle Car (с металлическим каркасом и отверстиями) для ВАЗ (2101-2107, 2108-21099, 2113-2115), Лада (Калина, Приора, Нива 4x4), Шевроле Нива (до 2006 г. в.)</v>
      </c>
      <c r="D293" s="80" t="str">
        <f>VLOOKUP($A293,'Выгр Кат'!$A:$R,D$1,0)</f>
        <v>Y</v>
      </c>
      <c r="E293" s="80" t="str">
        <f>VLOOKUP($A293,'Выгр Кат'!$A:$R,E$1,0)</f>
        <v>1</v>
      </c>
      <c r="F293" s="80">
        <f>VLOOKUP($A293,'Выгр Кат'!$A:$R,F$1,0)</f>
        <v>0</v>
      </c>
      <c r="G293" s="80">
        <f>VLOOKUP($A293,'Выгр Кат'!$A:$R,G$1,0)</f>
        <v>0</v>
      </c>
      <c r="H293" s="67" t="s">
        <v>3</v>
      </c>
      <c r="I293" s="82">
        <v>2700</v>
      </c>
      <c r="J293" s="5">
        <f>VLOOKUP(I293,Наценка!$A$1:$G$8,2,1)</f>
        <v>1.27</v>
      </c>
      <c r="K293" s="34">
        <f>I293*J293</f>
        <v>3429</v>
      </c>
      <c r="L293" s="70">
        <f>IF(K293&lt;=1000,(ROUNDUP(K293,-1)-1),(ROUNDUP(K293,-2)-10))</f>
        <v>3490</v>
      </c>
      <c r="M293" s="80">
        <f>VLOOKUP($A293,'Выгр Кат'!$A:$R,M$1,0)</f>
        <v>2700</v>
      </c>
      <c r="N293" s="80">
        <f>VLOOKUP($A293,'Выгр Кат'!$A:$R,N$1,0)</f>
        <v>3490</v>
      </c>
      <c r="O293" s="28">
        <f>M293-I293</f>
        <v>0</v>
      </c>
      <c r="P293" s="28">
        <f>N293-L293</f>
        <v>0</v>
      </c>
      <c r="Q293" s="36">
        <f>IFERROR(L293*(1-$Q$2),"")</f>
        <v>3245.7</v>
      </c>
      <c r="R293" s="38" t="str">
        <f>IFERROR(VLOOKUP($A293,'Из Гугла'!$B:$G,6,0)*S293,VLOOKUP($A293,'Из Гугла'!$B:$G,6,0))</f>
        <v/>
      </c>
      <c r="S293" s="14">
        <v>1</v>
      </c>
      <c r="T293" s="83">
        <f>IFERROR(Q293/I293-1,"")</f>
        <v>0.20211111111111113</v>
      </c>
      <c r="U293" s="83" t="str">
        <f>IFERROR((W293-Q293)/W293,"")</f>
        <v/>
      </c>
      <c r="V293" s="83" t="str">
        <f>IFERROR(IF(W293="","",W293/I293-1),"")</f>
        <v/>
      </c>
      <c r="W293" s="84" t="s">
        <v>1269</v>
      </c>
    </row>
    <row r="294" spans="1:24" ht="60" x14ac:dyDescent="0.25">
      <c r="A294" s="80">
        <v>201797</v>
      </c>
      <c r="B294" s="80">
        <f>VLOOKUP($A294,'Выгр Кат'!$A:$R,B$1,0)</f>
        <v>15442</v>
      </c>
      <c r="C294" s="81" t="str">
        <f>VLOOKUP($A294,'Выгр Кат'!$A:$R,C$1,0)</f>
        <v>Противотуманные фары для Лада (Гранта 2, Нива 4x4 Урбан, Веста, XRAY), Renault (Duster, Kaptur, Logan, Sandero)</v>
      </c>
      <c r="D294" s="80" t="str">
        <f>VLOOKUP($A294,'Выгр Кат'!$A:$R,D$1,0)</f>
        <v>Y</v>
      </c>
      <c r="E294" s="80" t="str">
        <f>VLOOKUP($A294,'Выгр Кат'!$A:$R,E$1,0)</f>
        <v>1</v>
      </c>
      <c r="F294" s="80" t="str">
        <f>VLOOKUP($A294,'Выгр Кат'!$A:$R,F$1,0)</f>
        <v>RN098-LED</v>
      </c>
      <c r="G294" s="80" t="str">
        <f>VLOOKUP($A294,'Выгр Кат'!$A:$R,G$1,0)</f>
        <v>https://motorring.ru/product/8357-svetodiodnye-ptf-lada-vesta-iks-rey-granta-niva-urban-reno</v>
      </c>
      <c r="H294" s="67" t="s">
        <v>3</v>
      </c>
      <c r="I294" s="82">
        <v>2800</v>
      </c>
      <c r="J294" s="5">
        <f>VLOOKUP(I294,Наценка!$A$1:$G$8,2,1)</f>
        <v>1.27</v>
      </c>
      <c r="K294" s="90">
        <f>W294*1.04</f>
        <v>4045.6000000000004</v>
      </c>
      <c r="L294" s="70">
        <f>IF(K294&lt;=1000,(ROUNDUP(K294,-1)-1),(ROUNDUP(K294,-2)-10))</f>
        <v>4090</v>
      </c>
      <c r="M294" s="80">
        <f>VLOOKUP($A294,'Выгр Кат'!$A:$R,M$1,0)</f>
        <v>2800</v>
      </c>
      <c r="N294" s="80">
        <f>VLOOKUP($A294,'Выгр Кат'!$A:$R,N$1,0)</f>
        <v>4090</v>
      </c>
      <c r="O294" s="28">
        <f>M294-I294</f>
        <v>0</v>
      </c>
      <c r="P294" s="28">
        <f>N294-L294</f>
        <v>0</v>
      </c>
      <c r="Q294" s="36">
        <f>IFERROR(L294*(1-$Q$2),"")</f>
        <v>3803.7</v>
      </c>
      <c r="R294" s="38">
        <f>IFERROR(VLOOKUP($A294,'Из Гугла'!$B:$G,6,0)*S294,VLOOKUP($A294,'Из Гугла'!$B:$G,6,0))</f>
        <v>3890</v>
      </c>
      <c r="S294" s="14">
        <v>1</v>
      </c>
      <c r="T294" s="83">
        <f>IFERROR(Q294/I294-1,"")</f>
        <v>0.35846428571428568</v>
      </c>
      <c r="U294" s="83">
        <f>IFERROR((W294-Q294)/W294,"")</f>
        <v>2.2185089974293106E-2</v>
      </c>
      <c r="V294" s="83">
        <f>IFERROR(IF(W294="","",W294/I294-1),"")</f>
        <v>0.38928571428571423</v>
      </c>
      <c r="W294" s="93">
        <v>3890</v>
      </c>
      <c r="X294" s="71" t="s">
        <v>881</v>
      </c>
    </row>
    <row r="295" spans="1:24" ht="45" x14ac:dyDescent="0.25">
      <c r="A295" s="80">
        <v>145492</v>
      </c>
      <c r="B295" s="80">
        <f>VLOOKUP($A295,'Выгр Кат'!$A:$R,B$1,0)</f>
        <v>21755</v>
      </c>
      <c r="C295" s="81" t="str">
        <f>VLOOKUP($A295,'Выгр Кат'!$A:$R,C$1,0)</f>
        <v>Задние светодиодные фонари тонированные в стиле Mercedes для Лада Нива 4x4</v>
      </c>
      <c r="D295" s="80" t="str">
        <f>VLOOKUP($A295,'Выгр Кат'!$A:$R,D$1,0)</f>
        <v>Y</v>
      </c>
      <c r="E295" s="80" t="str">
        <f>VLOOKUP($A295,'Выгр Кат'!$A:$R,E$1,0)</f>
        <v>1</v>
      </c>
      <c r="F295" s="80" t="str">
        <f>VLOOKUP($A295,'Выгр Кат'!$A:$R,F$1,0)</f>
        <v>366G</v>
      </c>
      <c r="G295" s="80" t="str">
        <f>VLOOKUP($A295,'Выгр Кат'!$A:$R,G$1,0)</f>
        <v>https://motorring.ru/product/24714-zadnie-svetodiodnye-fonari-kapli-chernye-lada-niva-4h4</v>
      </c>
      <c r="H295" s="67" t="s">
        <v>3</v>
      </c>
      <c r="I295" s="82">
        <v>2800</v>
      </c>
      <c r="J295" s="5">
        <f>VLOOKUP(I295,Наценка!$A$1:$G$8,2,1)</f>
        <v>1.27</v>
      </c>
      <c r="K295" s="90">
        <f>W295*1.04</f>
        <v>3733.6</v>
      </c>
      <c r="L295" s="70">
        <f>IF(K295&lt;=1000,(ROUNDUP(K295,-1)-1),(ROUNDUP(K295,-2)-10))</f>
        <v>3790</v>
      </c>
      <c r="M295" s="80">
        <f>VLOOKUP($A295,'Выгр Кат'!$A:$R,M$1,0)</f>
        <v>2800</v>
      </c>
      <c r="N295" s="80">
        <f>VLOOKUP($A295,'Выгр Кат'!$A:$R,N$1,0)</f>
        <v>3790</v>
      </c>
      <c r="O295" s="28">
        <f>M295-I295</f>
        <v>0</v>
      </c>
      <c r="P295" s="28">
        <f>N295-L295</f>
        <v>0</v>
      </c>
      <c r="Q295" s="36">
        <f>IFERROR(L295*(1-$Q$2),"")</f>
        <v>3524.7</v>
      </c>
      <c r="R295" s="38">
        <f>IFERROR(VLOOKUP($A295,'Из Гугла'!$B:$G,6,0)*S295,VLOOKUP($A295,'Из Гугла'!$B:$G,6,0))</f>
        <v>3590</v>
      </c>
      <c r="S295" s="14">
        <v>1</v>
      </c>
      <c r="T295" s="83">
        <f>IFERROR(Q295/I295-1,"")</f>
        <v>0.25882142857142854</v>
      </c>
      <c r="U295" s="83">
        <f>IFERROR((W295-Q295)/W295,"")</f>
        <v>1.8189415041782779E-2</v>
      </c>
      <c r="V295" s="83">
        <f>IFERROR(IF(W295="","",W295/I295-1),"")</f>
        <v>0.28214285714285725</v>
      </c>
      <c r="W295" s="93">
        <v>3590</v>
      </c>
      <c r="X295" s="71" t="s">
        <v>783</v>
      </c>
    </row>
    <row r="296" spans="1:24" ht="45" x14ac:dyDescent="0.25">
      <c r="A296" s="80">
        <v>220053</v>
      </c>
      <c r="B296" s="80">
        <f>VLOOKUP($A296,'Выгр Кат'!$A:$R,B$1,0)</f>
        <v>4679</v>
      </c>
      <c r="C296" s="81" t="str">
        <f>VLOOKUP($A296,'Выгр Кат'!$A:$R,C$1,0)</f>
        <v>Тюнинг задние фонари диодные (красно-белые) для Лада Гранта (седан)</v>
      </c>
      <c r="D296" s="80" t="str">
        <f>VLOOKUP($A296,'Выгр Кат'!$A:$R,D$1,0)</f>
        <v>Y</v>
      </c>
      <c r="E296" s="80" t="str">
        <f>VLOOKUP($A296,'Выгр Кат'!$A:$R,E$1,0)</f>
        <v>1</v>
      </c>
      <c r="F296" s="80" t="str">
        <f>VLOOKUP($A296,'Выгр Кат'!$A:$R,F$1,0)</f>
        <v>ZFT310RED-WHITE</v>
      </c>
      <c r="G296" s="80" t="str">
        <f>VLOOKUP($A296,'Выгр Кат'!$A:$R,G$1,0)</f>
        <v>https://motorring.ru/product/8171-diodnye-krasno-belye-fonari-lada-granta-sedan</v>
      </c>
      <c r="H296" s="67" t="s">
        <v>3</v>
      </c>
      <c r="I296" s="82">
        <v>2900</v>
      </c>
      <c r="J296" s="5">
        <f>VLOOKUP(I296,Наценка!$A$1:$G$8,2,1)</f>
        <v>1.27</v>
      </c>
      <c r="K296" s="90">
        <f>W296*1.04</f>
        <v>4149.6000000000004</v>
      </c>
      <c r="L296" s="70">
        <f>IF(K296&lt;=1000,(ROUNDUP(K296,-1)-1),(ROUNDUP(K296,-2)-10))</f>
        <v>4190</v>
      </c>
      <c r="M296" s="80">
        <f>VLOOKUP($A296,'Выгр Кат'!$A:$R,M$1,0)</f>
        <v>2900</v>
      </c>
      <c r="N296" s="80">
        <f>VLOOKUP($A296,'Выгр Кат'!$A:$R,N$1,0)</f>
        <v>4190</v>
      </c>
      <c r="O296" s="28">
        <f>M296-I296</f>
        <v>0</v>
      </c>
      <c r="P296" s="28">
        <f>N296-L296</f>
        <v>0</v>
      </c>
      <c r="Q296" s="36">
        <f>IFERROR(L296*(1-$Q$2),"")</f>
        <v>3896.7</v>
      </c>
      <c r="R296" s="38">
        <f>IFERROR(VLOOKUP($A296,'Из Гугла'!$B:$G,6,0)*S296,VLOOKUP($A296,'Из Гугла'!$B:$G,6,0))</f>
        <v>3990</v>
      </c>
      <c r="S296" s="14">
        <v>1</v>
      </c>
      <c r="T296" s="83">
        <f>IFERROR(Q296/I296-1,"")</f>
        <v>0.34368965517241379</v>
      </c>
      <c r="U296" s="83">
        <f>IFERROR((W296-Q296)/W296,"")</f>
        <v>2.3383458646616586E-2</v>
      </c>
      <c r="V296" s="83">
        <f>IFERROR(IF(W296="","",W296/I296-1),"")</f>
        <v>0.37586206896551722</v>
      </c>
      <c r="W296" s="93">
        <v>3990</v>
      </c>
      <c r="X296" s="71" t="s">
        <v>875</v>
      </c>
    </row>
    <row r="297" spans="1:24" ht="90.75" thickBot="1" x14ac:dyDescent="0.3">
      <c r="A297" s="80">
        <v>211429</v>
      </c>
      <c r="B297" s="80">
        <f>VLOOKUP($A297,'Выгр Кат'!$A:$R,B$1,0)</f>
        <v>23778</v>
      </c>
      <c r="C297" s="81" t="str">
        <f>VLOOKUP($A297,'Выгр Кат'!$A:$R,C$1,0)</f>
        <v>Руль "PLASTWOOD NARDI" в стиле Muscle Car (с черным металлическим каркасом прорезь) для ВАЗ (2101-2107, 2108-21099, 2113-2115), Лада (Калина, Приора, Нива 4x4), Шевроле Нива (до 2006 г. в.)</v>
      </c>
      <c r="D297" s="80" t="str">
        <f>VLOOKUP($A297,'Выгр Кат'!$A:$R,D$1,0)</f>
        <v>Y</v>
      </c>
      <c r="E297" s="80" t="str">
        <f>VLOOKUP($A297,'Выгр Кат'!$A:$R,E$1,0)</f>
        <v>1</v>
      </c>
      <c r="F297" s="80" t="str">
        <f>VLOOKUP($A297,'Выгр Кат'!$A:$R,F$1,0)</f>
        <v>8906B черный</v>
      </c>
      <c r="G297" s="80">
        <f>VLOOKUP($A297,'Выгр Кат'!$A:$R,G$1,0)</f>
        <v>0</v>
      </c>
      <c r="H297" s="67" t="s">
        <v>3</v>
      </c>
      <c r="I297" s="82">
        <v>2900</v>
      </c>
      <c r="J297" s="5">
        <f>VLOOKUP(I297,Наценка!$A$1:$G$8,2,1)</f>
        <v>1.27</v>
      </c>
      <c r="K297" s="88">
        <f>I297*J297</f>
        <v>3683</v>
      </c>
      <c r="L297" s="70">
        <f>IF(K297&lt;=1000,(ROUNDUP(K297,-1)-1),(ROUNDUP(K297,-2)-10))</f>
        <v>3690</v>
      </c>
      <c r="M297" s="80">
        <f>VLOOKUP($A297,'Выгр Кат'!$A:$R,M$1,0)</f>
        <v>2900</v>
      </c>
      <c r="N297" s="80">
        <f>VLOOKUP($A297,'Выгр Кат'!$A:$R,N$1,0)</f>
        <v>3790</v>
      </c>
      <c r="O297" s="28">
        <f>M297-I297</f>
        <v>0</v>
      </c>
      <c r="P297" s="28">
        <f>N297-L297</f>
        <v>100</v>
      </c>
      <c r="Q297" s="36">
        <f>IFERROR(L297*(1-$Q$2),"")</f>
        <v>3431.7</v>
      </c>
      <c r="R297" s="38" t="str">
        <f>IFERROR(VLOOKUP($A297,'Из Гугла'!$B:$G,6,0)*S297,VLOOKUP($A297,'Из Гугла'!$B:$G,6,0))</f>
        <v/>
      </c>
      <c r="S297" s="14">
        <v>1</v>
      </c>
      <c r="T297" s="83">
        <f>IFERROR(Q297/I297-1,"")</f>
        <v>0.18334482758620685</v>
      </c>
      <c r="U297" s="83" t="str">
        <f>IFERROR((W297-Q297)/W297,"")</f>
        <v/>
      </c>
      <c r="V297" s="83" t="str">
        <f>IFERROR(IF(W297="","",W297/I297-1),"")</f>
        <v/>
      </c>
      <c r="W297" s="94" t="s">
        <v>1269</v>
      </c>
    </row>
    <row r="298" spans="1:24" ht="30" x14ac:dyDescent="0.25">
      <c r="A298" s="80">
        <v>223950</v>
      </c>
      <c r="B298" s="80">
        <f>VLOOKUP($A298,'Выгр Кат'!$A:$R,B$1,0)</f>
        <v>5115</v>
      </c>
      <c r="C298" s="81" t="str">
        <f>VLOOKUP($A298,'Выгр Кат'!$A:$R,C$1,0)</f>
        <v>Фары с ДХО (хром) для ВАЗ (2101,2102), Лада Нива 4х4</v>
      </c>
      <c r="D298" s="80" t="str">
        <f>VLOOKUP($A298,'Выгр Кат'!$A:$R,D$1,0)</f>
        <v>Y</v>
      </c>
      <c r="E298" s="80" t="str">
        <f>VLOOKUP($A298,'Выгр Кат'!$A:$R,E$1,0)</f>
        <v>1</v>
      </c>
      <c r="F298" s="80" t="str">
        <f>VLOOKUP($A298,'Выгр Кат'!$A:$R,F$1,0)</f>
        <v>HL-CV407</v>
      </c>
      <c r="G298" s="80" t="str">
        <f>VLOOKUP($A298,'Выгр Кат'!$A:$R,G$1,0)</f>
        <v>https://motorring.ru/product/10471-fary-neonovymi-dho-hromirovannye-lada-niva-4h4-vaz-2101</v>
      </c>
      <c r="H298" s="67" t="s">
        <v>3</v>
      </c>
      <c r="I298" s="82">
        <v>2900</v>
      </c>
      <c r="J298" s="5">
        <f>VLOOKUP(I298,Наценка!$A$1:$G$8,2,1)</f>
        <v>1.27</v>
      </c>
      <c r="K298" s="90">
        <f>W298*1.04</f>
        <v>4357.6000000000004</v>
      </c>
      <c r="L298" s="70">
        <f>IF(K298&lt;=1000,(ROUNDUP(K298,-1)-1),(ROUNDUP(K298,-2)-10))</f>
        <v>4390</v>
      </c>
      <c r="M298" s="80">
        <f>VLOOKUP($A298,'Выгр Кат'!$A:$R,M$1,0)</f>
        <v>2900</v>
      </c>
      <c r="N298" s="80">
        <f>VLOOKUP($A298,'Выгр Кат'!$A:$R,N$1,0)</f>
        <v>4390</v>
      </c>
      <c r="O298" s="28">
        <f>M298-I298</f>
        <v>0</v>
      </c>
      <c r="P298" s="28">
        <f>N298-L298</f>
        <v>0</v>
      </c>
      <c r="Q298" s="36">
        <f>IFERROR(L298*(1-$Q$2),"")</f>
        <v>4082.7</v>
      </c>
      <c r="R298" s="38">
        <f>IFERROR(VLOOKUP($A298,'Из Гугла'!$B:$G,6,0)*S298,VLOOKUP($A298,'Из Гугла'!$B:$G,6,0))</f>
        <v>4190</v>
      </c>
      <c r="S298" s="14">
        <v>1</v>
      </c>
      <c r="T298" s="83">
        <f>IFERROR(Q298/I298-1,"")</f>
        <v>0.40782758620689652</v>
      </c>
      <c r="U298" s="83">
        <f>IFERROR((W298-Q298)/W298,"")</f>
        <v>2.5608591885441571E-2</v>
      </c>
      <c r="V298" s="83">
        <f>IFERROR(IF(W298="","",W298/I298-1),"")</f>
        <v>0.44482758620689644</v>
      </c>
      <c r="W298" s="93">
        <v>4190</v>
      </c>
      <c r="X298" s="71" t="s">
        <v>882</v>
      </c>
    </row>
    <row r="299" spans="1:24" ht="45.75" thickBot="1" x14ac:dyDescent="0.3">
      <c r="A299" s="80">
        <v>202706</v>
      </c>
      <c r="B299" s="80">
        <f>VLOOKUP($A299,'Выгр Кат'!$A:$R,B$1,0)</f>
        <v>4582</v>
      </c>
      <c r="C299" s="81" t="str">
        <f>VLOOKUP($A299,'Выгр Кат'!$A:$R,C$1,0)</f>
        <v>Рамки противотуманных фар с дневными ходовыми огнями для Лада Ларгус</v>
      </c>
      <c r="D299" s="80" t="str">
        <f>VLOOKUP($A299,'Выгр Кат'!$A:$R,D$1,0)</f>
        <v>Y</v>
      </c>
      <c r="E299" s="80" t="str">
        <f>VLOOKUP($A299,'Выгр Кат'!$A:$R,E$1,0)</f>
        <v>1</v>
      </c>
      <c r="F299" s="80" t="str">
        <f>VLOOKUP($A299,'Выгр Кат'!$A:$R,F$1,0)</f>
        <v>LG1111</v>
      </c>
      <c r="G299" s="80" t="str">
        <f>VLOOKUP($A299,'Выгр Кат'!$A:$R,G$1,0)</f>
        <v>https://motorring.ru/product/7158-ramki-ptf-hodovymi-ognyami-dlya-lada-largus</v>
      </c>
      <c r="H299" s="67" t="s">
        <v>3</v>
      </c>
      <c r="I299" s="82">
        <v>3000</v>
      </c>
      <c r="J299" s="5">
        <f>VLOOKUP(I299,Наценка!$A$1:$G$8,2,1)</f>
        <v>1.27</v>
      </c>
      <c r="K299" s="55">
        <f>W299*1.04</f>
        <v>3941.6</v>
      </c>
      <c r="L299" s="70">
        <f>IF(K299&lt;=1000,(ROUNDUP(K299,-1)-1),(ROUNDUP(K299,-2)-10))</f>
        <v>3990</v>
      </c>
      <c r="M299" s="80">
        <f>VLOOKUP($A299,'Выгр Кат'!$A:$R,M$1,0)</f>
        <v>3000</v>
      </c>
      <c r="N299" s="80">
        <f>VLOOKUP($A299,'Выгр Кат'!$A:$R,N$1,0)</f>
        <v>3990</v>
      </c>
      <c r="O299" s="28">
        <f>M299-I299</f>
        <v>0</v>
      </c>
      <c r="P299" s="28">
        <f>N299-L299</f>
        <v>0</v>
      </c>
      <c r="Q299" s="36">
        <f>IFERROR(L299*(1-$Q$2),"")</f>
        <v>3710.7</v>
      </c>
      <c r="R299" s="38">
        <f>IFERROR(VLOOKUP($A299,'Из Гугла'!$B:$G,6,0)*S299,VLOOKUP($A299,'Из Гугла'!$B:$G,6,0))</f>
        <v>3790</v>
      </c>
      <c r="S299" s="14">
        <v>1</v>
      </c>
      <c r="T299" s="83">
        <f>IFERROR(Q299/I299-1,"")</f>
        <v>0.23689999999999989</v>
      </c>
      <c r="U299" s="83">
        <f>IFERROR((W299-Q299)/W299,"")</f>
        <v>2.0923482849604269E-2</v>
      </c>
      <c r="V299" s="83">
        <f>IFERROR(IF(W299="","",W299/I299-1),"")</f>
        <v>0.26333333333333342</v>
      </c>
      <c r="W299" s="95">
        <v>3790</v>
      </c>
      <c r="X299" s="71" t="s">
        <v>884</v>
      </c>
    </row>
    <row r="300" spans="1:24" ht="30.75" thickBot="1" x14ac:dyDescent="0.3">
      <c r="A300" s="80">
        <v>211466</v>
      </c>
      <c r="B300" s="80">
        <f>VLOOKUP($A300,'Выгр Кат'!$A:$R,B$1,0)</f>
        <v>4558</v>
      </c>
      <c r="C300" s="81" t="str">
        <f>VLOOKUP($A300,'Выгр Кат'!$A:$R,C$1,0)</f>
        <v>Руль R1 спортивный для ВАЗ, замша</v>
      </c>
      <c r="D300" s="80" t="str">
        <f>VLOOKUP($A300,'Выгр Кат'!$A:$R,D$1,0)</f>
        <v>Y</v>
      </c>
      <c r="E300" s="80" t="str">
        <f>VLOOKUP($A300,'Выгр Кат'!$A:$R,E$1,0)</f>
        <v>1</v>
      </c>
      <c r="F300" s="80" t="str">
        <f>VLOOKUP($A300,'Выгр Кат'!$A:$R,F$1,0)</f>
        <v>5174 Замша</v>
      </c>
      <c r="G300" s="80">
        <f>VLOOKUP($A300,'Выгр Кат'!$A:$R,G$1,0)</f>
        <v>0</v>
      </c>
      <c r="H300" s="67" t="s">
        <v>3</v>
      </c>
      <c r="I300" s="82">
        <v>3000</v>
      </c>
      <c r="J300" s="5">
        <f>VLOOKUP(I300,Наценка!$A$1:$G$8,2,1)</f>
        <v>1.27</v>
      </c>
      <c r="K300" s="88">
        <f>I300*J300</f>
        <v>3810</v>
      </c>
      <c r="L300" s="70">
        <f>IF(K300&lt;=1000,(ROUNDUP(K300,-1)-1),(ROUNDUP(K300,-2)-10))</f>
        <v>3890</v>
      </c>
      <c r="M300" s="80">
        <f>VLOOKUP($A300,'Выгр Кат'!$A:$R,M$1,0)</f>
        <v>3000</v>
      </c>
      <c r="N300" s="80">
        <f>VLOOKUP($A300,'Выгр Кат'!$A:$R,N$1,0)</f>
        <v>3890</v>
      </c>
      <c r="O300" s="28">
        <f>M300-I300</f>
        <v>0</v>
      </c>
      <c r="P300" s="28">
        <f>N300-L300</f>
        <v>0</v>
      </c>
      <c r="Q300" s="36">
        <f>IFERROR(L300*(1-$Q$2),"")</f>
        <v>3617.7</v>
      </c>
      <c r="R300" s="38" t="str">
        <f>IFERROR(VLOOKUP($A300,'Из Гугла'!$B:$G,6,0)*S300,VLOOKUP($A300,'Из Гугла'!$B:$G,6,0))</f>
        <v/>
      </c>
      <c r="S300" s="14">
        <v>1</v>
      </c>
      <c r="T300" s="83">
        <f>IFERROR(Q300/I300-1,"")</f>
        <v>0.20589999999999997</v>
      </c>
      <c r="U300" s="83" t="str">
        <f>IFERROR((W300-Q300)/W300,"")</f>
        <v/>
      </c>
      <c r="V300" s="83" t="str">
        <f>IFERROR(IF(W300="","",W300/I300-1),"")</f>
        <v/>
      </c>
      <c r="W300" s="94" t="s">
        <v>1269</v>
      </c>
    </row>
    <row r="301" spans="1:24" ht="76.5" thickTop="1" thickBot="1" x14ac:dyDescent="0.3">
      <c r="A301" s="80">
        <v>213706</v>
      </c>
      <c r="B301" s="80">
        <f>VLOOKUP($A301,'Выгр Кат'!$A:$R,B$1,0)</f>
        <v>18699</v>
      </c>
      <c r="C301" s="81" t="str">
        <f>VLOOKUP($A301,'Выгр Кат'!$A:$R,C$1,0)</f>
        <v>Светодиодные фары 80W, чёрные, с кольцом (ДХО, повторитель) для ВАЗ (2101, 2102), Лада (Нива 4х4, Нива 4х4 Урбан), УАЗ (3303, 469, Хантер), Jeep Wrangler</v>
      </c>
      <c r="D301" s="80" t="str">
        <f>VLOOKUP($A301,'Выгр Кат'!$A:$R,D$1,0)</f>
        <v>Y</v>
      </c>
      <c r="E301" s="80" t="str">
        <f>VLOOKUP($A301,'Выгр Кат'!$A:$R,E$1,0)</f>
        <v>1</v>
      </c>
      <c r="F301" s="80" t="str">
        <f>VLOOKUP($A301,'Выгр Кат'!$A:$R,F$1,0)</f>
        <v>HP-HLD-002</v>
      </c>
      <c r="G301" s="80" t="str">
        <f>VLOOKUP($A301,'Выгр Кат'!$A:$R,G$1,0)</f>
        <v>https://motorring.ru/product/13579-svetodiodnye-fary-80w-dyuymov-chernye-povtoritelem-povorota</v>
      </c>
      <c r="H301" s="67" t="s">
        <v>3</v>
      </c>
      <c r="I301" s="82">
        <v>3000</v>
      </c>
      <c r="J301" s="5">
        <f>VLOOKUP(I301,Наценка!$A$1:$G$8,2,1)</f>
        <v>1.27</v>
      </c>
      <c r="K301" s="55">
        <f>W301*1.04</f>
        <v>4045.6000000000004</v>
      </c>
      <c r="L301" s="70">
        <f>IF(K301&lt;=1000,(ROUNDUP(K301,-1)-1),(ROUNDUP(K301,-2)-10))</f>
        <v>4090</v>
      </c>
      <c r="M301" s="80">
        <f>VLOOKUP($A301,'Выгр Кат'!$A:$R,M$1,0)</f>
        <v>3000</v>
      </c>
      <c r="N301" s="80">
        <f>VLOOKUP($A301,'Выгр Кат'!$A:$R,N$1,0)</f>
        <v>4090</v>
      </c>
      <c r="O301" s="28">
        <f>M301-I301</f>
        <v>0</v>
      </c>
      <c r="P301" s="28">
        <f>N301-L301</f>
        <v>0</v>
      </c>
      <c r="Q301" s="36">
        <f>IFERROR(L301*(1-$Q$2),"")</f>
        <v>3803.7</v>
      </c>
      <c r="R301" s="38">
        <f>IFERROR(VLOOKUP($A301,'Из Гугла'!$B:$G,6,0)*S301,VLOOKUP($A301,'Из Гугла'!$B:$G,6,0))</f>
        <v>3890</v>
      </c>
      <c r="S301" s="14">
        <v>1</v>
      </c>
      <c r="T301" s="83">
        <f>IFERROR(Q301/I301-1,"")</f>
        <v>0.26790000000000003</v>
      </c>
      <c r="U301" s="83">
        <f>IFERROR((W301-Q301)/W301,"")</f>
        <v>2.2185089974293106E-2</v>
      </c>
      <c r="V301" s="83">
        <f>IFERROR(IF(W301="","",W301/I301-1),"")</f>
        <v>0.29666666666666663</v>
      </c>
      <c r="W301" s="95">
        <v>3890</v>
      </c>
      <c r="X301" s="71" t="s">
        <v>768</v>
      </c>
    </row>
    <row r="302" spans="1:24" ht="76.5" thickTop="1" thickBot="1" x14ac:dyDescent="0.3">
      <c r="A302" s="80">
        <v>213704</v>
      </c>
      <c r="B302" s="80">
        <f>VLOOKUP($A302,'Выгр Кат'!$A:$R,B$1,0)</f>
        <v>18700</v>
      </c>
      <c r="C302" s="81" t="str">
        <f>VLOOKUP($A302,'Выгр Кат'!$A:$R,C$1,0)</f>
        <v>Светодиодные фары 80W, чёрные (ДХО, повторитель) для ВАЗ (2101, 2102), Лада (Нива 4х4, Нива 4х4 Урбан), УАЗ (3303, 469, Хантер), Jeep Wrangler</v>
      </c>
      <c r="D302" s="80" t="str">
        <f>VLOOKUP($A302,'Выгр Кат'!$A:$R,D$1,0)</f>
        <v>Y</v>
      </c>
      <c r="E302" s="80" t="str">
        <f>VLOOKUP($A302,'Выгр Кат'!$A:$R,E$1,0)</f>
        <v>1ск1</v>
      </c>
      <c r="F302" s="80" t="str">
        <f>VLOOKUP($A302,'Выгр Кат'!$A:$R,F$1,0)</f>
        <v>HP-HLD-003</v>
      </c>
      <c r="G302" s="80" t="str">
        <f>VLOOKUP($A302,'Выгр Кат'!$A:$R,G$1,0)</f>
        <v>https://motorring.ru/product/14256-svetodiodnye-fary-80w-dyuymov-chernye-povtoritelem-povorota</v>
      </c>
      <c r="H302" s="67" t="s">
        <v>3</v>
      </c>
      <c r="I302" s="82">
        <v>3000</v>
      </c>
      <c r="J302" s="5">
        <f>VLOOKUP(I302,Наценка!$A$1:$G$8,2,1)</f>
        <v>1.27</v>
      </c>
      <c r="K302" s="55">
        <f>W302*1.04</f>
        <v>4045.6000000000004</v>
      </c>
      <c r="L302" s="70">
        <f>IF(K302&lt;=1000,(ROUNDUP(K302,-1)-1),(ROUNDUP(K302,-2)-10))</f>
        <v>4090</v>
      </c>
      <c r="M302" s="80">
        <f>VLOOKUP($A302,'Выгр Кат'!$A:$R,M$1,0)</f>
        <v>3000</v>
      </c>
      <c r="N302" s="80">
        <f>VLOOKUP($A302,'Выгр Кат'!$A:$R,N$1,0)</f>
        <v>4090</v>
      </c>
      <c r="O302" s="28">
        <f>M302-I302</f>
        <v>0</v>
      </c>
      <c r="P302" s="28">
        <f>N302-L302</f>
        <v>0</v>
      </c>
      <c r="Q302" s="36">
        <f>IFERROR(L302*(1-$Q$2),"")</f>
        <v>3803.7</v>
      </c>
      <c r="R302" s="38">
        <f>IFERROR(VLOOKUP($A302,'Из Гугла'!$B:$G,6,0)*S302,VLOOKUP($A302,'Из Гугла'!$B:$G,6,0))</f>
        <v>3890</v>
      </c>
      <c r="S302" s="14">
        <v>1</v>
      </c>
      <c r="T302" s="83">
        <f>IFERROR(Q302/I302-1,"")</f>
        <v>0.26790000000000003</v>
      </c>
      <c r="U302" s="83">
        <f>IFERROR((W302-Q302)/W302,"")</f>
        <v>2.2185089974293106E-2</v>
      </c>
      <c r="V302" s="83">
        <f>IFERROR(IF(W302="","",W302/I302-1),"")</f>
        <v>0.29666666666666663</v>
      </c>
      <c r="W302" s="95">
        <v>3890</v>
      </c>
      <c r="X302" s="71" t="s">
        <v>769</v>
      </c>
    </row>
    <row r="303" spans="1:24" ht="75.75" thickTop="1" x14ac:dyDescent="0.25">
      <c r="A303" s="80">
        <v>213694</v>
      </c>
      <c r="B303" s="80">
        <f>VLOOKUP($A303,'Выгр Кат'!$A:$R,B$1,0)</f>
        <v>18703</v>
      </c>
      <c r="C303" s="81" t="str">
        <f>VLOOKUP($A303,'Выгр Кат'!$A:$R,C$1,0)</f>
        <v>Светодиодные фары 130W, чёрные (13 диодов, 2 полосы, ДХО, повторитель) для ВАЗ (2101, 2102), Лада (Нива 4х4, Нива 4х4 Урбан), УАЗ (3303, 469, Хантер), Jeep Wrangler</v>
      </c>
      <c r="D303" s="80" t="str">
        <f>VLOOKUP($A303,'Выгр Кат'!$A:$R,D$1,0)</f>
        <v>Y</v>
      </c>
      <c r="E303" s="80" t="str">
        <f>VLOOKUP($A303,'Выгр Кат'!$A:$R,E$1,0)</f>
        <v>1</v>
      </c>
      <c r="F303" s="80" t="str">
        <f>VLOOKUP($A303,'Выгр Кат'!$A:$R,F$1,0)</f>
        <v>HP-HLD-001</v>
      </c>
      <c r="G303" s="80" t="str">
        <f>VLOOKUP($A303,'Выгр Кат'!$A:$R,G$1,0)</f>
        <v>https://motorring.ru/product/14257-svetodiodnye-fary-dyuymov-d0875x-vaz-2101-lada-niva-4h4</v>
      </c>
      <c r="H303" s="67" t="s">
        <v>3</v>
      </c>
      <c r="I303" s="82">
        <v>3000</v>
      </c>
      <c r="J303" s="5">
        <f>VLOOKUP(I303,Наценка!$A$1:$G$8,2,1)</f>
        <v>1.27</v>
      </c>
      <c r="K303" s="90">
        <f>W303*1.04</f>
        <v>3941.6</v>
      </c>
      <c r="L303" s="70">
        <f>IF(K303&lt;=1000,(ROUNDUP(K303,-1)-1),(ROUNDUP(K303,-2)-10))</f>
        <v>3990</v>
      </c>
      <c r="M303" s="80">
        <f>VLOOKUP($A303,'Выгр Кат'!$A:$R,M$1,0)</f>
        <v>3000</v>
      </c>
      <c r="N303" s="80">
        <f>VLOOKUP($A303,'Выгр Кат'!$A:$R,N$1,0)</f>
        <v>3990</v>
      </c>
      <c r="O303" s="28">
        <f>M303-I303</f>
        <v>0</v>
      </c>
      <c r="P303" s="28">
        <f>N303-L303</f>
        <v>0</v>
      </c>
      <c r="Q303" s="36">
        <f>IFERROR(L303*(1-$Q$2),"")</f>
        <v>3710.7</v>
      </c>
      <c r="R303" s="38">
        <f>IFERROR(VLOOKUP($A303,'Из Гугла'!$B:$G,6,0)*S303,VLOOKUP($A303,'Из Гугла'!$B:$G,6,0))</f>
        <v>3790</v>
      </c>
      <c r="S303" s="14">
        <v>1</v>
      </c>
      <c r="T303" s="83">
        <f>IFERROR(Q303/I303-1,"")</f>
        <v>0.23689999999999989</v>
      </c>
      <c r="U303" s="83">
        <f>IFERROR((W303-Q303)/W303,"")</f>
        <v>2.0923482849604269E-2</v>
      </c>
      <c r="V303" s="83">
        <f>IFERROR(IF(W303="","",W303/I303-1),"")</f>
        <v>0.26333333333333342</v>
      </c>
      <c r="W303" s="93">
        <v>3790</v>
      </c>
      <c r="X303" s="71" t="s">
        <v>785</v>
      </c>
    </row>
    <row r="304" spans="1:24" ht="30.75" thickBot="1" x14ac:dyDescent="0.3">
      <c r="A304" s="80">
        <v>133320</v>
      </c>
      <c r="B304" s="80">
        <f>VLOOKUP($A304,'Выгр Кат'!$A:$R,B$1,0)</f>
        <v>8118</v>
      </c>
      <c r="C304" s="81" t="str">
        <f>VLOOKUP($A304,'Выгр Кат'!$A:$R,C$1,0)</f>
        <v>Балка освещения XRB-180W, L-82 см</v>
      </c>
      <c r="D304" s="80" t="str">
        <f>VLOOKUP($A304,'Выгр Кат'!$A:$R,D$1,0)</f>
        <v>Y</v>
      </c>
      <c r="E304" s="80" t="str">
        <f>VLOOKUP($A304,'Выгр Кат'!$A:$R,E$1,0)</f>
        <v>1</v>
      </c>
      <c r="F304" s="80" t="str">
        <f>VLOOKUP($A304,'Выгр Кат'!$A:$R,F$1,0)</f>
        <v>XR-F120</v>
      </c>
      <c r="G304" s="80" t="str">
        <f>VLOOKUP($A304,'Выгр Кат'!$A:$R,G$1,0)</f>
        <v>https://motorring.ru/product/11770-diodnaya-balka-xrb-180-180w-3vt</v>
      </c>
      <c r="H304" s="67" t="s">
        <v>3</v>
      </c>
      <c r="I304" s="82">
        <v>3000</v>
      </c>
      <c r="J304" s="5">
        <f>VLOOKUP(I304,Наценка!$A$1:$G$8,2,1)</f>
        <v>1.27</v>
      </c>
      <c r="K304" s="55">
        <f>W304*1.04</f>
        <v>5397.6</v>
      </c>
      <c r="L304" s="70">
        <f>IF(K304&lt;=1000,(ROUNDUP(K304,-1)-1),(ROUNDUP(K304,-2)-10))</f>
        <v>5390</v>
      </c>
      <c r="M304" s="80">
        <f>VLOOKUP($A304,'Выгр Кат'!$A:$R,M$1,0)</f>
        <v>3000</v>
      </c>
      <c r="N304" s="80">
        <f>VLOOKUP($A304,'Выгр Кат'!$A:$R,N$1,0)</f>
        <v>5390</v>
      </c>
      <c r="O304" s="28">
        <f>M304-I304</f>
        <v>0</v>
      </c>
      <c r="P304" s="28">
        <f>N304-L304</f>
        <v>0</v>
      </c>
      <c r="Q304" s="36">
        <f>IFERROR(L304*(1-$Q$2),"")</f>
        <v>5012.7</v>
      </c>
      <c r="R304" s="38">
        <f>IFERROR(VLOOKUP($A304,'Из Гугла'!$B:$G,6,0)*S304,VLOOKUP($A304,'Из Гугла'!$B:$G,6,0))</f>
        <v>5190</v>
      </c>
      <c r="S304" s="14">
        <v>1</v>
      </c>
      <c r="T304" s="83">
        <f>IFERROR(Q304/I304-1,"")</f>
        <v>0.67089999999999983</v>
      </c>
      <c r="U304" s="83">
        <f>IFERROR((W304-Q304)/W304,"")</f>
        <v>3.4161849710982697E-2</v>
      </c>
      <c r="V304" s="83">
        <f>IFERROR(IF(W304="","",W304/I304-1),"")</f>
        <v>0.73</v>
      </c>
      <c r="W304" s="95">
        <v>5190</v>
      </c>
      <c r="X304" s="71" t="s">
        <v>934</v>
      </c>
    </row>
    <row r="305" spans="1:24" ht="31.5" thickTop="1" thickBot="1" x14ac:dyDescent="0.3">
      <c r="A305" s="80">
        <v>133321</v>
      </c>
      <c r="B305" s="80">
        <f>VLOOKUP($A305,'Выгр Кат'!$A:$R,B$1,0)</f>
        <v>8124</v>
      </c>
      <c r="C305" s="81" t="str">
        <f>VLOOKUP($A305,'Выгр Кат'!$A:$R,C$1,0)</f>
        <v>Балка освещения XRB-240W, L-108 см</v>
      </c>
      <c r="D305" s="80" t="str">
        <f>VLOOKUP($A305,'Выгр Кат'!$A:$R,D$1,0)</f>
        <v>Y</v>
      </c>
      <c r="E305" s="80" t="str">
        <f>VLOOKUP($A305,'Выгр Кат'!$A:$R,E$1,0)</f>
        <v>1</v>
      </c>
      <c r="F305" s="80" t="str">
        <f>VLOOKUP($A305,'Выгр Кат'!$A:$R,F$1,0)</f>
        <v>XRB-240W</v>
      </c>
      <c r="G305" s="80" t="str">
        <f>VLOOKUP($A305,'Выгр Кат'!$A:$R,G$1,0)</f>
        <v>https://motorring.ru/product/11776-diodnaya-balka-xrb-240-240w-3vt</v>
      </c>
      <c r="H305" s="67" t="s">
        <v>3</v>
      </c>
      <c r="I305" s="82">
        <v>3000</v>
      </c>
      <c r="J305" s="5">
        <f>VLOOKUP(I305,Наценка!$A$1:$G$8,2,1)</f>
        <v>1.27</v>
      </c>
      <c r="K305" s="55">
        <f>W305*1.04</f>
        <v>4045.6000000000004</v>
      </c>
      <c r="L305" s="70">
        <f>IF(K305&lt;=1000,(ROUNDUP(K305,-1)-1),(ROUNDUP(K305,-2)-10))</f>
        <v>4090</v>
      </c>
      <c r="M305" s="80">
        <f>VLOOKUP($A305,'Выгр Кат'!$A:$R,M$1,0)</f>
        <v>3000</v>
      </c>
      <c r="N305" s="80">
        <f>VLOOKUP($A305,'Выгр Кат'!$A:$R,N$1,0)</f>
        <v>4090</v>
      </c>
      <c r="O305" s="28">
        <f>M305-I305</f>
        <v>0</v>
      </c>
      <c r="P305" s="28">
        <f>N305-L305</f>
        <v>0</v>
      </c>
      <c r="Q305" s="36">
        <f>IFERROR(L305*(1-$Q$2),"")</f>
        <v>3803.7</v>
      </c>
      <c r="R305" s="38">
        <f>IFERROR(VLOOKUP($A305,'Из Гугла'!$B:$G,6,0)*S305,VLOOKUP($A305,'Из Гугла'!$B:$G,6,0))</f>
        <v>3890</v>
      </c>
      <c r="S305" s="14">
        <v>1</v>
      </c>
      <c r="T305" s="83">
        <f>IFERROR(Q305/I305-1,"")</f>
        <v>0.26790000000000003</v>
      </c>
      <c r="U305" s="83">
        <f>IFERROR((W305-Q305)/W305,"")</f>
        <v>2.2185089974293106E-2</v>
      </c>
      <c r="V305" s="83">
        <f>IFERROR(IF(W305="","",W305/I305-1),"")</f>
        <v>0.29666666666666663</v>
      </c>
      <c r="W305" s="95">
        <v>3890</v>
      </c>
      <c r="X305" s="71" t="s">
        <v>935</v>
      </c>
    </row>
    <row r="306" spans="1:24" ht="30.75" thickTop="1" x14ac:dyDescent="0.25">
      <c r="A306" s="80">
        <v>145487</v>
      </c>
      <c r="B306" s="80">
        <f>VLOOKUP($A306,'Выгр Кат'!$A:$R,B$1,0)</f>
        <v>23298</v>
      </c>
      <c r="C306" s="81" t="str">
        <f>VLOOKUP($A306,'Выгр Кат'!$A:$R,C$1,0)</f>
        <v>Задние светодиодные фонари в стиле Mercedes для Лада Нива 4x4</v>
      </c>
      <c r="D306" s="80" t="str">
        <f>VLOOKUP($A306,'Выгр Кат'!$A:$R,D$1,0)</f>
        <v>Y</v>
      </c>
      <c r="E306" s="80" t="str">
        <f>VLOOKUP($A306,'Выгр Кат'!$A:$R,E$1,0)</f>
        <v>1</v>
      </c>
      <c r="F306" s="80" t="str">
        <f>VLOOKUP($A306,'Выгр Кат'!$A:$R,F$1,0)</f>
        <v>366W</v>
      </c>
      <c r="G306" s="80" t="str">
        <f>VLOOKUP($A306,'Выгр Кат'!$A:$R,G$1,0)</f>
        <v>https://motorring.ru/product/30580-zadnie-svetodiodnye-fonari-kapli-lada-niva-4h4</v>
      </c>
      <c r="H306" s="67" t="s">
        <v>3</v>
      </c>
      <c r="I306" s="82">
        <v>3000</v>
      </c>
      <c r="J306" s="5">
        <f>VLOOKUP(I306,Наценка!$A$1:$G$8,2,1)</f>
        <v>1.27</v>
      </c>
      <c r="K306" s="89">
        <f>W306*1.07</f>
        <v>3841.3</v>
      </c>
      <c r="L306" s="70">
        <f>IF(K306&lt;=1000,(ROUNDUP(K306,-1)-1),(ROUNDUP(K306,-2)-10))</f>
        <v>3890</v>
      </c>
      <c r="M306" s="80">
        <f>VLOOKUP($A306,'Выгр Кат'!$A:$R,M$1,0)</f>
        <v>3000</v>
      </c>
      <c r="N306" s="80">
        <f>VLOOKUP($A306,'Выгр Кат'!$A:$R,N$1,0)</f>
        <v>3890</v>
      </c>
      <c r="O306" s="28">
        <f>M306-I306</f>
        <v>0</v>
      </c>
      <c r="P306" s="28">
        <f>N306-L306</f>
        <v>0</v>
      </c>
      <c r="Q306" s="36">
        <f>IFERROR(L306*(1-$Q$2),"")</f>
        <v>3617.7</v>
      </c>
      <c r="R306" s="38">
        <f>IFERROR(VLOOKUP($A306,'Из Гугла'!$B:$G,6,0)*S306,VLOOKUP($A306,'Из Гугла'!$B:$G,6,0))</f>
        <v>3590</v>
      </c>
      <c r="S306" s="14">
        <v>1</v>
      </c>
      <c r="T306" s="83">
        <f>IFERROR(Q306/I306-1,"")</f>
        <v>0.20589999999999997</v>
      </c>
      <c r="U306" s="83">
        <f>IFERROR((W306-Q306)/W306,"")</f>
        <v>-7.7158774373258547E-3</v>
      </c>
      <c r="V306" s="83">
        <f>IFERROR(IF(W306="","",W306/I306-1),"")</f>
        <v>0.19666666666666677</v>
      </c>
      <c r="W306" s="93">
        <v>3590</v>
      </c>
      <c r="X306" s="71" t="s">
        <v>879</v>
      </c>
    </row>
    <row r="307" spans="1:24" ht="30.75" thickBot="1" x14ac:dyDescent="0.3">
      <c r="A307" s="80">
        <v>133276</v>
      </c>
      <c r="B307" s="80">
        <f>VLOOKUP($A307,'Выгр Кат'!$A:$R,B$1,0)</f>
        <v>24051</v>
      </c>
      <c r="C307" s="81" t="str">
        <f>VLOOKUP($A307,'Выгр Кат'!$A:$R,C$1,0)</f>
        <v>Балка дополнительного освещения "mini-108" (узкая, LED, белый свет)</v>
      </c>
      <c r="D307" s="80" t="str">
        <f>VLOOKUP($A307,'Выгр Кат'!$A:$R,D$1,0)</f>
        <v>Y</v>
      </c>
      <c r="E307" s="80" t="str">
        <f>VLOOKUP($A307,'Выгр Кат'!$A:$R,E$1,0)</f>
        <v>1</v>
      </c>
      <c r="F307" s="80" t="str">
        <f>VLOOKUP($A307,'Выгр Кат'!$A:$R,F$1,0)</f>
        <v>mini-108</v>
      </c>
      <c r="G307" s="80">
        <f>VLOOKUP($A307,'Выгр Кат'!$A:$R,G$1,0)</f>
        <v>0</v>
      </c>
      <c r="H307" s="67" t="s">
        <v>3</v>
      </c>
      <c r="I307" s="82">
        <v>3000</v>
      </c>
      <c r="J307" s="5">
        <f>VLOOKUP(I307,Наценка!$A$1:$G$8,2,1)</f>
        <v>1.27</v>
      </c>
      <c r="K307" s="88">
        <f>I307*J307</f>
        <v>3810</v>
      </c>
      <c r="L307" s="70">
        <f>IF(K307&lt;=1000,(ROUNDUP(K307,-1)-1),(ROUNDUP(K307,-2)-10))</f>
        <v>3890</v>
      </c>
      <c r="M307" s="80">
        <f>VLOOKUP($A307,'Выгр Кат'!$A:$R,M$1,0)</f>
        <v>3000</v>
      </c>
      <c r="N307" s="80">
        <f>VLOOKUP($A307,'Выгр Кат'!$A:$R,N$1,0)</f>
        <v>3890</v>
      </c>
      <c r="O307" s="28">
        <f>M307-I307</f>
        <v>0</v>
      </c>
      <c r="P307" s="28">
        <f>N307-L307</f>
        <v>0</v>
      </c>
      <c r="Q307" s="36">
        <f>IFERROR(L307*(1-$Q$2),"")</f>
        <v>3617.7</v>
      </c>
      <c r="R307" s="38" t="str">
        <f>IFERROR(VLOOKUP($A307,'Из Гугла'!$B:$G,6,0)*S307,VLOOKUP($A307,'Из Гугла'!$B:$G,6,0))</f>
        <v/>
      </c>
      <c r="S307" s="14">
        <v>1</v>
      </c>
      <c r="T307" s="83">
        <f>IFERROR(Q307/I307-1,"")</f>
        <v>0.20589999999999997</v>
      </c>
      <c r="U307" s="83" t="str">
        <f>IFERROR((W307-Q307)/W307,"")</f>
        <v/>
      </c>
      <c r="V307" s="83" t="str">
        <f>IFERROR(IF(W307="","",W307/I307-1),"")</f>
        <v/>
      </c>
      <c r="W307" s="94" t="s">
        <v>1269</v>
      </c>
    </row>
    <row r="308" spans="1:24" ht="30.75" thickTop="1" x14ac:dyDescent="0.25">
      <c r="A308" s="80">
        <v>211461</v>
      </c>
      <c r="B308" s="80">
        <f>VLOOKUP($A308,'Выгр Кат'!$A:$R,B$1,0)</f>
        <v>4517</v>
      </c>
      <c r="C308" s="81" t="str">
        <f>VLOOKUP($A308,'Выгр Кат'!$A:$R,C$1,0)</f>
        <v>Руль R1 для ВАЗ, замша</v>
      </c>
      <c r="D308" s="80" t="str">
        <f>VLOOKUP($A308,'Выгр Кат'!$A:$R,D$1,0)</f>
        <v>Y</v>
      </c>
      <c r="E308" s="80" t="str">
        <f>VLOOKUP($A308,'Выгр Кат'!$A:$R,E$1,0)</f>
        <v>1</v>
      </c>
      <c r="F308" s="80" t="str">
        <f>VLOOKUP($A308,'Выгр Кат'!$A:$R,F$1,0)</f>
        <v>8903</v>
      </c>
      <c r="G308" s="80">
        <f>VLOOKUP($A308,'Выгр Кат'!$A:$R,G$1,0)</f>
        <v>0</v>
      </c>
      <c r="H308" s="67" t="s">
        <v>3</v>
      </c>
      <c r="I308" s="82">
        <v>3000</v>
      </c>
      <c r="J308" s="5">
        <f>VLOOKUP(I308,Наценка!$A$1:$G$8,2,1)</f>
        <v>1.27</v>
      </c>
      <c r="K308" s="34">
        <f>I308*J308</f>
        <v>3810</v>
      </c>
      <c r="L308" s="70">
        <f>IF(K308&lt;=1000,(ROUNDUP(K308,-1)-1),(ROUNDUP(K308,-2)-10))</f>
        <v>3890</v>
      </c>
      <c r="M308" s="80">
        <f>VLOOKUP($A308,'Выгр Кат'!$A:$R,M$1,0)</f>
        <v>3000</v>
      </c>
      <c r="N308" s="80">
        <f>VLOOKUP($A308,'Выгр Кат'!$A:$R,N$1,0)</f>
        <v>3890</v>
      </c>
      <c r="O308" s="28">
        <f>M308-I308</f>
        <v>0</v>
      </c>
      <c r="P308" s="28">
        <f>N308-L308</f>
        <v>0</v>
      </c>
      <c r="Q308" s="36">
        <f>IFERROR(L308*(1-$Q$2),"")</f>
        <v>3617.7</v>
      </c>
      <c r="R308" s="38" t="str">
        <f>IFERROR(VLOOKUP($A308,'Из Гугла'!$B:$G,6,0)*S308,VLOOKUP($A308,'Из Гугла'!$B:$G,6,0))</f>
        <v/>
      </c>
      <c r="S308" s="14">
        <v>1</v>
      </c>
      <c r="T308" s="83">
        <f>IFERROR(Q308/I308-1,"")</f>
        <v>0.20589999999999997</v>
      </c>
      <c r="U308" s="83" t="str">
        <f>IFERROR((W308-Q308)/W308,"")</f>
        <v/>
      </c>
      <c r="V308" s="83" t="str">
        <f>IFERROR(IF(W308="","",W308/I308-1),"")</f>
        <v/>
      </c>
      <c r="W308" s="84" t="s">
        <v>1269</v>
      </c>
    </row>
    <row r="309" spans="1:24" ht="45" x14ac:dyDescent="0.25">
      <c r="A309" s="80">
        <v>220055</v>
      </c>
      <c r="B309" s="80">
        <f>VLOOKUP($A309,'Выгр Кат'!$A:$R,B$1,0)</f>
        <v>4682</v>
      </c>
      <c r="C309" s="81" t="str">
        <f>VLOOKUP($A309,'Выгр Кат'!$A:$R,C$1,0)</f>
        <v>Тюнинг задние фонари диодные (серо-белые) для Лада Гранта, Гранта FL (седан)</v>
      </c>
      <c r="D309" s="80" t="str">
        <f>VLOOKUP($A309,'Выгр Кат'!$A:$R,D$1,0)</f>
        <v>Y</v>
      </c>
      <c r="E309" s="80" t="str">
        <f>VLOOKUP($A309,'Выгр Кат'!$A:$R,E$1,0)</f>
        <v>1</v>
      </c>
      <c r="F309" s="80" t="str">
        <f>VLOOKUP($A309,'Выгр Кат'!$A:$R,F$1,0)</f>
        <v>310 LED</v>
      </c>
      <c r="G309" s="80" t="str">
        <f>VLOOKUP($A309,'Выгр Кат'!$A:$R,G$1,0)</f>
        <v>https://motorring.ru/product/36707-diodnye-belo-serye-fonari-lada-granta-sedan</v>
      </c>
      <c r="H309" s="67" t="s">
        <v>3</v>
      </c>
      <c r="I309" s="82">
        <v>3100</v>
      </c>
      <c r="J309" s="5">
        <f>VLOOKUP(I309,Наценка!$A$1:$G$8,2,1)</f>
        <v>1.27</v>
      </c>
      <c r="K309" s="90">
        <f>W309*1.04</f>
        <v>4149.6000000000004</v>
      </c>
      <c r="L309" s="70">
        <f>IF(K309&lt;=1000,(ROUNDUP(K309,-1)-1),(ROUNDUP(K309,-2)-10))</f>
        <v>4190</v>
      </c>
      <c r="M309" s="80">
        <f>VLOOKUP($A309,'Выгр Кат'!$A:$R,M$1,0)</f>
        <v>3100</v>
      </c>
      <c r="N309" s="80">
        <f>VLOOKUP($A309,'Выгр Кат'!$A:$R,N$1,0)</f>
        <v>3990</v>
      </c>
      <c r="O309" s="28">
        <f>M309-I309</f>
        <v>0</v>
      </c>
      <c r="P309" s="28">
        <f>N309-L309</f>
        <v>-200</v>
      </c>
      <c r="Q309" s="36">
        <f>IFERROR(L309*(1-$Q$2),"")</f>
        <v>3896.7</v>
      </c>
      <c r="R309" s="38" t="str">
        <f>IFERROR(VLOOKUP($A309,'Из Гугла'!$B:$G,6,0)*S309,VLOOKUP($A309,'Из Гугла'!$B:$G,6,0))</f>
        <v/>
      </c>
      <c r="S309" s="14">
        <v>1</v>
      </c>
      <c r="T309" s="83">
        <f>IFERROR(Q309/I309-1,"")</f>
        <v>0.2569999999999999</v>
      </c>
      <c r="U309" s="83">
        <f>IFERROR((W309-Q309)/W309,"")</f>
        <v>2.3383458646616586E-2</v>
      </c>
      <c r="V309" s="83">
        <f>IFERROR(IF(W309="","",W309/I309-1),"")</f>
        <v>0.2870967741935484</v>
      </c>
      <c r="W309" s="93">
        <v>3990</v>
      </c>
      <c r="X309" s="71" t="s">
        <v>876</v>
      </c>
    </row>
    <row r="310" spans="1:24" ht="30" x14ac:dyDescent="0.25">
      <c r="A310" s="80">
        <v>145538</v>
      </c>
      <c r="B310" s="80">
        <f>VLOOKUP($A310,'Выгр Кат'!$A:$R,B$1,0)</f>
        <v>31731</v>
      </c>
      <c r="C310" s="81" t="str">
        <f>VLOOKUP($A310,'Выгр Кат'!$A:$R,C$1,0)</f>
        <v>Задние фонари "Орлиный Глаз" тонированные для ВАЗ 2105, 2107</v>
      </c>
      <c r="D310" s="80" t="str">
        <f>VLOOKUP($A310,'Выгр Кат'!$A:$R,D$1,0)</f>
        <v>Y</v>
      </c>
      <c r="E310" s="80" t="str">
        <f>VLOOKUP($A310,'Выгр Кат'!$A:$R,E$1,0)</f>
        <v>1</v>
      </c>
      <c r="F310" s="80" t="str">
        <f>VLOOKUP($A310,'Выгр Кат'!$A:$R,F$1,0)</f>
        <v>DH-405GRAY</v>
      </c>
      <c r="G310" s="80" t="str">
        <f>VLOOKUP($A310,'Выгр Кат'!$A:$R,G$1,0)</f>
        <v>https://motorring.ru/product/35105-zadnie-diodnye-fonari-orlinyy-glaz-tonirovannye-vaz-2105</v>
      </c>
      <c r="H310" s="67" t="s">
        <v>3</v>
      </c>
      <c r="I310" s="82">
        <v>3100</v>
      </c>
      <c r="J310" s="5">
        <f>VLOOKUP(I310,Наценка!$A$1:$G$8,2,1)</f>
        <v>1.27</v>
      </c>
      <c r="K310" s="90">
        <f>W310*1.04</f>
        <v>4149.6000000000004</v>
      </c>
      <c r="L310" s="70">
        <f>IF(K310&lt;=1000,(ROUNDUP(K310,-1)-1),(ROUNDUP(K310,-2)-10))</f>
        <v>4190</v>
      </c>
      <c r="M310" s="80">
        <f>VLOOKUP($A310,'Выгр Кат'!$A:$R,M$1,0)</f>
        <v>3100</v>
      </c>
      <c r="N310" s="80">
        <f>VLOOKUP($A310,'Выгр Кат'!$A:$R,N$1,0)</f>
        <v>4190</v>
      </c>
      <c r="O310" s="28">
        <f>M310-I310</f>
        <v>0</v>
      </c>
      <c r="P310" s="28">
        <f>N310-L310</f>
        <v>0</v>
      </c>
      <c r="Q310" s="36">
        <f>IFERROR(L310*(1-$Q$2),"")</f>
        <v>3896.7</v>
      </c>
      <c r="R310" s="38">
        <f>IFERROR(VLOOKUP($A310,'Из Гугла'!$B:$G,6,0)*S310,VLOOKUP($A310,'Из Гугла'!$B:$G,6,0))</f>
        <v>3990</v>
      </c>
      <c r="S310" s="14">
        <v>1</v>
      </c>
      <c r="T310" s="83">
        <f>IFERROR(Q310/I310-1,"")</f>
        <v>0.2569999999999999</v>
      </c>
      <c r="U310" s="83">
        <f>IFERROR((W310-Q310)/W310,"")</f>
        <v>2.3383458646616586E-2</v>
      </c>
      <c r="V310" s="83">
        <f>IFERROR(IF(W310="","",W310/I310-1),"")</f>
        <v>0.2870967741935484</v>
      </c>
      <c r="W310" s="93">
        <v>3990</v>
      </c>
      <c r="X310" s="71" t="s">
        <v>756</v>
      </c>
    </row>
    <row r="311" spans="1:24" ht="30" x14ac:dyDescent="0.25">
      <c r="A311" s="80">
        <v>145536</v>
      </c>
      <c r="B311" s="80">
        <f>VLOOKUP($A311,'Выгр Кат'!$A:$R,B$1,0)</f>
        <v>12565</v>
      </c>
      <c r="C311" s="81" t="str">
        <f>VLOOKUP($A311,'Выгр Кат'!$A:$R,C$1,0)</f>
        <v>Задние фонари "Орлиный Глаз" для ВАЗ 2108-21099, 2113, 2114</v>
      </c>
      <c r="D311" s="80" t="str">
        <f>VLOOKUP($A311,'Выгр Кат'!$A:$R,D$1,0)</f>
        <v>Y</v>
      </c>
      <c r="E311" s="80" t="str">
        <f>VLOOKUP($A311,'Выгр Кат'!$A:$R,E$1,0)</f>
        <v>1</v>
      </c>
      <c r="F311" s="80" t="str">
        <f>VLOOKUP($A311,'Выгр Кат'!$A:$R,F$1,0)</f>
        <v>DH-417GRAY</v>
      </c>
      <c r="G311" s="80" t="str">
        <f>VLOOKUP($A311,'Выгр Кат'!$A:$R,G$1,0)</f>
        <v>https://motorring.ru/product/28138-zadnie-diodnye-fonari-orlinyy-glaz-tonirovannye-vaz</v>
      </c>
      <c r="H311" s="67" t="s">
        <v>3</v>
      </c>
      <c r="I311" s="82">
        <v>3100</v>
      </c>
      <c r="J311" s="5">
        <f>VLOOKUP(I311,Наценка!$A$1:$G$8,2,1)</f>
        <v>1.27</v>
      </c>
      <c r="K311" s="90">
        <f>W311*1.04</f>
        <v>4357.6000000000004</v>
      </c>
      <c r="L311" s="70">
        <f>IF(K311&lt;=1000,(ROUNDUP(K311,-1)-1),(ROUNDUP(K311,-2)-10))</f>
        <v>4390</v>
      </c>
      <c r="M311" s="80">
        <f>VLOOKUP($A311,'Выгр Кат'!$A:$R,M$1,0)</f>
        <v>3100</v>
      </c>
      <c r="N311" s="80">
        <f>VLOOKUP($A311,'Выгр Кат'!$A:$R,N$1,0)</f>
        <v>4390</v>
      </c>
      <c r="O311" s="28">
        <f>M311-I311</f>
        <v>0</v>
      </c>
      <c r="P311" s="28">
        <f>N311-L311</f>
        <v>0</v>
      </c>
      <c r="Q311" s="36">
        <f>IFERROR(L311*(1-$Q$2),"")</f>
        <v>4082.7</v>
      </c>
      <c r="R311" s="38">
        <f>IFERROR(VLOOKUP($A311,'Из Гугла'!$B:$G,6,0)*S311,VLOOKUP($A311,'Из Гугла'!$B:$G,6,0))</f>
        <v>4190</v>
      </c>
      <c r="S311" s="14">
        <v>1</v>
      </c>
      <c r="T311" s="83">
        <f>IFERROR(Q311/I311-1,"")</f>
        <v>0.31699999999999995</v>
      </c>
      <c r="U311" s="83">
        <f>IFERROR((W311-Q311)/W311,"")</f>
        <v>2.5608591885441571E-2</v>
      </c>
      <c r="V311" s="83">
        <f>IFERROR(IF(W311="","",W311/I311-1),"")</f>
        <v>0.35161290322580641</v>
      </c>
      <c r="W311" s="93">
        <v>4190</v>
      </c>
      <c r="X311" s="71" t="s">
        <v>757</v>
      </c>
    </row>
    <row r="312" spans="1:24" ht="75" x14ac:dyDescent="0.25">
      <c r="A312" s="80">
        <v>213712</v>
      </c>
      <c r="B312" s="80">
        <f>VLOOKUP($A312,'Выгр Кат'!$A:$R,B$1,0)</f>
        <v>18697</v>
      </c>
      <c r="C312" s="81" t="str">
        <f>VLOOKUP($A312,'Выгр Кат'!$A:$R,C$1,0)</f>
        <v>Светодиодные фары 90W, чёрные, с диодным кольцом (ДХО, повторитель) для ВАЗ (2101, 2102), Лада (Нива 4х4, Нива 4х4 Урбан), УАЗ (3303, 469, Хантер), Jeep Wrangler</v>
      </c>
      <c r="D312" s="80" t="str">
        <f>VLOOKUP($A312,'Выгр Кат'!$A:$R,D$1,0)</f>
        <v>Y</v>
      </c>
      <c r="E312" s="80" t="str">
        <f>VLOOKUP($A312,'Выгр Кат'!$A:$R,E$1,0)</f>
        <v>1</v>
      </c>
      <c r="F312" s="80" t="str">
        <f>VLOOKUP($A312,'Выгр Кат'!$A:$R,F$1,0)</f>
        <v>HP-HLD-009</v>
      </c>
      <c r="G312" s="80" t="str">
        <f>VLOOKUP($A312,'Выгр Кат'!$A:$R,G$1,0)</f>
        <v>https://motorring.ru/product/12231-svetodiodnye-fary-90w-dyuymov-chernye-diodnym-kolycom</v>
      </c>
      <c r="H312" s="67" t="s">
        <v>3</v>
      </c>
      <c r="I312" s="82">
        <v>3100</v>
      </c>
      <c r="J312" s="5">
        <f>VLOOKUP(I312,Наценка!$A$1:$G$8,2,1)</f>
        <v>1.27</v>
      </c>
      <c r="K312" s="87">
        <f>W312*1.06</f>
        <v>5077.4000000000005</v>
      </c>
      <c r="L312" s="70">
        <f>IF(K312&lt;=1000,(ROUNDUP(K312,-1)-1),(ROUNDUP(K312,-2)-10))</f>
        <v>5090</v>
      </c>
      <c r="M312" s="80">
        <f>VLOOKUP($A312,'Выгр Кат'!$A:$R,M$1,0)</f>
        <v>3100</v>
      </c>
      <c r="N312" s="80">
        <f>VLOOKUP($A312,'Выгр Кат'!$A:$R,N$1,0)</f>
        <v>5090</v>
      </c>
      <c r="O312" s="28">
        <f>M312-I312</f>
        <v>0</v>
      </c>
      <c r="P312" s="28">
        <f>N312-L312</f>
        <v>0</v>
      </c>
      <c r="Q312" s="36">
        <f>IFERROR(L312*(1-$Q$2),"")</f>
        <v>4733.7</v>
      </c>
      <c r="R312" s="38">
        <f>IFERROR(VLOOKUP($A312,'Из Гугла'!$B:$G,6,0)*S312,VLOOKUP($A312,'Из Гугла'!$B:$G,6,0))</f>
        <v>4790</v>
      </c>
      <c r="S312" s="14">
        <v>1</v>
      </c>
      <c r="T312" s="83">
        <f>IFERROR(Q312/I312-1,"")</f>
        <v>0.52699999999999991</v>
      </c>
      <c r="U312" s="83">
        <f>IFERROR((W312-Q312)/W312,"")</f>
        <v>1.1753653444676448E-2</v>
      </c>
      <c r="V312" s="83">
        <f>IFERROR(IF(W312="","",W312/I312-1),"")</f>
        <v>0.54516129032258065</v>
      </c>
      <c r="W312" s="93">
        <v>4790</v>
      </c>
      <c r="X312" s="71" t="s">
        <v>765</v>
      </c>
    </row>
    <row r="313" spans="1:24" ht="45.75" thickBot="1" x14ac:dyDescent="0.3">
      <c r="A313" s="80">
        <v>143742</v>
      </c>
      <c r="B313" s="80">
        <f>VLOOKUP($A313,'Выгр Кат'!$A:$R,B$1,0)</f>
        <v>134750</v>
      </c>
      <c r="C313" s="81" t="str">
        <f>VLOOKUP($A313,'Выгр Кат'!$A:$R,C$1,0)</f>
        <v>Диодные LED ПТФ (линза) с ангельскими глазками для Лада Приора, Шевроле Нива</v>
      </c>
      <c r="D313" s="80" t="str">
        <f>VLOOKUP($A313,'Выгр Кат'!$A:$R,D$1,0)</f>
        <v>Y</v>
      </c>
      <c r="E313" s="80" t="str">
        <f>VLOOKUP($A313,'Выгр Кат'!$A:$R,E$1,0)</f>
        <v>1</v>
      </c>
      <c r="F313" s="80" t="str">
        <f>VLOOKUP($A313,'Выгр Кат'!$A:$R,F$1,0)</f>
        <v>HP-GZD-371-01</v>
      </c>
      <c r="G313" s="80" t="str">
        <f>VLOOKUP($A313,'Выгр Кат'!$A:$R,G$1,0)</f>
        <v>https://motorring.ru/product/40446-diodnye-ptf-thebestpartner-1linza-6000k-dho-priora</v>
      </c>
      <c r="H313" s="67" t="s">
        <v>3</v>
      </c>
      <c r="I313" s="82">
        <v>3100</v>
      </c>
      <c r="J313" s="5">
        <f>VLOOKUP(I313,Наценка!$A$1:$G$8,2,1)</f>
        <v>1.27</v>
      </c>
      <c r="K313" s="55">
        <f>W313*1.04</f>
        <v>4149.6000000000004</v>
      </c>
      <c r="L313" s="70">
        <f>IF(K313&lt;=1000,(ROUNDUP(K313,-1)-1),(ROUNDUP(K313,-2)-10))</f>
        <v>4190</v>
      </c>
      <c r="M313" s="80">
        <f>VLOOKUP($A313,'Выгр Кат'!$A:$R,M$1,0)</f>
        <v>3100</v>
      </c>
      <c r="N313" s="80">
        <f>VLOOKUP($A313,'Выгр Кат'!$A:$R,N$1,0)</f>
        <v>4190</v>
      </c>
      <c r="O313" s="28">
        <f>M313-I313</f>
        <v>0</v>
      </c>
      <c r="P313" s="28">
        <f>N313-L313</f>
        <v>0</v>
      </c>
      <c r="Q313" s="36">
        <f>IFERROR(L313*(1-$Q$2),"")</f>
        <v>3896.7</v>
      </c>
      <c r="R313" s="38">
        <f>IFERROR(VLOOKUP($A313,'Из Гугла'!$B:$G,6,0)*S313,VLOOKUP($A313,'Из Гугла'!$B:$G,6,0))</f>
        <v>3990</v>
      </c>
      <c r="S313" s="14">
        <v>1</v>
      </c>
      <c r="T313" s="83">
        <f>IFERROR(Q313/I313-1,"")</f>
        <v>0.2569999999999999</v>
      </c>
      <c r="U313" s="83">
        <f>IFERROR((W313-Q313)/W313,"")</f>
        <v>2.3383458646616586E-2</v>
      </c>
      <c r="V313" s="83">
        <f>IFERROR(IF(W313="","",W313/I313-1),"")</f>
        <v>0.2870967741935484</v>
      </c>
      <c r="W313" s="94">
        <v>3990</v>
      </c>
      <c r="X313" s="71" t="s">
        <v>1423</v>
      </c>
    </row>
    <row r="314" spans="1:24" ht="45.75" thickTop="1" x14ac:dyDescent="0.25">
      <c r="A314" s="80">
        <v>143811</v>
      </c>
      <c r="B314" s="80">
        <f>VLOOKUP($A314,'Выгр Кат'!$A:$R,B$1,0)</f>
        <v>4823</v>
      </c>
      <c r="C314" s="81" t="str">
        <f>VLOOKUP($A314,'Выгр Кат'!$A:$R,C$1,0)</f>
        <v>Задние фонари диодные (тонированные) для Лада Приора, Приора 2</v>
      </c>
      <c r="D314" s="80" t="str">
        <f>VLOOKUP($A314,'Выгр Кат'!$A:$R,D$1,0)</f>
        <v>Y</v>
      </c>
      <c r="E314" s="80" t="str">
        <f>VLOOKUP($A314,'Выгр Кат'!$A:$R,E$1,0)</f>
        <v>1</v>
      </c>
      <c r="F314" s="80" t="str">
        <f>VLOOKUP($A314,'Выгр Кат'!$A:$R,F$1,0)</f>
        <v>302 LED</v>
      </c>
      <c r="G314" s="80">
        <f>VLOOKUP($A314,'Выгр Кат'!$A:$R,G$1,0)</f>
        <v>0</v>
      </c>
      <c r="H314" s="67" t="s">
        <v>3</v>
      </c>
      <c r="I314" s="82">
        <v>3100</v>
      </c>
      <c r="J314" s="5">
        <f>VLOOKUP(I314,Наценка!$A$1:$G$8,2,1)</f>
        <v>1.27</v>
      </c>
      <c r="K314" s="34">
        <f>I314*J314</f>
        <v>3937</v>
      </c>
      <c r="L314" s="70">
        <f>IF(K314&lt;=1000,(ROUNDUP(K314,-1)-1),(ROUNDUP(K314,-2)-10))</f>
        <v>3990</v>
      </c>
      <c r="M314" s="80">
        <f>VLOOKUP($A314,'Выгр Кат'!$A:$R,M$1,0)</f>
        <v>3100</v>
      </c>
      <c r="N314" s="80">
        <f>VLOOKUP($A314,'Выгр Кат'!$A:$R,N$1,0)</f>
        <v>3990</v>
      </c>
      <c r="O314" s="28">
        <f>M314-I314</f>
        <v>0</v>
      </c>
      <c r="P314" s="28">
        <f>N314-L314</f>
        <v>0</v>
      </c>
      <c r="Q314" s="36">
        <f>IFERROR(L314*(1-$Q$2),"")</f>
        <v>3710.7</v>
      </c>
      <c r="R314" s="38" t="str">
        <f>IFERROR(VLOOKUP($A314,'Из Гугла'!$B:$G,6,0)*S314,VLOOKUP($A314,'Из Гугла'!$B:$G,6,0))</f>
        <v/>
      </c>
      <c r="S314" s="14">
        <v>1</v>
      </c>
      <c r="T314" s="83">
        <f>IFERROR(Q314/I314-1,"")</f>
        <v>0.19699999999999984</v>
      </c>
      <c r="U314" s="83" t="str">
        <f>IFERROR((W314-Q314)/W314,"")</f>
        <v/>
      </c>
      <c r="V314" s="83" t="str">
        <f>IFERROR(IF(W314="","",W314/I314-1),"")</f>
        <v/>
      </c>
      <c r="W314" s="84" t="s">
        <v>1269</v>
      </c>
    </row>
    <row r="315" spans="1:24" ht="60.75" thickBot="1" x14ac:dyDescent="0.3">
      <c r="A315" s="80">
        <v>274203</v>
      </c>
      <c r="B315" s="80">
        <f>VLOOKUP($A315,'Выгр Кат'!$A:$R,B$1,0)</f>
        <v>216059</v>
      </c>
      <c r="C315" s="81" t="str">
        <f>VLOOKUP($A315,'Выгр Кат'!$A:$R,C$1,0)</f>
        <v>Фонари задние с диодными повторителями, стопами и габаритами для Приора седан, хэтчбек</v>
      </c>
      <c r="D315" s="80" t="str">
        <f>VLOOKUP($A315,'Выгр Кат'!$A:$R,D$1,0)</f>
        <v>Y</v>
      </c>
      <c r="E315" s="80" t="str">
        <f>VLOOKUP($A315,'Выгр Кат'!$A:$R,E$1,0)</f>
        <v>1</v>
      </c>
      <c r="F315" s="80">
        <f>VLOOKUP($A315,'Выгр Кат'!$A:$R,F$1,0)</f>
        <v>0</v>
      </c>
      <c r="G315" s="80" t="str">
        <f>VLOOKUP($A315,'Выгр Кат'!$A:$R,G$1,0)</f>
        <v>https://motorring.ru/product/12720-zadnie-fonari-diodnymi-povtoritelyami-stopami-gabaritami</v>
      </c>
      <c r="H315" s="67" t="s">
        <v>3</v>
      </c>
      <c r="I315" s="82">
        <v>3100</v>
      </c>
      <c r="J315" s="5">
        <f>VLOOKUP(I315,Наценка!$A$1:$G$8,2,1)</f>
        <v>1.27</v>
      </c>
      <c r="K315" s="88">
        <f>I315*J315</f>
        <v>3937</v>
      </c>
      <c r="L315" s="70">
        <f>IF(K315&lt;=1000,(ROUNDUP(K315,-1)-1),(ROUNDUP(K315,-2)-10))</f>
        <v>3990</v>
      </c>
      <c r="M315" s="80">
        <f>VLOOKUP($A315,'Выгр Кат'!$A:$R,M$1,0)</f>
        <v>3100</v>
      </c>
      <c r="N315" s="80">
        <f>VLOOKUP($A315,'Выгр Кат'!$A:$R,N$1,0)</f>
        <v>3990</v>
      </c>
      <c r="O315" s="28">
        <f>M315-I315</f>
        <v>0</v>
      </c>
      <c r="P315" s="28">
        <f>N315-L315</f>
        <v>0</v>
      </c>
      <c r="Q315" s="36">
        <f>IFERROR(L315*(1-$Q$2),"")</f>
        <v>3710.7</v>
      </c>
      <c r="R315" s="38">
        <f>IFERROR(VLOOKUP($A315,'Из Гугла'!$B:$G,6,0)*S315,VLOOKUP($A315,'Из Гугла'!$B:$G,6,0))</f>
        <v>3390</v>
      </c>
      <c r="S315" s="14">
        <v>1</v>
      </c>
      <c r="T315" s="83">
        <f>IFERROR(Q315/I315-1,"")</f>
        <v>0.19699999999999984</v>
      </c>
      <c r="U315" s="83">
        <f>IFERROR((W315-Q315)/W315,"")</f>
        <v>-9.4601769911504374E-2</v>
      </c>
      <c r="V315" s="83">
        <f>IFERROR(IF(W315="","",W315/I315-1),"")</f>
        <v>9.3548387096774155E-2</v>
      </c>
      <c r="W315" s="94">
        <v>3390</v>
      </c>
      <c r="X315" s="71" t="s">
        <v>1272</v>
      </c>
    </row>
    <row r="316" spans="1:24" ht="46.5" thickTop="1" thickBot="1" x14ac:dyDescent="0.3">
      <c r="A316" s="80">
        <v>133279</v>
      </c>
      <c r="B316" s="80">
        <f>VLOOKUP($A316,'Выгр Кат'!$A:$R,B$1,0)</f>
        <v>24043</v>
      </c>
      <c r="C316" s="81" t="str">
        <f>VLOOKUP($A316,'Выгр Кат'!$A:$R,C$1,0)</f>
        <v>Балка дополнительного освещения "The Best Partner" HP-CTD-BPTJ-002 (72 Вт, 380 мм)</v>
      </c>
      <c r="D316" s="80" t="str">
        <f>VLOOKUP($A316,'Выгр Кат'!$A:$R,D$1,0)</f>
        <v>Y</v>
      </c>
      <c r="E316" s="80" t="str">
        <f>VLOOKUP($A316,'Выгр Кат'!$A:$R,E$1,0)</f>
        <v>1</v>
      </c>
      <c r="F316" s="80" t="str">
        <f>VLOOKUP($A316,'Выгр Кат'!$A:$R,F$1,0)</f>
        <v>HP-CTD-BPTJ-002</v>
      </c>
      <c r="G316" s="80">
        <f>VLOOKUP($A316,'Выгр Кат'!$A:$R,G$1,0)</f>
        <v>0</v>
      </c>
      <c r="H316" s="67" t="s">
        <v>3</v>
      </c>
      <c r="I316" s="82">
        <v>3200</v>
      </c>
      <c r="J316" s="5">
        <f>VLOOKUP(I316,Наценка!$A$1:$G$8,2,1)</f>
        <v>1.27</v>
      </c>
      <c r="K316" s="88">
        <f>I316*J316</f>
        <v>4064</v>
      </c>
      <c r="L316" s="70">
        <f>IF(K316&lt;=1000,(ROUNDUP(K316,-1)-1),(ROUNDUP(K316,-2)-10))</f>
        <v>4090</v>
      </c>
      <c r="M316" s="80">
        <f>VLOOKUP($A316,'Выгр Кат'!$A:$R,M$1,0)</f>
        <v>3200</v>
      </c>
      <c r="N316" s="80">
        <f>VLOOKUP($A316,'Выгр Кат'!$A:$R,N$1,0)</f>
        <v>4190</v>
      </c>
      <c r="O316" s="28">
        <f>M316-I316</f>
        <v>0</v>
      </c>
      <c r="P316" s="28">
        <f>N316-L316</f>
        <v>100</v>
      </c>
      <c r="Q316" s="36">
        <f>IFERROR(L316*(1-$Q$2),"")</f>
        <v>3803.7</v>
      </c>
      <c r="R316" s="38" t="str">
        <f>IFERROR(VLOOKUP($A316,'Из Гугла'!$B:$G,6,0)*S316,VLOOKUP($A316,'Из Гугла'!$B:$G,6,0))</f>
        <v/>
      </c>
      <c r="S316" s="14">
        <v>1</v>
      </c>
      <c r="T316" s="83">
        <f>IFERROR(Q316/I316-1,"")</f>
        <v>0.18865624999999997</v>
      </c>
      <c r="U316" s="83" t="str">
        <f>IFERROR((W316-Q316)/W316,"")</f>
        <v/>
      </c>
      <c r="V316" s="83" t="str">
        <f>IFERROR(IF(W316="","",W316/I316-1),"")</f>
        <v/>
      </c>
      <c r="W316" s="94" t="s">
        <v>1269</v>
      </c>
    </row>
    <row r="317" spans="1:24" ht="46.5" thickTop="1" thickBot="1" x14ac:dyDescent="0.3">
      <c r="A317" s="80">
        <v>145490</v>
      </c>
      <c r="B317" s="80">
        <f>VLOOKUP($A317,'Выгр Кат'!$A:$R,B$1,0)</f>
        <v>35597</v>
      </c>
      <c r="C317" s="81" t="str">
        <f>VLOOKUP($A317,'Выгр Кат'!$A:$R,C$1,0)</f>
        <v>Задние светодиодные фонари в стиле Range Rover v2 для Лада Нива 4x4, Нива 4х4 Урбан</v>
      </c>
      <c r="D317" s="80" t="str">
        <f>VLOOKUP($A317,'Выгр Кат'!$A:$R,D$1,0)</f>
        <v>Y</v>
      </c>
      <c r="E317" s="80" t="str">
        <f>VLOOKUP($A317,'Выгр Кат'!$A:$R,E$1,0)</f>
        <v>1</v>
      </c>
      <c r="F317" s="80" t="str">
        <f>VLOOKUP($A317,'Выгр Кат'!$A:$R,F$1,0)</f>
        <v>451R</v>
      </c>
      <c r="G317" s="80" t="str">
        <f>VLOOKUP($A317,'Выгр Кат'!$A:$R,G$1,0)</f>
        <v>https://motorring.ru/product/36708-zadnie-svetodiodnye-svetlie-fonari-stile-range-rover-niva</v>
      </c>
      <c r="H317" s="67" t="s">
        <v>3</v>
      </c>
      <c r="I317" s="82">
        <v>3200</v>
      </c>
      <c r="J317" s="5">
        <f>VLOOKUP(I317,Наценка!$A$1:$G$8,2,1)</f>
        <v>1.27</v>
      </c>
      <c r="K317" s="55">
        <f>W317*1.04</f>
        <v>4045.6000000000004</v>
      </c>
      <c r="L317" s="70">
        <f>IF(K317&lt;=1000,(ROUNDUP(K317,-1)-1),(ROUNDUP(K317,-2)-10))</f>
        <v>4090</v>
      </c>
      <c r="M317" s="80">
        <f>VLOOKUP($A317,'Выгр Кат'!$A:$R,M$1,0)</f>
        <v>3200</v>
      </c>
      <c r="N317" s="80">
        <f>VLOOKUP($A317,'Выгр Кат'!$A:$R,N$1,0)</f>
        <v>4190</v>
      </c>
      <c r="O317" s="28">
        <f>M317-I317</f>
        <v>0</v>
      </c>
      <c r="P317" s="28">
        <f>N317-L317</f>
        <v>100</v>
      </c>
      <c r="Q317" s="36">
        <f>IFERROR(L317*(1-$Q$2),"")</f>
        <v>3803.7</v>
      </c>
      <c r="R317" s="38">
        <f>IFERROR(VLOOKUP($A317,'Из Гугла'!$B:$G,6,0)*S317,VLOOKUP($A317,'Из Гугла'!$B:$G,6,0))</f>
        <v>3890</v>
      </c>
      <c r="S317" s="14">
        <v>1</v>
      </c>
      <c r="T317" s="83">
        <f>IFERROR(Q317/I317-1,"")</f>
        <v>0.18865624999999997</v>
      </c>
      <c r="U317" s="83">
        <f>IFERROR((W317-Q317)/W317,"")</f>
        <v>2.2185089974293106E-2</v>
      </c>
      <c r="V317" s="83">
        <f>IFERROR(IF(W317="","",W317/I317-1),"")</f>
        <v>0.21562499999999996</v>
      </c>
      <c r="W317" s="95">
        <v>3890</v>
      </c>
      <c r="X317" s="71" t="s">
        <v>760</v>
      </c>
    </row>
    <row r="318" spans="1:24" ht="31.5" thickTop="1" thickBot="1" x14ac:dyDescent="0.3">
      <c r="A318" s="80">
        <v>223949</v>
      </c>
      <c r="B318" s="80">
        <f>VLOOKUP($A318,'Выгр Кат'!$A:$R,B$1,0)</f>
        <v>12123</v>
      </c>
      <c r="C318" s="81" t="str">
        <f>VLOOKUP($A318,'Выгр Кат'!$A:$R,C$1,0)</f>
        <v>Фары с ДХО (тонированные) для ВАЗ (2101,2102), Лада Нива 4х4</v>
      </c>
      <c r="D318" s="80" t="str">
        <f>VLOOKUP($A318,'Выгр Кат'!$A:$R,D$1,0)</f>
        <v>Y</v>
      </c>
      <c r="E318" s="80" t="str">
        <f>VLOOKUP($A318,'Выгр Кат'!$A:$R,E$1,0)</f>
        <v>1</v>
      </c>
      <c r="F318" s="80" t="str">
        <f>VLOOKUP($A318,'Выгр Кат'!$A:$R,F$1,0)</f>
        <v>HL-CV407B</v>
      </c>
      <c r="G318" s="80" t="str">
        <f>VLOOKUP($A318,'Выгр Кат'!$A:$R,G$1,0)</f>
        <v>https://motorring.ru/product/8483-fary-neonovymi-dho-tonirovannye-dlya-lada-4h4-niva-vaz-2101</v>
      </c>
      <c r="H318" s="67" t="s">
        <v>3</v>
      </c>
      <c r="I318" s="82">
        <v>3300</v>
      </c>
      <c r="J318" s="5">
        <f>VLOOKUP(I318,Наценка!$A$1:$G$8,2,1)</f>
        <v>1.27</v>
      </c>
      <c r="K318" s="55">
        <f>W318*1.04</f>
        <v>4357.6000000000004</v>
      </c>
      <c r="L318" s="70">
        <f>IF(K318&lt;=1000,(ROUNDUP(K318,-1)-1),(ROUNDUP(K318,-2)-10))</f>
        <v>4390</v>
      </c>
      <c r="M318" s="80">
        <f>VLOOKUP($A318,'Выгр Кат'!$A:$R,M$1,0)</f>
        <v>3300</v>
      </c>
      <c r="N318" s="80">
        <f>VLOOKUP($A318,'Выгр Кат'!$A:$R,N$1,0)</f>
        <v>4390</v>
      </c>
      <c r="O318" s="28">
        <f>M318-I318</f>
        <v>0</v>
      </c>
      <c r="P318" s="28">
        <f>N318-L318</f>
        <v>0</v>
      </c>
      <c r="Q318" s="36">
        <f>IFERROR(L318*(1-$Q$2),"")</f>
        <v>4082.7</v>
      </c>
      <c r="R318" s="38">
        <f>IFERROR(VLOOKUP($A318,'Из Гугла'!$B:$G,6,0)*S318,VLOOKUP($A318,'Из Гугла'!$B:$G,6,0))</f>
        <v>4190</v>
      </c>
      <c r="S318" s="14">
        <v>1</v>
      </c>
      <c r="T318" s="83">
        <f>IFERROR(Q318/I318-1,"")</f>
        <v>0.23718181818181816</v>
      </c>
      <c r="U318" s="83">
        <f>IFERROR((W318-Q318)/W318,"")</f>
        <v>2.5608591885441571E-2</v>
      </c>
      <c r="V318" s="83">
        <f>IFERROR(IF(W318="","",W318/I318-1),"")</f>
        <v>0.26969696969696977</v>
      </c>
      <c r="W318" s="95">
        <v>4190</v>
      </c>
      <c r="X318" s="71" t="s">
        <v>883</v>
      </c>
    </row>
    <row r="319" spans="1:24" ht="45.75" thickTop="1" x14ac:dyDescent="0.25">
      <c r="A319" s="80">
        <v>145540</v>
      </c>
      <c r="B319" s="80">
        <f>VLOOKUP($A319,'Выгр Кат'!$A:$R,B$1,0)</f>
        <v>5005</v>
      </c>
      <c r="C319" s="81" t="str">
        <f>VLOOKUP($A319,'Выгр Кат'!$A:$R,C$1,0)</f>
        <v>Задние фонари "Стрела" светодиодные, тонированные для ВАЗ 2108-21099, 2113, 2114</v>
      </c>
      <c r="D319" s="80" t="str">
        <f>VLOOKUP($A319,'Выгр Кат'!$A:$R,D$1,0)</f>
        <v>Y</v>
      </c>
      <c r="E319" s="80" t="str">
        <f>VLOOKUP($A319,'Выгр Кат'!$A:$R,E$1,0)</f>
        <v>1</v>
      </c>
      <c r="F319" s="80" t="str">
        <f>VLOOKUP($A319,'Выгр Кат'!$A:$R,F$1,0)</f>
        <v>418G</v>
      </c>
      <c r="G319" s="80" t="str">
        <f>VLOOKUP($A319,'Выгр Кат'!$A:$R,G$1,0)</f>
        <v>https://motorring.ru/product/32726-zadnie-diodnye-fonari-418g-toporiki-tonirovannye-dlya-vaz</v>
      </c>
      <c r="H319" s="67" t="s">
        <v>3</v>
      </c>
      <c r="I319" s="82">
        <v>3300</v>
      </c>
      <c r="J319" s="5">
        <f>VLOOKUP(I319,Наценка!$A$1:$G$8,2,1)</f>
        <v>1.27</v>
      </c>
      <c r="K319" s="90">
        <f>W319*1.04</f>
        <v>4149.6000000000004</v>
      </c>
      <c r="L319" s="70">
        <f>IF(K319&lt;=1000,(ROUNDUP(K319,-1)-1),(ROUNDUP(K319,-2)-10))</f>
        <v>4190</v>
      </c>
      <c r="M319" s="80">
        <f>VLOOKUP($A319,'Выгр Кат'!$A:$R,M$1,0)</f>
        <v>3300</v>
      </c>
      <c r="N319" s="80">
        <f>VLOOKUP($A319,'Выгр Кат'!$A:$R,N$1,0)</f>
        <v>4290</v>
      </c>
      <c r="O319" s="28">
        <f>M319-I319</f>
        <v>0</v>
      </c>
      <c r="P319" s="28">
        <f>N319-L319</f>
        <v>100</v>
      </c>
      <c r="Q319" s="36">
        <f>IFERROR(L319*(1-$Q$2),"")</f>
        <v>3896.7</v>
      </c>
      <c r="R319" s="38">
        <f>IFERROR(VLOOKUP($A319,'Из Гугла'!$B:$G,6,0)*S319,VLOOKUP($A319,'Из Гугла'!$B:$G,6,0))</f>
        <v>3990</v>
      </c>
      <c r="S319" s="14">
        <v>1</v>
      </c>
      <c r="T319" s="83">
        <f>IFERROR(Q319/I319-1,"")</f>
        <v>0.18081818181818177</v>
      </c>
      <c r="U319" s="83">
        <f>IFERROR((W319-Q319)/W319,"")</f>
        <v>2.3383458646616586E-2</v>
      </c>
      <c r="V319" s="83">
        <f>IFERROR(IF(W319="","",W319/I319-1),"")</f>
        <v>0.20909090909090899</v>
      </c>
      <c r="W319" s="93">
        <v>3990</v>
      </c>
      <c r="X319" s="71" t="s">
        <v>885</v>
      </c>
    </row>
    <row r="320" spans="1:24" ht="61.5" thickTop="1" thickBot="1" x14ac:dyDescent="0.3">
      <c r="A320" s="80">
        <v>117270</v>
      </c>
      <c r="B320" s="80">
        <f>VLOOKUP($A320,'Выгр Кат'!$A:$R,B$1,0)</f>
        <v>13758</v>
      </c>
      <c r="C320" s="81" t="str">
        <f>VLOOKUP($A320,'Выгр Кат'!$A:$R,C$1,0)</f>
        <v>LED "DLAA" оригинальные (диодные) подфарники с дневными ходовыми огнями тёмный хром для Лада Нива 4х4</v>
      </c>
      <c r="D320" s="80" t="str">
        <f>VLOOKUP($A320,'Выгр Кат'!$A:$R,D$1,0)</f>
        <v>Y</v>
      </c>
      <c r="E320" s="80" t="str">
        <f>VLOOKUP($A320,'Выгр Кат'!$A:$R,E$1,0)</f>
        <v>1ск1</v>
      </c>
      <c r="F320" s="80" t="str">
        <f>VLOOKUP($A320,'Выгр Кат'!$A:$R,F$1,0)</f>
        <v>PL-1762</v>
      </c>
      <c r="G320" s="80" t="str">
        <f>VLOOKUP($A320,'Выгр Кат'!$A:$R,G$1,0)</f>
        <v>https://motorring.ru/product/10566-podfarniki-dlaa-diodnymi-povorotnikami-dho-temnyy-hrom-niva</v>
      </c>
      <c r="H320" s="67" t="s">
        <v>3</v>
      </c>
      <c r="I320" s="82">
        <v>3300</v>
      </c>
      <c r="J320" s="5">
        <f>VLOOKUP(I320,Наценка!$A$1:$G$8,2,1)</f>
        <v>1.27</v>
      </c>
      <c r="K320" s="57">
        <f>W320*1.07</f>
        <v>4697.3</v>
      </c>
      <c r="L320" s="70">
        <f>IF(K320&lt;=1000,(ROUNDUP(K320,-1)-1),(ROUNDUP(K320,-2)-10))</f>
        <v>4690</v>
      </c>
      <c r="M320" s="80">
        <f>VLOOKUP($A320,'Выгр Кат'!$A:$R,M$1,0)</f>
        <v>3300</v>
      </c>
      <c r="N320" s="80">
        <f>VLOOKUP($A320,'Выгр Кат'!$A:$R,N$1,0)</f>
        <v>4690</v>
      </c>
      <c r="O320" s="28">
        <f>M320-I320</f>
        <v>0</v>
      </c>
      <c r="P320" s="28">
        <f>N320-L320</f>
        <v>0</v>
      </c>
      <c r="Q320" s="36">
        <f>IFERROR(L320*(1-$Q$2),"")</f>
        <v>4361.7</v>
      </c>
      <c r="R320" s="38">
        <f>IFERROR(VLOOKUP($A320,'Из Гугла'!$B:$G,6,0)*S320,VLOOKUP($A320,'Из Гугла'!$B:$G,6,0))</f>
        <v>4390</v>
      </c>
      <c r="S320" s="14">
        <v>1</v>
      </c>
      <c r="T320" s="83">
        <f>IFERROR(Q320/I320-1,"")</f>
        <v>0.32172727272727264</v>
      </c>
      <c r="U320" s="83">
        <f>IFERROR((W320-Q320)/W320,"")</f>
        <v>6.4464692482916128E-3</v>
      </c>
      <c r="V320" s="83">
        <f>IFERROR(IF(W320="","",W320/I320-1),"")</f>
        <v>0.33030303030303032</v>
      </c>
      <c r="W320" s="95">
        <v>4390</v>
      </c>
      <c r="X320" s="71" t="s">
        <v>762</v>
      </c>
    </row>
    <row r="321" spans="1:24" ht="31.5" thickTop="1" thickBot="1" x14ac:dyDescent="0.3">
      <c r="A321" s="80">
        <v>145529</v>
      </c>
      <c r="B321" s="80">
        <f>VLOOKUP($A321,'Выгр Кат'!$A:$R,B$1,0)</f>
        <v>4943</v>
      </c>
      <c r="C321" s="81" t="str">
        <f>VLOOKUP($A321,'Выгр Кат'!$A:$R,C$1,0)</f>
        <v>Задние фонари "X" диодные для ВАЗ 2108-21099, 2113, 2114</v>
      </c>
      <c r="D321" s="80" t="str">
        <f>VLOOKUP($A321,'Выгр Кат'!$A:$R,D$1,0)</f>
        <v>Y</v>
      </c>
      <c r="E321" s="80" t="str">
        <f>VLOOKUP($A321,'Выгр Кат'!$A:$R,E$1,0)</f>
        <v>1</v>
      </c>
      <c r="F321" s="80" t="str">
        <f>VLOOKUP($A321,'Выгр Кат'!$A:$R,F$1,0)</f>
        <v>416G</v>
      </c>
      <c r="G321" s="80">
        <f>VLOOKUP($A321,'Выгр Кат'!$A:$R,G$1,0)</f>
        <v>0</v>
      </c>
      <c r="H321" s="67" t="s">
        <v>3</v>
      </c>
      <c r="I321" s="82">
        <v>3300</v>
      </c>
      <c r="J321" s="5">
        <f>VLOOKUP(I321,Наценка!$A$1:$G$8,2,1)</f>
        <v>1.27</v>
      </c>
      <c r="K321" s="88">
        <f>I321*J321</f>
        <v>4191</v>
      </c>
      <c r="L321" s="70">
        <f>IF(K321&lt;=1000,(ROUNDUP(K321,-1)-1),(ROUNDUP(K321,-2)-10))</f>
        <v>4190</v>
      </c>
      <c r="M321" s="80">
        <f>VLOOKUP($A321,'Выгр Кат'!$A:$R,M$1,0)</f>
        <v>3300</v>
      </c>
      <c r="N321" s="80">
        <f>VLOOKUP($A321,'Выгр Кат'!$A:$R,N$1,0)</f>
        <v>4290</v>
      </c>
      <c r="O321" s="28">
        <f>M321-I321</f>
        <v>0</v>
      </c>
      <c r="P321" s="28">
        <f>N321-L321</f>
        <v>100</v>
      </c>
      <c r="Q321" s="36">
        <f>IFERROR(L321*(1-$Q$2),"")</f>
        <v>3896.7</v>
      </c>
      <c r="R321" s="38" t="str">
        <f>IFERROR(VLOOKUP($A321,'Из Гугла'!$B:$G,6,0)*S321,VLOOKUP($A321,'Из Гугла'!$B:$G,6,0))</f>
        <v/>
      </c>
      <c r="S321" s="14">
        <v>1</v>
      </c>
      <c r="T321" s="83">
        <f>IFERROR(Q321/I321-1,"")</f>
        <v>0.18081818181818177</v>
      </c>
      <c r="U321" s="83" t="str">
        <f>IFERROR((W321-Q321)/W321,"")</f>
        <v/>
      </c>
      <c r="V321" s="83" t="str">
        <f>IFERROR(IF(W321="","",W321/I321-1),"")</f>
        <v/>
      </c>
      <c r="W321" s="95" t="s">
        <v>1428</v>
      </c>
    </row>
    <row r="322" spans="1:24" ht="31.5" thickTop="1" thickBot="1" x14ac:dyDescent="0.3">
      <c r="A322" s="80">
        <v>145534</v>
      </c>
      <c r="B322" s="80">
        <f>VLOOKUP($A322,'Выгр Кат'!$A:$R,B$1,0)</f>
        <v>4952</v>
      </c>
      <c r="C322" s="81" t="str">
        <f>VLOOKUP($A322,'Выгр Кат'!$A:$R,C$1,0)</f>
        <v>Задние фонари "Кольца" диодные для ВАЗ 2108-21099, 2113, 2114</v>
      </c>
      <c r="D322" s="80" t="str">
        <f>VLOOKUP($A322,'Выгр Кат'!$A:$R,D$1,0)</f>
        <v>Y</v>
      </c>
      <c r="E322" s="80" t="str">
        <f>VLOOKUP($A322,'Выгр Кат'!$A:$R,E$1,0)</f>
        <v>1</v>
      </c>
      <c r="F322" s="80" t="str">
        <f>VLOOKUP($A322,'Выгр Кат'!$A:$R,F$1,0)</f>
        <v>419G</v>
      </c>
      <c r="G322" s="80" t="str">
        <f>VLOOKUP($A322,'Выгр Кат'!$A:$R,G$1,0)</f>
        <v>https://motorring.ru/product/6919-zadnie-fonari-prosport-rs-09070-audi-dlya-vaz-2108-14</v>
      </c>
      <c r="H322" s="67" t="s">
        <v>3</v>
      </c>
      <c r="I322" s="82">
        <v>3300</v>
      </c>
      <c r="J322" s="5">
        <f>VLOOKUP(I322,Наценка!$A$1:$G$8,2,1)</f>
        <v>1.27</v>
      </c>
      <c r="K322" s="55">
        <f>W322*1.04</f>
        <v>4461.6000000000004</v>
      </c>
      <c r="L322" s="70">
        <f>IF(K322&lt;=1000,(ROUNDUP(K322,-1)-1),(ROUNDUP(K322,-2)-10))</f>
        <v>4490</v>
      </c>
      <c r="M322" s="80">
        <f>VLOOKUP($A322,'Выгр Кат'!$A:$R,M$1,0)</f>
        <v>3300</v>
      </c>
      <c r="N322" s="80">
        <f>VLOOKUP($A322,'Выгр Кат'!$A:$R,N$1,0)</f>
        <v>4490</v>
      </c>
      <c r="O322" s="28">
        <f>M322-I322</f>
        <v>0</v>
      </c>
      <c r="P322" s="28">
        <f>N322-L322</f>
        <v>0</v>
      </c>
      <c r="Q322" s="36">
        <f>IFERROR(L322*(1-$Q$2),"")</f>
        <v>4175.7</v>
      </c>
      <c r="R322" s="38">
        <f>IFERROR(VLOOKUP($A322,'Из Гугла'!$B:$G,6,0)*S322,VLOOKUP($A322,'Из Гугла'!$B:$G,6,0))</f>
        <v>4290</v>
      </c>
      <c r="S322" s="14">
        <v>1</v>
      </c>
      <c r="T322" s="83">
        <f>IFERROR(Q322/I322-1,"")</f>
        <v>0.26536363636363625</v>
      </c>
      <c r="U322" s="83">
        <f>IFERROR((W322-Q322)/W322,"")</f>
        <v>2.6643356643356687E-2</v>
      </c>
      <c r="V322" s="83">
        <f>IFERROR(IF(W322="","",W322/I322-1),"")</f>
        <v>0.30000000000000004</v>
      </c>
      <c r="W322" s="95">
        <v>4290</v>
      </c>
      <c r="X322" s="71" t="s">
        <v>886</v>
      </c>
    </row>
    <row r="323" spans="1:24" ht="60.75" thickTop="1" x14ac:dyDescent="0.25">
      <c r="A323" s="80">
        <v>145477</v>
      </c>
      <c r="B323" s="80">
        <f>VLOOKUP($A323,'Выгр Кат'!$A:$R,B$1,0)</f>
        <v>23761</v>
      </c>
      <c r="C323" s="81" t="str">
        <f>VLOOKUP($A323,'Выгр Кат'!$A:$R,C$1,0)</f>
        <v>Задние светодиодные фонари "Тонированные-иксы" (чёрные, с бегающим повторителем) для Лада Нива 4x4, Нива 4x4 Урбан</v>
      </c>
      <c r="D323" s="80" t="str">
        <f>VLOOKUP($A323,'Выгр Кат'!$A:$R,D$1,0)</f>
        <v>Y</v>
      </c>
      <c r="E323" s="80" t="str">
        <f>VLOOKUP($A323,'Выгр Кат'!$A:$R,E$1,0)</f>
        <v>1</v>
      </c>
      <c r="F323" s="80">
        <f>VLOOKUP($A323,'Выгр Кат'!$A:$R,F$1,0)</f>
        <v>0</v>
      </c>
      <c r="G323" s="80" t="str">
        <f>VLOOKUP($A323,'Выгр Кат'!$A:$R,G$1,0)</f>
        <v>https://motorring.ru/product/25912-zadnie-svetodiodnye-fonari-iksy-chernye-begayuschim</v>
      </c>
      <c r="H323" s="67" t="s">
        <v>3</v>
      </c>
      <c r="I323" s="82">
        <v>3300</v>
      </c>
      <c r="J323" s="5">
        <f>VLOOKUP(I323,Наценка!$A$1:$G$8,2,1)</f>
        <v>1.27</v>
      </c>
      <c r="K323" s="34">
        <f>I323*J323</f>
        <v>4191</v>
      </c>
      <c r="L323" s="70">
        <f>IF(K323&lt;=1000,(ROUNDUP(K323,-1)-1),(ROUNDUP(K323,-2)-10))</f>
        <v>4190</v>
      </c>
      <c r="M323" s="80">
        <f>VLOOKUP($A323,'Выгр Кат'!$A:$R,M$1,0)</f>
        <v>3300</v>
      </c>
      <c r="N323" s="80">
        <f>VLOOKUP($A323,'Выгр Кат'!$A:$R,N$1,0)</f>
        <v>4290</v>
      </c>
      <c r="O323" s="28">
        <f>M323-I323</f>
        <v>0</v>
      </c>
      <c r="P323" s="28">
        <f>N323-L323</f>
        <v>100</v>
      </c>
      <c r="Q323" s="36">
        <f>IFERROR(L323*(1-$Q$2),"")</f>
        <v>3896.7</v>
      </c>
      <c r="R323" s="38">
        <f>IFERROR(VLOOKUP($A323,'Из Гугла'!$B:$G,6,0)*S323,VLOOKUP($A323,'Из Гугла'!$B:$G,6,0))</f>
        <v>3390</v>
      </c>
      <c r="S323" s="14">
        <v>1</v>
      </c>
      <c r="T323" s="83">
        <f>IFERROR(Q323/I323-1,"")</f>
        <v>0.18081818181818177</v>
      </c>
      <c r="U323" s="83">
        <f>IFERROR((W323-Q323)/W323,"")</f>
        <v>-0.1494690265486725</v>
      </c>
      <c r="V323" s="83">
        <f>IFERROR(IF(W323="","",W323/I323-1),"")</f>
        <v>2.7272727272727337E-2</v>
      </c>
      <c r="W323" s="93">
        <v>3390</v>
      </c>
      <c r="X323" s="71" t="s">
        <v>795</v>
      </c>
    </row>
    <row r="324" spans="1:24" ht="60.75" thickBot="1" x14ac:dyDescent="0.3">
      <c r="A324" s="80">
        <v>145475</v>
      </c>
      <c r="B324" s="80">
        <f>VLOOKUP($A324,'Выгр Кат'!$A:$R,B$1,0)</f>
        <v>23762</v>
      </c>
      <c r="C324" s="81" t="str">
        <f>VLOOKUP($A324,'Выгр Кат'!$A:$R,C$1,0)</f>
        <v>Задние светодиодные фонари "Иксы" (красные, с бегающим повторителем) для Лада Нива 4x4, Нива 4x4 Урбан</v>
      </c>
      <c r="D324" s="80" t="str">
        <f>VLOOKUP($A324,'Выгр Кат'!$A:$R,D$1,0)</f>
        <v>Y</v>
      </c>
      <c r="E324" s="80" t="str">
        <f>VLOOKUP($A324,'Выгр Кат'!$A:$R,E$1,0)</f>
        <v>1</v>
      </c>
      <c r="F324" s="80">
        <f>VLOOKUP($A324,'Выгр Кат'!$A:$R,F$1,0)</f>
        <v>0</v>
      </c>
      <c r="G324" s="80" t="str">
        <f>VLOOKUP($A324,'Выгр Кат'!$A:$R,G$1,0)</f>
        <v>https://motorring.ru/product/25913-zadnie-svetodiodnye-fonari-iksy-krasnye-begayuschim</v>
      </c>
      <c r="H324" s="67" t="s">
        <v>3</v>
      </c>
      <c r="I324" s="82">
        <v>3300</v>
      </c>
      <c r="J324" s="5">
        <f>VLOOKUP(I324,Наценка!$A$1:$G$8,2,1)</f>
        <v>1.27</v>
      </c>
      <c r="K324" s="55">
        <f>W324*1.04</f>
        <v>4461.6000000000004</v>
      </c>
      <c r="L324" s="70">
        <f>IF(K324&lt;=1000,(ROUNDUP(K324,-1)-1),(ROUNDUP(K324,-2)-10))</f>
        <v>4490</v>
      </c>
      <c r="M324" s="80">
        <f>VLOOKUP($A324,'Выгр Кат'!$A:$R,M$1,0)</f>
        <v>3300</v>
      </c>
      <c r="N324" s="80">
        <f>VLOOKUP($A324,'Выгр Кат'!$A:$R,N$1,0)</f>
        <v>4490</v>
      </c>
      <c r="O324" s="28">
        <f>M324-I324</f>
        <v>0</v>
      </c>
      <c r="P324" s="28">
        <f>N324-L324</f>
        <v>0</v>
      </c>
      <c r="Q324" s="36">
        <f>IFERROR(L324*(1-$Q$2),"")</f>
        <v>4175.7</v>
      </c>
      <c r="R324" s="38">
        <f>IFERROR(VLOOKUP($A324,'Из Гугла'!$B:$G,6,0)*S324,VLOOKUP($A324,'Из Гугла'!$B:$G,6,0))</f>
        <v>4290</v>
      </c>
      <c r="S324" s="14">
        <v>1</v>
      </c>
      <c r="T324" s="83">
        <f>IFERROR(Q324/I324-1,"")</f>
        <v>0.26536363636363625</v>
      </c>
      <c r="U324" s="83">
        <f>IFERROR((W324-Q324)/W324,"")</f>
        <v>2.6643356643356687E-2</v>
      </c>
      <c r="V324" s="83">
        <f>IFERROR(IF(W324="","",W324/I324-1),"")</f>
        <v>0.30000000000000004</v>
      </c>
      <c r="W324" s="85">
        <v>4290</v>
      </c>
      <c r="X324" s="71" t="s">
        <v>796</v>
      </c>
    </row>
    <row r="325" spans="1:24" ht="61.5" thickTop="1" thickBot="1" x14ac:dyDescent="0.3">
      <c r="A325" s="80">
        <v>145483</v>
      </c>
      <c r="B325" s="80">
        <f>VLOOKUP($A325,'Выгр Кат'!$A:$R,B$1,0)</f>
        <v>23763</v>
      </c>
      <c r="C325" s="81" t="str">
        <f>VLOOKUP($A325,'Выгр Кат'!$A:$R,C$1,0)</f>
        <v>Задние светодиодные фонари белые "Белые-иксы" (чёрные, с бегающим повторителем) для Лада Нива 4x4, Нива 4x4 Урбан</v>
      </c>
      <c r="D325" s="80" t="str">
        <f>VLOOKUP($A325,'Выгр Кат'!$A:$R,D$1,0)</f>
        <v>Y</v>
      </c>
      <c r="E325" s="80" t="str">
        <f>VLOOKUP($A325,'Выгр Кат'!$A:$R,E$1,0)</f>
        <v>1</v>
      </c>
      <c r="F325" s="80">
        <f>VLOOKUP($A325,'Выгр Кат'!$A:$R,F$1,0)</f>
        <v>0</v>
      </c>
      <c r="G325" s="80" t="str">
        <f>VLOOKUP($A325,'Выгр Кат'!$A:$R,G$1,0)</f>
        <v>https://motorring.ru/product/25914-zadnie-svetodiodnye-fonari-belie-iksy-chernye-begayuschim</v>
      </c>
      <c r="H325" s="67" t="s">
        <v>3</v>
      </c>
      <c r="I325" s="82">
        <v>3300</v>
      </c>
      <c r="J325" s="5">
        <f>VLOOKUP(I325,Наценка!$A$1:$G$8,2,1)</f>
        <v>1.27</v>
      </c>
      <c r="K325" s="55">
        <f>W325*1.04</f>
        <v>4461.6000000000004</v>
      </c>
      <c r="L325" s="70">
        <f>IF(K325&lt;=1000,(ROUNDUP(K325,-1)-1),(ROUNDUP(K325,-2)-10))</f>
        <v>4490</v>
      </c>
      <c r="M325" s="80">
        <f>VLOOKUP($A325,'Выгр Кат'!$A:$R,M$1,0)</f>
        <v>3300</v>
      </c>
      <c r="N325" s="80">
        <f>VLOOKUP($A325,'Выгр Кат'!$A:$R,N$1,0)</f>
        <v>4490</v>
      </c>
      <c r="O325" s="28">
        <f>M325-I325</f>
        <v>0</v>
      </c>
      <c r="P325" s="28">
        <f>N325-L325</f>
        <v>0</v>
      </c>
      <c r="Q325" s="36">
        <f>IFERROR(L325*(1-$Q$2),"")</f>
        <v>4175.7</v>
      </c>
      <c r="R325" s="38">
        <f>IFERROR(VLOOKUP($A325,'Из Гугла'!$B:$G,6,0)*S325,VLOOKUP($A325,'Из Гугла'!$B:$G,6,0))</f>
        <v>4290</v>
      </c>
      <c r="S325" s="14">
        <v>1</v>
      </c>
      <c r="T325" s="83">
        <f>IFERROR(Q325/I325-1,"")</f>
        <v>0.26536363636363625</v>
      </c>
      <c r="U325" s="83">
        <f>IFERROR((W325-Q325)/W325,"")</f>
        <v>2.6643356643356687E-2</v>
      </c>
      <c r="V325" s="83">
        <f>IFERROR(IF(W325="","",W325/I325-1),"")</f>
        <v>0.30000000000000004</v>
      </c>
      <c r="W325" s="95">
        <v>4290</v>
      </c>
      <c r="X325" s="71" t="s">
        <v>887</v>
      </c>
    </row>
    <row r="326" spans="1:24" ht="31.5" thickTop="1" thickBot="1" x14ac:dyDescent="0.3">
      <c r="A326" s="80">
        <v>145544</v>
      </c>
      <c r="B326" s="80">
        <f>VLOOKUP($A326,'Выгр Кат'!$A:$R,B$1,0)</f>
        <v>4958</v>
      </c>
      <c r="C326" s="81" t="str">
        <f>VLOOKUP($A326,'Выгр Кат'!$A:$R,C$1,0)</f>
        <v>Задние фонари "ХX" диодные для ВАЗ 2108-21099, 2113, 2114</v>
      </c>
      <c r="D326" s="80" t="str">
        <f>VLOOKUP($A326,'Выгр Кат'!$A:$R,D$1,0)</f>
        <v>Y</v>
      </c>
      <c r="E326" s="80" t="str">
        <f>VLOOKUP($A326,'Выгр Кат'!$A:$R,E$1,0)</f>
        <v>1</v>
      </c>
      <c r="F326" s="80" t="str">
        <f>VLOOKUP($A326,'Выгр Кат'!$A:$R,F$1,0)</f>
        <v>416G</v>
      </c>
      <c r="G326" s="80" t="str">
        <f>VLOOKUP($A326,'Выгр Кат'!$A:$R,G$1,0)</f>
        <v>https://motorring.ru/product/27746-zadnie-diodnye-fonari-iksy-tonirovannye-vaz-2108-21099-2113</v>
      </c>
      <c r="H326" s="67" t="s">
        <v>3</v>
      </c>
      <c r="I326" s="82">
        <v>3300</v>
      </c>
      <c r="J326" s="5">
        <f>VLOOKUP(I326,Наценка!$A$1:$G$8,2,1)</f>
        <v>1.27</v>
      </c>
      <c r="K326" s="55">
        <f>W326*1.04</f>
        <v>4461.6000000000004</v>
      </c>
      <c r="L326" s="70">
        <f>IF(K326&lt;=1000,(ROUNDUP(K326,-1)-1),(ROUNDUP(K326,-2)-10))</f>
        <v>4490</v>
      </c>
      <c r="M326" s="80">
        <f>VLOOKUP($A326,'Выгр Кат'!$A:$R,M$1,0)</f>
        <v>3300</v>
      </c>
      <c r="N326" s="80">
        <f>VLOOKUP($A326,'Выгр Кат'!$A:$R,N$1,0)</f>
        <v>4490</v>
      </c>
      <c r="O326" s="28">
        <f>M326-I326</f>
        <v>0</v>
      </c>
      <c r="P326" s="28">
        <f>N326-L326</f>
        <v>0</v>
      </c>
      <c r="Q326" s="36">
        <f>IFERROR(L326*(1-$Q$2),"")</f>
        <v>4175.7</v>
      </c>
      <c r="R326" s="38">
        <f>IFERROR(VLOOKUP($A326,'Из Гугла'!$B:$G,6,0)*S326,VLOOKUP($A326,'Из Гугла'!$B:$G,6,0))</f>
        <v>4290</v>
      </c>
      <c r="S326" s="14">
        <v>1</v>
      </c>
      <c r="T326" s="83">
        <f>IFERROR(Q326/I326-1,"")</f>
        <v>0.26536363636363625</v>
      </c>
      <c r="U326" s="83">
        <f>IFERROR((W326-Q326)/W326,"")</f>
        <v>2.6643356643356687E-2</v>
      </c>
      <c r="V326" s="83">
        <f>IFERROR(IF(W326="","",W326/I326-1),"")</f>
        <v>0.30000000000000004</v>
      </c>
      <c r="W326" s="85">
        <v>4290</v>
      </c>
      <c r="X326" s="71" t="s">
        <v>747</v>
      </c>
    </row>
    <row r="327" spans="1:24" ht="46.5" thickTop="1" thickBot="1" x14ac:dyDescent="0.3">
      <c r="A327" s="80">
        <v>256651</v>
      </c>
      <c r="B327" s="80">
        <f>VLOOKUP($A327,'Выгр Кат'!$A:$R,B$1,0)</f>
        <v>196118</v>
      </c>
      <c r="C327" s="81" t="str">
        <f>VLOOKUP($A327,'Выгр Кат'!$A:$R,C$1,0)</f>
        <v>Тюнинг задние фонари диодные (красно-белые, бегущий поворотник) для Лада Гранта, Гранта FL (седан)</v>
      </c>
      <c r="D327" s="80" t="str">
        <f>VLOOKUP($A327,'Выгр Кат'!$A:$R,D$1,0)</f>
        <v>Y</v>
      </c>
      <c r="E327" s="80" t="str">
        <f>VLOOKUP($A327,'Выгр Кат'!$A:$R,E$1,0)</f>
        <v>1</v>
      </c>
      <c r="F327" s="80" t="str">
        <f>VLOOKUP($A327,'Выгр Кат'!$A:$R,F$1,0)</f>
        <v>ZFT310-1RED-WHITE</v>
      </c>
      <c r="G327" s="80" t="str">
        <f>VLOOKUP($A327,'Выгр Кат'!$A:$R,G$1,0)</f>
        <v>https://motorring.ru/product/41830-diodnye-krasno-belye-fonari-dinamicheskie-granta-sedan</v>
      </c>
      <c r="H327" s="67" t="s">
        <v>3</v>
      </c>
      <c r="I327" s="82">
        <v>3300</v>
      </c>
      <c r="J327" s="5">
        <f>VLOOKUP(I327,Наценка!$A$1:$G$8,2,1)</f>
        <v>1.27</v>
      </c>
      <c r="K327" s="55">
        <f>W327*1.04</f>
        <v>4461.6000000000004</v>
      </c>
      <c r="L327" s="70">
        <f>IF(K327&lt;=1000,(ROUNDUP(K327,-1)-1),(ROUNDUP(K327,-2)-10))</f>
        <v>4490</v>
      </c>
      <c r="M327" s="80">
        <f>VLOOKUP($A327,'Выгр Кат'!$A:$R,M$1,0)</f>
        <v>3300</v>
      </c>
      <c r="N327" s="80">
        <f>VLOOKUP($A327,'Выгр Кат'!$A:$R,N$1,0)</f>
        <v>4490</v>
      </c>
      <c r="O327" s="28">
        <f>M327-I327</f>
        <v>0</v>
      </c>
      <c r="P327" s="28">
        <f>N327-L327</f>
        <v>0</v>
      </c>
      <c r="Q327" s="36">
        <f>IFERROR(L327*(1-$Q$2),"")</f>
        <v>4175.7</v>
      </c>
      <c r="R327" s="38">
        <f>IFERROR(VLOOKUP($A327,'Из Гугла'!$B:$G,6,0)*S327,VLOOKUP($A327,'Из Гугла'!$B:$G,6,0))</f>
        <v>4290</v>
      </c>
      <c r="S327" s="14">
        <v>1</v>
      </c>
      <c r="T327" s="83">
        <f>IFERROR(Q327/I327-1,"")</f>
        <v>0.26536363636363625</v>
      </c>
      <c r="U327" s="83">
        <f>IFERROR((W327-Q327)/W327,"")</f>
        <v>2.6643356643356687E-2</v>
      </c>
      <c r="V327" s="83">
        <f>IFERROR(IF(W327="","",W327/I327-1),"")</f>
        <v>0.30000000000000004</v>
      </c>
      <c r="W327" s="94">
        <v>4290</v>
      </c>
      <c r="X327" s="71" t="s">
        <v>1357</v>
      </c>
    </row>
    <row r="328" spans="1:24" ht="31.5" thickTop="1" thickBot="1" x14ac:dyDescent="0.3">
      <c r="A328" s="80">
        <v>224161</v>
      </c>
      <c r="B328" s="80">
        <f>VLOOKUP($A328,'Выгр Кат'!$A:$R,B$1,0)</f>
        <v>18899</v>
      </c>
      <c r="C328" s="81" t="str">
        <f>VLOOKUP($A328,'Выгр Кат'!$A:$R,C$1,0)</f>
        <v>Фонари LED "Британия" чёрные для Лада Нива 4х4</v>
      </c>
      <c r="D328" s="80" t="str">
        <f>VLOOKUP($A328,'Выгр Кат'!$A:$R,D$1,0)</f>
        <v>Y</v>
      </c>
      <c r="E328" s="80" t="str">
        <f>VLOOKUP($A328,'Выгр Кат'!$A:$R,E$1,0)</f>
        <v>1</v>
      </c>
      <c r="F328" s="80">
        <f>VLOOKUP($A328,'Выгр Кат'!$A:$R,F$1,0)</f>
        <v>0</v>
      </c>
      <c r="G328" s="80" t="str">
        <f>VLOOKUP($A328,'Выгр Кат'!$A:$R,G$1,0)</f>
        <v>https://motorring.ru/product/22260-zadnie-svetodiodnye-fonari-britaniya-chernye-begayuschim</v>
      </c>
      <c r="H328" s="67" t="s">
        <v>3</v>
      </c>
      <c r="I328" s="82">
        <v>3500</v>
      </c>
      <c r="J328" s="5">
        <f>VLOOKUP(I328,Наценка!$A$1:$G$8,2,1)</f>
        <v>1.27</v>
      </c>
      <c r="K328" s="88">
        <f>I328*J328</f>
        <v>4445</v>
      </c>
      <c r="L328" s="70">
        <f>IF(K328&lt;=1000,(ROUNDUP(K328,-1)-1),(ROUNDUP(K328,-2)-10))</f>
        <v>4490</v>
      </c>
      <c r="M328" s="80">
        <f>VLOOKUP($A328,'Выгр Кат'!$A:$R,M$1,0)</f>
        <v>3500</v>
      </c>
      <c r="N328" s="80">
        <f>VLOOKUP($A328,'Выгр Кат'!$A:$R,N$1,0)</f>
        <v>4590</v>
      </c>
      <c r="O328" s="28">
        <f>M328-I328</f>
        <v>0</v>
      </c>
      <c r="P328" s="28">
        <f>N328-L328</f>
        <v>100</v>
      </c>
      <c r="Q328" s="36">
        <f>IFERROR(L328*(1-$Q$2),"")</f>
        <v>4175.7</v>
      </c>
      <c r="R328" s="38">
        <f>IFERROR(VLOOKUP($A328,'Из Гугла'!$B:$G,6,0)*S328,VLOOKUP($A328,'Из Гугла'!$B:$G,6,0))</f>
        <v>3590</v>
      </c>
      <c r="S328" s="14">
        <v>1</v>
      </c>
      <c r="T328" s="83">
        <f>IFERROR(Q328/I328-1,"")</f>
        <v>0.19305714285714282</v>
      </c>
      <c r="U328" s="83">
        <f>IFERROR((W328-Q328)/W328,"")</f>
        <v>-0.16314763231197765</v>
      </c>
      <c r="V328" s="83">
        <f>IFERROR(IF(W328="","",W328/I328-1),"")</f>
        <v>2.5714285714285801E-2</v>
      </c>
      <c r="W328" s="95">
        <v>3590</v>
      </c>
      <c r="X328" s="71" t="s">
        <v>781</v>
      </c>
    </row>
    <row r="329" spans="1:24" ht="31.5" thickTop="1" thickBot="1" x14ac:dyDescent="0.3">
      <c r="A329" s="80">
        <v>224160</v>
      </c>
      <c r="B329" s="80">
        <f>VLOOKUP($A329,'Выгр Кат'!$A:$R,B$1,0)</f>
        <v>18901</v>
      </c>
      <c r="C329" s="81" t="str">
        <f>VLOOKUP($A329,'Выгр Кат'!$A:$R,C$1,0)</f>
        <v>Фонари LED "Британия" красные для Лада Нива 4х4</v>
      </c>
      <c r="D329" s="80" t="str">
        <f>VLOOKUP($A329,'Выгр Кат'!$A:$R,D$1,0)</f>
        <v>Y</v>
      </c>
      <c r="E329" s="80" t="str">
        <f>VLOOKUP($A329,'Выгр Кат'!$A:$R,E$1,0)</f>
        <v>1</v>
      </c>
      <c r="F329" s="80" t="str">
        <f>VLOOKUP($A329,'Выгр Кат'!$A:$R,F$1,0)</f>
        <v>359R</v>
      </c>
      <c r="G329" s="80" t="str">
        <f>VLOOKUP($A329,'Выгр Кат'!$A:$R,G$1,0)</f>
        <v>https://motorring.ru/product/22259-zadnie-svetodiodnye-fonari-britaniya-krasnye-begayuschim</v>
      </c>
      <c r="H329" s="67" t="s">
        <v>3</v>
      </c>
      <c r="I329" s="82">
        <v>3500</v>
      </c>
      <c r="J329" s="5">
        <f>VLOOKUP(I329,Наценка!$A$1:$G$8,2,1)</f>
        <v>1.27</v>
      </c>
      <c r="K329" s="55">
        <f>W329*1.04</f>
        <v>4461.6000000000004</v>
      </c>
      <c r="L329" s="70">
        <f>IF(K329&lt;=1000,(ROUNDUP(K329,-1)-1),(ROUNDUP(K329,-2)-10))</f>
        <v>4490</v>
      </c>
      <c r="M329" s="80">
        <f>VLOOKUP($A329,'Выгр Кат'!$A:$R,M$1,0)</f>
        <v>3500</v>
      </c>
      <c r="N329" s="80">
        <f>VLOOKUP($A329,'Выгр Кат'!$A:$R,N$1,0)</f>
        <v>4590</v>
      </c>
      <c r="O329" s="28">
        <f>M329-I329</f>
        <v>0</v>
      </c>
      <c r="P329" s="28">
        <f>N329-L329</f>
        <v>100</v>
      </c>
      <c r="Q329" s="36">
        <f>IFERROR(L329*(1-$Q$2),"")</f>
        <v>4175.7</v>
      </c>
      <c r="R329" s="38">
        <f>IFERROR(VLOOKUP($A329,'Из Гугла'!$B:$G,6,0)*S329,VLOOKUP($A329,'Из Гугла'!$B:$G,6,0))</f>
        <v>4290</v>
      </c>
      <c r="S329" s="14">
        <v>1</v>
      </c>
      <c r="T329" s="83">
        <f>IFERROR(Q329/I329-1,"")</f>
        <v>0.19305714285714282</v>
      </c>
      <c r="U329" s="83">
        <f>IFERROR((W329-Q329)/W329,"")</f>
        <v>2.6643356643356687E-2</v>
      </c>
      <c r="V329" s="83">
        <f>IFERROR(IF(W329="","",W329/I329-1),"")</f>
        <v>0.22571428571428576</v>
      </c>
      <c r="W329" s="95">
        <v>4290</v>
      </c>
      <c r="X329" s="71" t="s">
        <v>780</v>
      </c>
    </row>
    <row r="330" spans="1:24" ht="76.5" thickTop="1" thickBot="1" x14ac:dyDescent="0.3">
      <c r="A330" s="80">
        <v>213693</v>
      </c>
      <c r="B330" s="80">
        <f>VLOOKUP($A330,'Выгр Кат'!$A:$R,B$1,0)</f>
        <v>25032</v>
      </c>
      <c r="C330" s="81" t="str">
        <f>VLOOKUP($A330,'Выгр Кат'!$A:$R,C$1,0)</f>
        <v>Светодиодные фары (ДХО, повторитель) для ВАЗ (2101,2102), Лада (Нива 4х4, Нива 4х4 Урбан), УАЗ (3303, 469, Хантер), Jeep Wrangler  (hp-hld-31-01)</v>
      </c>
      <c r="D330" s="80" t="str">
        <f>VLOOKUP($A330,'Выгр Кат'!$A:$R,D$1,0)</f>
        <v>Y</v>
      </c>
      <c r="E330" s="80" t="str">
        <f>VLOOKUP($A330,'Выгр Кат'!$A:$R,E$1,0)</f>
        <v>1</v>
      </c>
      <c r="F330" s="80" t="str">
        <f>VLOOKUP($A330,'Выгр Кат'!$A:$R,F$1,0)</f>
        <v>hp-hld-31-01</v>
      </c>
      <c r="G330" s="80" t="str">
        <f>VLOOKUP($A330,'Выгр Кат'!$A:$R,G$1,0)</f>
        <v>https://motorring.ru/product/27715-svetodiodnye-fary-zvezdi-dyuymov-chernye-led-kolycom</v>
      </c>
      <c r="H330" s="67" t="s">
        <v>3</v>
      </c>
      <c r="I330" s="82">
        <v>3500</v>
      </c>
      <c r="J330" s="5">
        <f>VLOOKUP(I330,Наценка!$A$1:$G$8,2,1)</f>
        <v>1.27</v>
      </c>
      <c r="K330" s="56">
        <f>W330*1.06</f>
        <v>4865.4000000000005</v>
      </c>
      <c r="L330" s="70">
        <f>IF(K330&lt;=1000,(ROUNDUP(K330,-1)-1),(ROUNDUP(K330,-2)-10))</f>
        <v>4890</v>
      </c>
      <c r="M330" s="80">
        <f>VLOOKUP($A330,'Выгр Кат'!$A:$R,M$1,0)</f>
        <v>3500</v>
      </c>
      <c r="N330" s="80">
        <f>VLOOKUP($A330,'Выгр Кат'!$A:$R,N$1,0)</f>
        <v>4890</v>
      </c>
      <c r="O330" s="28">
        <f>M330-I330</f>
        <v>0</v>
      </c>
      <c r="P330" s="28">
        <f>N330-L330</f>
        <v>0</v>
      </c>
      <c r="Q330" s="36">
        <f>IFERROR(L330*(1-$Q$2),"")</f>
        <v>4547.7</v>
      </c>
      <c r="R330" s="38">
        <f>IFERROR(VLOOKUP($A330,'Из Гугла'!$B:$G,6,0)*S330,VLOOKUP($A330,'Из Гугла'!$B:$G,6,0))</f>
        <v>4590</v>
      </c>
      <c r="S330" s="14">
        <v>1</v>
      </c>
      <c r="T330" s="83">
        <f>IFERROR(Q330/I330-1,"")</f>
        <v>0.29934285714285713</v>
      </c>
      <c r="U330" s="83">
        <f>IFERROR((W330-Q330)/W330,"")</f>
        <v>9.2156862745098444E-3</v>
      </c>
      <c r="V330" s="83">
        <f>IFERROR(IF(W330="","",W330/I330-1),"")</f>
        <v>0.31142857142857139</v>
      </c>
      <c r="W330" s="95">
        <v>4590</v>
      </c>
      <c r="X330" s="71" t="s">
        <v>763</v>
      </c>
    </row>
    <row r="331" spans="1:24" ht="31.5" thickTop="1" thickBot="1" x14ac:dyDescent="0.3">
      <c r="A331" s="80">
        <v>133318</v>
      </c>
      <c r="B331" s="80">
        <f>VLOOKUP($A331,'Выгр Кат'!$A:$R,B$1,0)</f>
        <v>8123</v>
      </c>
      <c r="C331" s="81" t="str">
        <f>VLOOKUP($A331,'Выгр Кат'!$A:$R,C$1,0)</f>
        <v>Балка освещения G1-240W, L-108 см</v>
      </c>
      <c r="D331" s="80" t="str">
        <f>VLOOKUP($A331,'Выгр Кат'!$A:$R,D$1,0)</f>
        <v>Y</v>
      </c>
      <c r="E331" s="80" t="str">
        <f>VLOOKUP($A331,'Выгр Кат'!$A:$R,E$1,0)</f>
        <v>1</v>
      </c>
      <c r="F331" s="80" t="str">
        <f>VLOOKUP($A331,'Выгр Кат'!$A:$R,F$1,0)</f>
        <v>G1-240W</v>
      </c>
      <c r="G331" s="80" t="str">
        <f>VLOOKUP($A331,'Выгр Кат'!$A:$R,G$1,0)</f>
        <v>https://motorring.ru/product/11775-diodnaya-balka-g-240-240w-3vt</v>
      </c>
      <c r="H331" s="67" t="s">
        <v>3</v>
      </c>
      <c r="I331" s="82">
        <v>3500</v>
      </c>
      <c r="J331" s="5">
        <f>VLOOKUP(I331,Наценка!$A$1:$G$8,2,1)</f>
        <v>1.27</v>
      </c>
      <c r="K331" s="56">
        <f>W331*1.06</f>
        <v>5077.4000000000005</v>
      </c>
      <c r="L331" s="70">
        <f>IF(K331&lt;=1000,(ROUNDUP(K331,-1)-1),(ROUNDUP(K331,-2)-10))</f>
        <v>5090</v>
      </c>
      <c r="M331" s="80">
        <f>VLOOKUP($A331,'Выгр Кат'!$A:$R,M$1,0)</f>
        <v>3500</v>
      </c>
      <c r="N331" s="80">
        <f>VLOOKUP($A331,'Выгр Кат'!$A:$R,N$1,0)</f>
        <v>5090</v>
      </c>
      <c r="O331" s="28">
        <f>M331-I331</f>
        <v>0</v>
      </c>
      <c r="P331" s="28">
        <f>N331-L331</f>
        <v>0</v>
      </c>
      <c r="Q331" s="36">
        <f>IFERROR(L331*(1-$Q$2),"")</f>
        <v>4733.7</v>
      </c>
      <c r="R331" s="38">
        <f>IFERROR(VLOOKUP($A331,'Из Гугла'!$B:$G,6,0)*S331,VLOOKUP($A331,'Из Гугла'!$B:$G,6,0))</f>
        <v>4790</v>
      </c>
      <c r="S331" s="14">
        <v>1</v>
      </c>
      <c r="T331" s="83">
        <f>IFERROR(Q331/I331-1,"")</f>
        <v>0.35248571428571429</v>
      </c>
      <c r="U331" s="83">
        <f>IFERROR((W331-Q331)/W331,"")</f>
        <v>1.1753653444676448E-2</v>
      </c>
      <c r="V331" s="83">
        <f>IFERROR(IF(W331="","",W331/I331-1),"")</f>
        <v>0.36857142857142855</v>
      </c>
      <c r="W331" s="95">
        <v>4790</v>
      </c>
      <c r="X331" s="71" t="s">
        <v>779</v>
      </c>
    </row>
    <row r="332" spans="1:24" ht="60.75" thickTop="1" x14ac:dyDescent="0.25">
      <c r="A332" s="80">
        <v>117269</v>
      </c>
      <c r="B332" s="80">
        <f>VLOOKUP($A332,'Выгр Кат'!$A:$R,B$1,0)</f>
        <v>13814</v>
      </c>
      <c r="C332" s="81" t="str">
        <f>VLOOKUP($A332,'Выгр Кат'!$A:$R,C$1,0)</f>
        <v>LED "DLAA" оригинальные (диодные "LEXUS") подфарники с дневными ходовыми огнями тёмный хром, для Лада Нива 4х4</v>
      </c>
      <c r="D332" s="80" t="str">
        <f>VLOOKUP($A332,'Выгр Кат'!$A:$R,D$1,0)</f>
        <v>Y</v>
      </c>
      <c r="E332" s="80" t="str">
        <f>VLOOKUP($A332,'Выгр Кат'!$A:$R,E$1,0)</f>
        <v>1</v>
      </c>
      <c r="F332" s="80" t="str">
        <f>VLOOKUP($A332,'Выгр Кат'!$A:$R,F$1,0)</f>
        <v>PL-1762B</v>
      </c>
      <c r="G332" s="80" t="str">
        <f>VLOOKUP($A332,'Выгр Кат'!$A:$R,G$1,0)</f>
        <v>https://motorring.ru/product/17703-svetodiodnye-podfarniki-dlaa-begayuschim-povtoritelem-dho</v>
      </c>
      <c r="H332" s="67" t="s">
        <v>3</v>
      </c>
      <c r="I332" s="82">
        <v>3500</v>
      </c>
      <c r="J332" s="5">
        <f>VLOOKUP(I332,Наценка!$A$1:$G$8,2,1)</f>
        <v>1.27</v>
      </c>
      <c r="K332" s="87">
        <f>W332*1.06</f>
        <v>4865.4000000000005</v>
      </c>
      <c r="L332" s="70">
        <f>IF(K332&lt;=1000,(ROUNDUP(K332,-1)-1),(ROUNDUP(K332,-2)-10))</f>
        <v>4890</v>
      </c>
      <c r="M332" s="80">
        <f>VLOOKUP($A332,'Выгр Кат'!$A:$R,M$1,0)</f>
        <v>3500</v>
      </c>
      <c r="N332" s="80">
        <f>VLOOKUP($A332,'Выгр Кат'!$A:$R,N$1,0)</f>
        <v>4890</v>
      </c>
      <c r="O332" s="28">
        <f>M332-I332</f>
        <v>0</v>
      </c>
      <c r="P332" s="28">
        <f>N332-L332</f>
        <v>0</v>
      </c>
      <c r="Q332" s="36">
        <f>IFERROR(L332*(1-$Q$2),"")</f>
        <v>4547.7</v>
      </c>
      <c r="R332" s="38" t="str">
        <f>IFERROR(VLOOKUP($A332,'Из Гугла'!$B:$G,6,0)*S332,VLOOKUP($A332,'Из Гугла'!$B:$G,6,0))</f>
        <v/>
      </c>
      <c r="S332" s="14">
        <v>1</v>
      </c>
      <c r="T332" s="83">
        <f>IFERROR(Q332/I332-1,"")</f>
        <v>0.29934285714285713</v>
      </c>
      <c r="U332" s="83">
        <f>IFERROR((W332-Q332)/W332,"")</f>
        <v>9.2156862745098444E-3</v>
      </c>
      <c r="V332" s="83">
        <f>IFERROR(IF(W332="","",W332/I332-1),"")</f>
        <v>0.31142857142857139</v>
      </c>
      <c r="W332" s="93">
        <v>4590</v>
      </c>
      <c r="X332" s="71" t="s">
        <v>1474</v>
      </c>
    </row>
    <row r="333" spans="1:24" ht="45.75" thickBot="1" x14ac:dyDescent="0.3">
      <c r="A333" s="80">
        <v>201796</v>
      </c>
      <c r="B333" s="80">
        <f>VLOOKUP($A333,'Выгр Кат'!$A:$R,B$1,0)</f>
        <v>15440</v>
      </c>
      <c r="C333" s="81" t="str">
        <f>VLOOKUP($A333,'Выгр Кат'!$A:$R,C$1,0)</f>
        <v>Противотуманные фары RN 998 LED для Лада (Гранта FL, Нива 4x4 Урбан, Веста, XRAY), Renault</v>
      </c>
      <c r="D333" s="80" t="str">
        <f>VLOOKUP($A333,'Выгр Кат'!$A:$R,D$1,0)</f>
        <v>Y</v>
      </c>
      <c r="E333" s="80" t="str">
        <f>VLOOKUP($A333,'Выгр Кат'!$A:$R,E$1,0)</f>
        <v>1</v>
      </c>
      <c r="F333" s="80" t="str">
        <f>VLOOKUP($A333,'Выгр Кат'!$A:$R,F$1,0)</f>
        <v>RN 998 LED</v>
      </c>
      <c r="G333" s="80" t="str">
        <f>VLOOKUP($A333,'Выгр Кат'!$A:$R,G$1,0)</f>
        <v>https://motorring.ru/product/19767-ptf-998-led-lada-vesta-iks-rey-granta-niva-urban-reno</v>
      </c>
      <c r="H333" s="67" t="s">
        <v>3</v>
      </c>
      <c r="I333" s="82">
        <v>3500</v>
      </c>
      <c r="J333" s="5">
        <f>VLOOKUP(I333,Наценка!$A$1:$G$8,2,1)</f>
        <v>1.27</v>
      </c>
      <c r="K333" s="55">
        <f>W333*1.04</f>
        <v>5397.6</v>
      </c>
      <c r="L333" s="70">
        <f>IF(K333&lt;=1000,(ROUNDUP(K333,-1)-1),(ROUNDUP(K333,-2)-10))</f>
        <v>5390</v>
      </c>
      <c r="M333" s="80">
        <f>VLOOKUP($A333,'Выгр Кат'!$A:$R,M$1,0)</f>
        <v>3500</v>
      </c>
      <c r="N333" s="80">
        <f>VLOOKUP($A333,'Выгр Кат'!$A:$R,N$1,0)</f>
        <v>5390</v>
      </c>
      <c r="O333" s="28">
        <f>M333-I333</f>
        <v>0</v>
      </c>
      <c r="P333" s="28">
        <f>N333-L333</f>
        <v>0</v>
      </c>
      <c r="Q333" s="36">
        <f>IFERROR(L333*(1-$Q$2),"")</f>
        <v>5012.7</v>
      </c>
      <c r="R333" s="38">
        <f>IFERROR(VLOOKUP($A333,'Из Гугла'!$B:$G,6,0)*S333,VLOOKUP($A333,'Из Гугла'!$B:$G,6,0))</f>
        <v>5190</v>
      </c>
      <c r="S333" s="14">
        <v>1</v>
      </c>
      <c r="T333" s="83">
        <f>IFERROR(Q333/I333-1,"")</f>
        <v>0.43219999999999992</v>
      </c>
      <c r="U333" s="83">
        <f>IFERROR((W333-Q333)/W333,"")</f>
        <v>3.4161849710982697E-2</v>
      </c>
      <c r="V333" s="83">
        <f>IFERROR(IF(W333="","",W333/I333-1),"")</f>
        <v>0.48285714285714287</v>
      </c>
      <c r="W333" s="95">
        <v>5190</v>
      </c>
      <c r="X333" s="71" t="s">
        <v>778</v>
      </c>
    </row>
    <row r="334" spans="1:24" ht="76.5" thickTop="1" thickBot="1" x14ac:dyDescent="0.3">
      <c r="A334" s="80">
        <v>213701</v>
      </c>
      <c r="B334" s="80">
        <f>VLOOKUP($A334,'Выгр Кат'!$A:$R,B$1,0)</f>
        <v>19185</v>
      </c>
      <c r="C334" s="81" t="str">
        <f>VLOOKUP($A334,'Выгр Кат'!$A:$R,C$1,0)</f>
        <v>Светодиодные фары 60W, 7 дюймов, чёрные, с рисунком мишени (ДХО, повторитель) для ВАЗ (2101,2102), Лада (Нива 4х4, Нива 4х4 Урбан), УАЗ (3303, 469, Хантер), Jeep Wrangler</v>
      </c>
      <c r="D334" s="80" t="str">
        <f>VLOOKUP($A334,'Выгр Кат'!$A:$R,D$1,0)</f>
        <v>Y</v>
      </c>
      <c r="E334" s="80" t="str">
        <f>VLOOKUP($A334,'Выгр Кат'!$A:$R,E$1,0)</f>
        <v>1</v>
      </c>
      <c r="F334" s="80" t="str">
        <f>VLOOKUP($A334,'Выгр Кат'!$A:$R,F$1,0)</f>
        <v>HP-HLD-23</v>
      </c>
      <c r="G334" s="80" t="str">
        <f>VLOOKUP($A334,'Выгр Кат'!$A:$R,G$1,0)</f>
        <v>https://motorring.ru/product/21805-svetodiodnye-fary-60w-dyuymov-chernye-risunok-misheny</v>
      </c>
      <c r="H334" s="67" t="s">
        <v>3</v>
      </c>
      <c r="I334" s="82">
        <v>3500</v>
      </c>
      <c r="J334" s="5">
        <f>VLOOKUP(I334,Наценка!$A$1:$G$8,2,1)</f>
        <v>1.27</v>
      </c>
      <c r="K334" s="56">
        <f>W334*1.06</f>
        <v>4865.4000000000005</v>
      </c>
      <c r="L334" s="70">
        <f>IF(K334&lt;=1000,(ROUNDUP(K334,-1)-1),(ROUNDUP(K334,-2)-10))</f>
        <v>4890</v>
      </c>
      <c r="M334" s="80">
        <f>VLOOKUP($A334,'Выгр Кат'!$A:$R,M$1,0)</f>
        <v>3500</v>
      </c>
      <c r="N334" s="80">
        <f>VLOOKUP($A334,'Выгр Кат'!$A:$R,N$1,0)</f>
        <v>4890</v>
      </c>
      <c r="O334" s="28">
        <f>M334-I334</f>
        <v>0</v>
      </c>
      <c r="P334" s="28">
        <f>N334-L334</f>
        <v>0</v>
      </c>
      <c r="Q334" s="36">
        <f>IFERROR(L334*(1-$Q$2),"")</f>
        <v>4547.7</v>
      </c>
      <c r="R334" s="38">
        <f>IFERROR(VLOOKUP($A334,'Из Гугла'!$B:$G,6,0)*S334,VLOOKUP($A334,'Из Гугла'!$B:$G,6,0))</f>
        <v>4590</v>
      </c>
      <c r="S334" s="14">
        <v>1</v>
      </c>
      <c r="T334" s="83">
        <f>IFERROR(Q334/I334-1,"")</f>
        <v>0.29934285714285713</v>
      </c>
      <c r="U334" s="83">
        <f>IFERROR((W334-Q334)/W334,"")</f>
        <v>9.2156862745098444E-3</v>
      </c>
      <c r="V334" s="83">
        <f>IFERROR(IF(W334="","",W334/I334-1),"")</f>
        <v>0.31142857142857139</v>
      </c>
      <c r="W334" s="95">
        <v>4590</v>
      </c>
      <c r="X334" s="71" t="s">
        <v>777</v>
      </c>
    </row>
    <row r="335" spans="1:24" ht="76.5" thickTop="1" thickBot="1" x14ac:dyDescent="0.3">
      <c r="A335" s="80">
        <v>213685</v>
      </c>
      <c r="B335" s="80">
        <f>VLOOKUP($A335,'Выгр Кат'!$A:$R,B$1,0)</f>
        <v>25033</v>
      </c>
      <c r="C335" s="81" t="str">
        <f>VLOOKUP($A335,'Выгр Кат'!$A:$R,C$1,0)</f>
        <v>Светодиодные фары "BOSS" (ДХО, линза, повторитель) для ВАЗ (2101,2102), Лада (Нива 4х4, Нива 4х4 Урбан), УАЗ (3303, 469, Хантер), Jeep Wrangler</v>
      </c>
      <c r="D335" s="80" t="str">
        <f>VLOOKUP($A335,'Выгр Кат'!$A:$R,D$1,0)</f>
        <v>Y</v>
      </c>
      <c r="E335" s="80" t="str">
        <f>VLOOKUP($A335,'Выгр Кат'!$A:$R,E$1,0)</f>
        <v>1</v>
      </c>
      <c r="F335" s="80" t="str">
        <f>VLOOKUP($A335,'Выгр Кат'!$A:$R,F$1,0)</f>
        <v>hp-hld-34-01</v>
      </c>
      <c r="G335" s="80" t="str">
        <f>VLOOKUP($A335,'Выгр Кат'!$A:$R,G$1,0)</f>
        <v>https://motorring.ru/product/27718-svetodiodnye-fary-boss-chernye-povtoritelem-povorotnika-dho</v>
      </c>
      <c r="H335" s="67" t="s">
        <v>3</v>
      </c>
      <c r="I335" s="82">
        <v>3500</v>
      </c>
      <c r="J335" s="5">
        <f>VLOOKUP(I335,Наценка!$A$1:$G$8,2,1)</f>
        <v>1.27</v>
      </c>
      <c r="K335" s="55">
        <f>W335*1.04</f>
        <v>5501.6</v>
      </c>
      <c r="L335" s="70">
        <f>IF(K335&lt;=1000,(ROUNDUP(K335,-1)-1),(ROUNDUP(K335,-2)-10))</f>
        <v>5590</v>
      </c>
      <c r="M335" s="80">
        <f>VLOOKUP($A335,'Выгр Кат'!$A:$R,M$1,0)</f>
        <v>3500</v>
      </c>
      <c r="N335" s="80">
        <f>VLOOKUP($A335,'Выгр Кат'!$A:$R,N$1,0)</f>
        <v>5590</v>
      </c>
      <c r="O335" s="28">
        <f>M335-I335</f>
        <v>0</v>
      </c>
      <c r="P335" s="28">
        <f>N335-L335</f>
        <v>0</v>
      </c>
      <c r="Q335" s="36">
        <f>IFERROR(L335*(1-$Q$2),"")</f>
        <v>5198.7</v>
      </c>
      <c r="R335" s="38">
        <f>IFERROR(VLOOKUP($A335,'Из Гугла'!$B:$G,6,0)*S335,VLOOKUP($A335,'Из Гугла'!$B:$G,6,0))</f>
        <v>5290</v>
      </c>
      <c r="S335" s="14">
        <v>1</v>
      </c>
      <c r="T335" s="83">
        <f>IFERROR(Q335/I335-1,"")</f>
        <v>0.48534285714285708</v>
      </c>
      <c r="U335" s="83">
        <f>IFERROR((W335-Q335)/W335,"")</f>
        <v>1.7258979206049185E-2</v>
      </c>
      <c r="V335" s="83">
        <f>IFERROR(IF(W335="","",W335/I335-1),"")</f>
        <v>0.51142857142857134</v>
      </c>
      <c r="W335" s="95">
        <v>5290</v>
      </c>
      <c r="X335" s="71" t="s">
        <v>776</v>
      </c>
    </row>
    <row r="336" spans="1:24" ht="61.5" thickTop="1" thickBot="1" x14ac:dyDescent="0.3">
      <c r="A336" s="80">
        <v>213692</v>
      </c>
      <c r="B336" s="80">
        <f>VLOOKUP($A336,'Выгр Кат'!$A:$R,B$1,0)</f>
        <v>25028</v>
      </c>
      <c r="C336" s="81" t="str">
        <f>VLOOKUP($A336,'Выгр Кат'!$A:$R,C$1,0)</f>
        <v>Светодиодные фары (ДХО, повторитель) для ВАЗ (2101, 2102), Лада (Нива 4х4, Нива 4х4 Урбан), УАЗ (3303, 469, Хантер), Jeep Wrangler</v>
      </c>
      <c r="D336" s="80" t="str">
        <f>VLOOKUP($A336,'Выгр Кат'!$A:$R,D$1,0)</f>
        <v>Y</v>
      </c>
      <c r="E336" s="80" t="str">
        <f>VLOOKUP($A336,'Выгр Кат'!$A:$R,E$1,0)</f>
        <v>1</v>
      </c>
      <c r="F336" s="80" t="str">
        <f>VLOOKUP($A336,'Выгр Кат'!$A:$R,F$1,0)</f>
        <v>hp-hld-10-01</v>
      </c>
      <c r="G336" s="80" t="str">
        <f>VLOOKUP($A336,'Выгр Кат'!$A:$R,G$1,0)</f>
        <v>https://motorring.ru/product/27713-svetodiodnye-fary-polosa-dyuymov-chernye-led-kolycom</v>
      </c>
      <c r="H336" s="67" t="s">
        <v>3</v>
      </c>
      <c r="I336" s="82">
        <v>3500</v>
      </c>
      <c r="J336" s="5">
        <f>VLOOKUP(I336,Наценка!$A$1:$G$8,2,1)</f>
        <v>1.27</v>
      </c>
      <c r="K336" s="56">
        <f>W336*1.06</f>
        <v>5183.4000000000005</v>
      </c>
      <c r="L336" s="70">
        <f>IF(K336&lt;=1000,(ROUNDUP(K336,-1)-1),(ROUNDUP(K336,-2)-10))</f>
        <v>5190</v>
      </c>
      <c r="M336" s="80">
        <f>VLOOKUP($A336,'Выгр Кат'!$A:$R,M$1,0)</f>
        <v>3500</v>
      </c>
      <c r="N336" s="80">
        <f>VLOOKUP($A336,'Выгр Кат'!$A:$R,N$1,0)</f>
        <v>5190</v>
      </c>
      <c r="O336" s="28">
        <f>M336-I336</f>
        <v>0</v>
      </c>
      <c r="P336" s="28">
        <f>N336-L336</f>
        <v>0</v>
      </c>
      <c r="Q336" s="36">
        <f>IFERROR(L336*(1-$Q$2),"")</f>
        <v>4826.7</v>
      </c>
      <c r="R336" s="38">
        <f>IFERROR(VLOOKUP($A336,'Из Гугла'!$B:$G,6,0)*S336,VLOOKUP($A336,'Из Гугла'!$B:$G,6,0))</f>
        <v>4890</v>
      </c>
      <c r="S336" s="14">
        <v>1</v>
      </c>
      <c r="T336" s="83">
        <f>IFERROR(Q336/I336-1,"")</f>
        <v>0.37905714285714276</v>
      </c>
      <c r="U336" s="83">
        <f>IFERROR((W336-Q336)/W336,"")</f>
        <v>1.2944785276073657E-2</v>
      </c>
      <c r="V336" s="83">
        <f>IFERROR(IF(W336="","",W336/I336-1),"")</f>
        <v>0.39714285714285724</v>
      </c>
      <c r="W336" s="95">
        <v>4890</v>
      </c>
      <c r="X336" s="71" t="s">
        <v>889</v>
      </c>
    </row>
    <row r="337" spans="1:24" ht="60.75" thickTop="1" x14ac:dyDescent="0.25">
      <c r="A337" s="80">
        <v>255952</v>
      </c>
      <c r="B337" s="80">
        <f>VLOOKUP($A337,'Выгр Кат'!$A:$R,B$1,0)</f>
        <v>170969</v>
      </c>
      <c r="C337" s="81" t="str">
        <f>VLOOKUP($A337,'Выгр Кат'!$A:$R,C$1,0)</f>
        <v>Светодиодные фары (ДХО, повторитель) для ВАЗ (2101, 2102), Лада (Нива 4х4, Нива 4х4 Урбан), УАЗ (3303, 469, Хантер), Jeep Wrangler</v>
      </c>
      <c r="D337" s="80" t="str">
        <f>VLOOKUP($A337,'Выгр Кат'!$A:$R,D$1,0)</f>
        <v>Y</v>
      </c>
      <c r="E337" s="80" t="str">
        <f>VLOOKUP($A337,'Выгр Кат'!$A:$R,E$1,0)</f>
        <v>1</v>
      </c>
      <c r="F337" s="80" t="str">
        <f>VLOOKUP($A337,'Выгр Кат'!$A:$R,F$1,0)</f>
        <v>DDL-003-H</v>
      </c>
      <c r="G337" s="80" t="str">
        <f>VLOOKUP($A337,'Выгр Кат'!$A:$R,G$1,0)</f>
        <v>https://motorring.ru/product/36728-fary-dyuymov-diodnoy-liniey-dlya-vaz-2101-2102-lada-4h4</v>
      </c>
      <c r="H337" s="67" t="s">
        <v>3</v>
      </c>
      <c r="I337" s="82">
        <v>3500</v>
      </c>
      <c r="J337" s="5">
        <f>VLOOKUP(I337,Наценка!$A$1:$G$8,2,1)</f>
        <v>1.27</v>
      </c>
      <c r="K337" s="87">
        <f>W337*1.06</f>
        <v>5077.4000000000005</v>
      </c>
      <c r="L337" s="70">
        <f>IF(K337&lt;=1000,(ROUNDUP(K337,-1)-1),(ROUNDUP(K337,-2)-10))</f>
        <v>5090</v>
      </c>
      <c r="M337" s="80">
        <f>VLOOKUP($A337,'Выгр Кат'!$A:$R,M$1,0)</f>
        <v>3500</v>
      </c>
      <c r="N337" s="80">
        <f>VLOOKUP($A337,'Выгр Кат'!$A:$R,N$1,0)</f>
        <v>5090</v>
      </c>
      <c r="O337" s="28">
        <f>M337-I337</f>
        <v>0</v>
      </c>
      <c r="P337" s="28">
        <f>N337-L337</f>
        <v>0</v>
      </c>
      <c r="Q337" s="36">
        <f>IFERROR(L337*(1-$Q$2),"")</f>
        <v>4733.7</v>
      </c>
      <c r="R337" s="38">
        <f>IFERROR(VLOOKUP($A337,'Из Гугла'!$B:$G,6,0)*S337,VLOOKUP($A337,'Из Гугла'!$B:$G,6,0))</f>
        <v>4790</v>
      </c>
      <c r="S337" s="14">
        <v>1</v>
      </c>
      <c r="T337" s="83">
        <f>IFERROR(Q337/I337-1,"")</f>
        <v>0.35248571428571429</v>
      </c>
      <c r="U337" s="83">
        <f>IFERROR((W337-Q337)/W337,"")</f>
        <v>1.1753653444676448E-2</v>
      </c>
      <c r="V337" s="83">
        <f>IFERROR(IF(W337="","",W337/I337-1),"")</f>
        <v>0.36857142857142855</v>
      </c>
      <c r="W337" s="84">
        <v>4790</v>
      </c>
      <c r="X337" s="71" t="s">
        <v>1360</v>
      </c>
    </row>
    <row r="338" spans="1:24" ht="60" x14ac:dyDescent="0.25">
      <c r="A338" s="80">
        <v>213690</v>
      </c>
      <c r="B338" s="80">
        <f>VLOOKUP($A338,'Выгр Кат'!$A:$R,B$1,0)</f>
        <v>25030</v>
      </c>
      <c r="C338" s="81" t="str">
        <f>VLOOKUP($A338,'Выгр Кат'!$A:$R,C$1,0)</f>
        <v>Светодиодные фары (ДХО, линза, повторитель) для ВАЗ (2101,2102), Лада (Нива 4х4, Нива 4х4 Урбан), УАЗ (3303, 469, Хантер), Jeep Wrangler</v>
      </c>
      <c r="D338" s="80" t="str">
        <f>VLOOKUP($A338,'Выгр Кат'!$A:$R,D$1,0)</f>
        <v>Y</v>
      </c>
      <c r="E338" s="80" t="str">
        <f>VLOOKUP($A338,'Выгр Кат'!$A:$R,E$1,0)</f>
        <v>1</v>
      </c>
      <c r="F338" s="80" t="str">
        <f>VLOOKUP($A338,'Выгр Кат'!$A:$R,F$1,0)</f>
        <v>hp-hld-32-01</v>
      </c>
      <c r="G338" s="80" t="str">
        <f>VLOOKUP($A338,'Выгр Кат'!$A:$R,G$1,0)</f>
        <v>https://motorring.ru/product/27716-svetodiodnye-fary-uzor-dyuymov-chernye-led-kolycom</v>
      </c>
      <c r="H338" s="67" t="s">
        <v>3</v>
      </c>
      <c r="I338" s="82">
        <v>3700</v>
      </c>
      <c r="J338" s="5">
        <f>VLOOKUP(I338,Наценка!$A$1:$G$8,2,1)</f>
        <v>1.27</v>
      </c>
      <c r="K338" s="90">
        <f>W338*1.04</f>
        <v>5501.6</v>
      </c>
      <c r="L338" s="70">
        <f>IF(K338&lt;=1000,(ROUNDUP(K338,-1)-1),(ROUNDUP(K338,-2)-10))</f>
        <v>5590</v>
      </c>
      <c r="M338" s="80">
        <f>VLOOKUP($A338,'Выгр Кат'!$A:$R,M$1,0)</f>
        <v>3700</v>
      </c>
      <c r="N338" s="80">
        <f>VLOOKUP($A338,'Выгр Кат'!$A:$R,N$1,0)</f>
        <v>5590</v>
      </c>
      <c r="O338" s="28">
        <f>M338-I338</f>
        <v>0</v>
      </c>
      <c r="P338" s="28">
        <f>N338-L338</f>
        <v>0</v>
      </c>
      <c r="Q338" s="36">
        <f>IFERROR(L338*(1-$Q$2),"")</f>
        <v>5198.7</v>
      </c>
      <c r="R338" s="38">
        <f>IFERROR(VLOOKUP($A338,'Из Гугла'!$B:$G,6,0)*S338,VLOOKUP($A338,'Из Гугла'!$B:$G,6,0))</f>
        <v>5290</v>
      </c>
      <c r="S338" s="14">
        <v>1</v>
      </c>
      <c r="T338" s="83">
        <f>IFERROR(Q338/I338-1,"")</f>
        <v>0.40505405405405392</v>
      </c>
      <c r="U338" s="83">
        <f>IFERROR((W338-Q338)/W338,"")</f>
        <v>1.7258979206049185E-2</v>
      </c>
      <c r="V338" s="83">
        <f>IFERROR(IF(W338="","",W338/I338-1),"")</f>
        <v>0.42972972972972978</v>
      </c>
      <c r="W338" s="93">
        <v>5290</v>
      </c>
      <c r="X338" s="71" t="s">
        <v>784</v>
      </c>
    </row>
    <row r="339" spans="1:24" ht="75.75" thickBot="1" x14ac:dyDescent="0.3">
      <c r="A339" s="80">
        <v>213709</v>
      </c>
      <c r="B339" s="80">
        <f>VLOOKUP($A339,'Выгр Кат'!$A:$R,B$1,0)</f>
        <v>18698</v>
      </c>
      <c r="C339" s="81" t="str">
        <f>VLOOKUP($A339,'Выгр Кат'!$A:$R,C$1,0)</f>
        <v>Светодиодные фары 90W, чёрные (ДХО, повторитель) для ВАЗ (2101, 2102), Лада (Нива 4х4, Нива 4х4 Урбан), УАЗ (3303, 469, Хантер), Jeep Wrangler</v>
      </c>
      <c r="D339" s="80" t="str">
        <f>VLOOKUP($A339,'Выгр Кат'!$A:$R,D$1,0)</f>
        <v>Y</v>
      </c>
      <c r="E339" s="80" t="str">
        <f>VLOOKUP($A339,'Выгр Кат'!$A:$R,E$1,0)</f>
        <v>1</v>
      </c>
      <c r="F339" s="80" t="str">
        <f>VLOOKUP($A339,'Выгр Кат'!$A:$R,F$1,0)</f>
        <v>HP-HLD-010</v>
      </c>
      <c r="G339" s="80" t="str">
        <f>VLOOKUP($A339,'Выгр Кат'!$A:$R,G$1,0)</f>
        <v>https://motorring.ru/product/13578-svetodiodnye-fary-chernye-90w-dyuymov-led-povtoritelem</v>
      </c>
      <c r="H339" s="67" t="s">
        <v>3</v>
      </c>
      <c r="I339" s="82">
        <v>3700</v>
      </c>
      <c r="J339" s="5">
        <f>VLOOKUP(I339,Наценка!$A$1:$G$8,2,1)</f>
        <v>1.27</v>
      </c>
      <c r="K339" s="56">
        <f>W339*1.06</f>
        <v>5077.4000000000005</v>
      </c>
      <c r="L339" s="70">
        <f>IF(K339&lt;=1000,(ROUNDUP(K339,-1)-1),(ROUNDUP(K339,-2)-10))</f>
        <v>5090</v>
      </c>
      <c r="M339" s="80">
        <f>VLOOKUP($A339,'Выгр Кат'!$A:$R,M$1,0)</f>
        <v>3700</v>
      </c>
      <c r="N339" s="80">
        <f>VLOOKUP($A339,'Выгр Кат'!$A:$R,N$1,0)</f>
        <v>5090</v>
      </c>
      <c r="O339" s="28">
        <f>M339-I339</f>
        <v>0</v>
      </c>
      <c r="P339" s="28">
        <f>N339-L339</f>
        <v>0</v>
      </c>
      <c r="Q339" s="36">
        <f>IFERROR(L339*(1-$Q$2),"")</f>
        <v>4733.7</v>
      </c>
      <c r="R339" s="38">
        <f>IFERROR(VLOOKUP($A339,'Из Гугла'!$B:$G,6,0)*S339,VLOOKUP($A339,'Из Гугла'!$B:$G,6,0))</f>
        <v>4790</v>
      </c>
      <c r="S339" s="14">
        <v>1</v>
      </c>
      <c r="T339" s="83">
        <f>IFERROR(Q339/I339-1,"")</f>
        <v>0.27937837837837831</v>
      </c>
      <c r="U339" s="83">
        <f>IFERROR((W339-Q339)/W339,"")</f>
        <v>1.1753653444676448E-2</v>
      </c>
      <c r="V339" s="83">
        <f>IFERROR(IF(W339="","",W339/I339-1),"")</f>
        <v>0.29459459459459469</v>
      </c>
      <c r="W339" s="95">
        <v>4790</v>
      </c>
      <c r="X339" s="71" t="s">
        <v>782</v>
      </c>
    </row>
    <row r="340" spans="1:24" ht="75.75" thickTop="1" x14ac:dyDescent="0.25">
      <c r="A340" s="80">
        <v>213711</v>
      </c>
      <c r="B340" s="80">
        <f>VLOOKUP($A340,'Выгр Кат'!$A:$R,B$1,0)</f>
        <v>18706</v>
      </c>
      <c r="C340" s="81" t="str">
        <f>VLOOKUP($A340,'Выгр Кат'!$A:$R,C$1,0)</f>
        <v>Светодиодные фары 90W, чёрные, с LED кольцом (ДХО, повторитель) для ВАЗ (2101, 2102), Лада (Нива 4х4, Нива 4х4 Урбан), УАЗ (3303, 469, Хантер), Jeep Wrangler</v>
      </c>
      <c r="D340" s="80" t="str">
        <f>VLOOKUP($A340,'Выгр Кат'!$A:$R,D$1,0)</f>
        <v>Y</v>
      </c>
      <c r="E340" s="80" t="str">
        <f>VLOOKUP($A340,'Выгр Кат'!$A:$R,E$1,0)</f>
        <v>1</v>
      </c>
      <c r="F340" s="80" t="str">
        <f>VLOOKUP($A340,'Выгр Кат'!$A:$R,F$1,0)</f>
        <v>HP-HLD-19-01</v>
      </c>
      <c r="G340" s="80">
        <f>VLOOKUP($A340,'Выгр Кат'!$A:$R,G$1,0)</f>
        <v>0</v>
      </c>
      <c r="H340" s="67" t="s">
        <v>3</v>
      </c>
      <c r="I340" s="82">
        <v>3700</v>
      </c>
      <c r="J340" s="5">
        <f>VLOOKUP(I340,Наценка!$A$1:$G$8,2,1)</f>
        <v>1.27</v>
      </c>
      <c r="K340" s="34">
        <f>I340*J340</f>
        <v>4699</v>
      </c>
      <c r="L340" s="70">
        <f>IF(K340&lt;=1000,(ROUNDUP(K340,-1)-1),(ROUNDUP(K340,-2)-10))</f>
        <v>4690</v>
      </c>
      <c r="M340" s="80">
        <f>VLOOKUP($A340,'Выгр Кат'!$A:$R,M$1,0)</f>
        <v>3700</v>
      </c>
      <c r="N340" s="80">
        <f>VLOOKUP($A340,'Выгр Кат'!$A:$R,N$1,0)</f>
        <v>4790</v>
      </c>
      <c r="O340" s="28">
        <f>M340-I340</f>
        <v>0</v>
      </c>
      <c r="P340" s="28">
        <f>N340-L340</f>
        <v>100</v>
      </c>
      <c r="Q340" s="36">
        <f>IFERROR(L340*(1-$Q$2),"")</f>
        <v>4361.7</v>
      </c>
      <c r="R340" s="38" t="str">
        <f>IFERROR(VLOOKUP($A340,'Из Гугла'!$B:$G,6,0)*S340,VLOOKUP($A340,'Из Гугла'!$B:$G,6,0))</f>
        <v/>
      </c>
      <c r="S340" s="14">
        <v>1</v>
      </c>
      <c r="T340" s="83">
        <f>IFERROR(Q340/I340-1,"")</f>
        <v>0.17883783783783769</v>
      </c>
      <c r="U340" s="83" t="str">
        <f>IFERROR((W340-Q340)/W340,"")</f>
        <v/>
      </c>
      <c r="V340" s="83" t="str">
        <f>IFERROR(IF(W340="","",W340/I340-1),"")</f>
        <v/>
      </c>
      <c r="W340" s="84" t="s">
        <v>1269</v>
      </c>
    </row>
    <row r="341" spans="1:24" ht="75" x14ac:dyDescent="0.25">
      <c r="A341" s="80">
        <v>213713</v>
      </c>
      <c r="B341" s="80">
        <f>VLOOKUP($A341,'Выгр Кат'!$A:$R,B$1,0)</f>
        <v>18701</v>
      </c>
      <c r="C341" s="81" t="str">
        <f>VLOOKUP($A341,'Выгр Кат'!$A:$R,C$1,0)</f>
        <v>Светодиодные фары 90W, чёрные, с кольцом (ДХО, повторитель) для ВАЗ (2101, 2102), Лада (Нива 4х4, Нива 4х4 Урбан), УАЗ (3303, 469, Хантер), Jeep Wrangler</v>
      </c>
      <c r="D341" s="80" t="str">
        <f>VLOOKUP($A341,'Выгр Кат'!$A:$R,D$1,0)</f>
        <v>Y</v>
      </c>
      <c r="E341" s="80" t="str">
        <f>VLOOKUP($A341,'Выгр Кат'!$A:$R,E$1,0)</f>
        <v>1</v>
      </c>
      <c r="F341" s="80" t="str">
        <f>VLOOKUP($A341,'Выгр Кат'!$A:$R,F$1,0)</f>
        <v>HP-HLD-08-01</v>
      </c>
      <c r="G341" s="80" t="str">
        <f>VLOOKUP($A341,'Выгр Кат'!$A:$R,G$1,0)</f>
        <v>https://motorring.ru/product/14255-svetodiodnye-fary-chernom-korpuse-90w-dyuymov-kolycom</v>
      </c>
      <c r="H341" s="67" t="s">
        <v>3</v>
      </c>
      <c r="I341" s="82">
        <v>3700</v>
      </c>
      <c r="J341" s="5">
        <f>VLOOKUP(I341,Наценка!$A$1:$G$8,2,1)</f>
        <v>1.27</v>
      </c>
      <c r="K341" s="87">
        <f>W341*1.06</f>
        <v>5077.4000000000005</v>
      </c>
      <c r="L341" s="70">
        <f>IF(K341&lt;=1000,(ROUNDUP(K341,-1)-1),(ROUNDUP(K341,-2)-10))</f>
        <v>5090</v>
      </c>
      <c r="M341" s="80">
        <f>VLOOKUP($A341,'Выгр Кат'!$A:$R,M$1,0)</f>
        <v>3700</v>
      </c>
      <c r="N341" s="80">
        <f>VLOOKUP($A341,'Выгр Кат'!$A:$R,N$1,0)</f>
        <v>5090</v>
      </c>
      <c r="O341" s="28">
        <f>M341-I341</f>
        <v>0</v>
      </c>
      <c r="P341" s="28">
        <f>N341-L341</f>
        <v>0</v>
      </c>
      <c r="Q341" s="36">
        <f>IFERROR(L341*(1-$Q$2),"")</f>
        <v>4733.7</v>
      </c>
      <c r="R341" s="38">
        <f>IFERROR(VLOOKUP($A341,'Из Гугла'!$B:$G,6,0)*S341,VLOOKUP($A341,'Из Гугла'!$B:$G,6,0))</f>
        <v>4790</v>
      </c>
      <c r="S341" s="14">
        <v>1</v>
      </c>
      <c r="T341" s="83">
        <f>IFERROR(Q341/I341-1,"")</f>
        <v>0.27937837837837831</v>
      </c>
      <c r="U341" s="83">
        <f>IFERROR((W341-Q341)/W341,"")</f>
        <v>1.1753653444676448E-2</v>
      </c>
      <c r="V341" s="83">
        <f>IFERROR(IF(W341="","",W341/I341-1),"")</f>
        <v>0.29459459459459469</v>
      </c>
      <c r="W341" s="93">
        <v>4790</v>
      </c>
      <c r="X341" s="71" t="s">
        <v>775</v>
      </c>
    </row>
    <row r="342" spans="1:24" ht="75" x14ac:dyDescent="0.25">
      <c r="A342" s="80">
        <v>213715</v>
      </c>
      <c r="B342" s="80">
        <f>VLOOKUP($A342,'Выгр Кат'!$A:$R,B$1,0)</f>
        <v>18704</v>
      </c>
      <c r="C342" s="81" t="str">
        <f>VLOOKUP($A342,'Выгр Кат'!$A:$R,C$1,0)</f>
        <v>Светодиодные фары 96W, чёрные, с LED кольцом (ДХО, повторитель) для ВАЗ (2101, 2102), Лада (Нива 4х4, Нива 4х4 Урбан), УАЗ (3303, 469, Хантер), Jeep Wrangler</v>
      </c>
      <c r="D342" s="80" t="str">
        <f>VLOOKUP($A342,'Выгр Кат'!$A:$R,D$1,0)</f>
        <v>Y</v>
      </c>
      <c r="E342" s="80" t="str">
        <f>VLOOKUP($A342,'Выгр Кат'!$A:$R,E$1,0)</f>
        <v>1</v>
      </c>
      <c r="F342" s="80" t="str">
        <f>VLOOKUP($A342,'Выгр Кат'!$A:$R,F$1,0)</f>
        <v>HP-HLD-005</v>
      </c>
      <c r="G342" s="80" t="str">
        <f>VLOOKUP($A342,'Выгр Кат'!$A:$R,G$1,0)</f>
        <v>https://motorring.ru/product/21524-svetodiodnye-fary-chernom-korpuse-96w-dyuymov-led-kolycom</v>
      </c>
      <c r="H342" s="67" t="s">
        <v>3</v>
      </c>
      <c r="I342" s="82">
        <v>3700</v>
      </c>
      <c r="J342" s="5">
        <f>VLOOKUP(I342,Наценка!$A$1:$G$8,2,1)</f>
        <v>1.27</v>
      </c>
      <c r="K342" s="87">
        <f>W342*1.06</f>
        <v>5077.4000000000005</v>
      </c>
      <c r="L342" s="70">
        <f>IF(K342&lt;=1000,(ROUNDUP(K342,-1)-1),(ROUNDUP(K342,-2)-10))</f>
        <v>5090</v>
      </c>
      <c r="M342" s="80">
        <f>VLOOKUP($A342,'Выгр Кат'!$A:$R,M$1,0)</f>
        <v>3700</v>
      </c>
      <c r="N342" s="80">
        <f>VLOOKUP($A342,'Выгр Кат'!$A:$R,N$1,0)</f>
        <v>5090</v>
      </c>
      <c r="O342" s="28">
        <f>M342-I342</f>
        <v>0</v>
      </c>
      <c r="P342" s="28">
        <f>N342-L342</f>
        <v>0</v>
      </c>
      <c r="Q342" s="36">
        <f>IFERROR(L342*(1-$Q$2),"")</f>
        <v>4733.7</v>
      </c>
      <c r="R342" s="38">
        <f>IFERROR(VLOOKUP($A342,'Из Гугла'!$B:$G,6,0)*S342,VLOOKUP($A342,'Из Гугла'!$B:$G,6,0))</f>
        <v>4790</v>
      </c>
      <c r="S342" s="14">
        <v>1</v>
      </c>
      <c r="T342" s="83">
        <f>IFERROR(Q342/I342-1,"")</f>
        <v>0.27937837837837831</v>
      </c>
      <c r="U342" s="83">
        <f>IFERROR((W342-Q342)/W342,"")</f>
        <v>1.1753653444676448E-2</v>
      </c>
      <c r="V342" s="83">
        <f>IFERROR(IF(W342="","",W342/I342-1),"")</f>
        <v>0.29459459459459469</v>
      </c>
      <c r="W342" s="93">
        <v>4790</v>
      </c>
      <c r="X342" s="71" t="s">
        <v>766</v>
      </c>
    </row>
    <row r="343" spans="1:24" ht="75.75" thickBot="1" x14ac:dyDescent="0.3">
      <c r="A343" s="80">
        <v>213714</v>
      </c>
      <c r="B343" s="80">
        <f>VLOOKUP($A343,'Выгр Кат'!$A:$R,B$1,0)</f>
        <v>18702</v>
      </c>
      <c r="C343" s="81" t="str">
        <f>VLOOKUP($A343,'Выгр Кат'!$A:$R,C$1,0)</f>
        <v>Светодиодные фары 96W, чёрные (ДХО, повторитель) для ВАЗ (2101, 2102), Лада (Нива 4х4, Нива 4х4 Урбан), УАЗ (3303, 469, Хантер), Jeep Wrangler</v>
      </c>
      <c r="D343" s="80" t="str">
        <f>VLOOKUP($A343,'Выгр Кат'!$A:$R,D$1,0)</f>
        <v>Y</v>
      </c>
      <c r="E343" s="80" t="str">
        <f>VLOOKUP($A343,'Выгр Кат'!$A:$R,E$1,0)</f>
        <v>1</v>
      </c>
      <c r="F343" s="80" t="str">
        <f>VLOOKUP($A343,'Выгр Кат'!$A:$R,F$1,0)</f>
        <v>HP-HLD-007</v>
      </c>
      <c r="G343" s="80" t="str">
        <f>VLOOKUP($A343,'Выгр Кат'!$A:$R,G$1,0)</f>
        <v>https://motorring.ru/product/15119-svetodiodnye-fary-chernom-korpuse-96w-dyuymov-povtoritelem</v>
      </c>
      <c r="H343" s="67" t="s">
        <v>3</v>
      </c>
      <c r="I343" s="82">
        <v>3700</v>
      </c>
      <c r="J343" s="5">
        <f>VLOOKUP(I343,Наценка!$A$1:$G$8,2,1)</f>
        <v>1.27</v>
      </c>
      <c r="K343" s="56">
        <f>W343*1.06</f>
        <v>5077.4000000000005</v>
      </c>
      <c r="L343" s="70">
        <f>IF(K343&lt;=1000,(ROUNDUP(K343,-1)-1),(ROUNDUP(K343,-2)-10))</f>
        <v>5090</v>
      </c>
      <c r="M343" s="80">
        <f>VLOOKUP($A343,'Выгр Кат'!$A:$R,M$1,0)</f>
        <v>3700</v>
      </c>
      <c r="N343" s="80">
        <f>VLOOKUP($A343,'Выгр Кат'!$A:$R,N$1,0)</f>
        <v>5090</v>
      </c>
      <c r="O343" s="28">
        <f>M343-I343</f>
        <v>0</v>
      </c>
      <c r="P343" s="28">
        <f>N343-L343</f>
        <v>0</v>
      </c>
      <c r="Q343" s="36">
        <f>IFERROR(L343*(1-$Q$2),"")</f>
        <v>4733.7</v>
      </c>
      <c r="R343" s="38">
        <f>IFERROR(VLOOKUP($A343,'Из Гугла'!$B:$G,6,0)*S343,VLOOKUP($A343,'Из Гугла'!$B:$G,6,0))</f>
        <v>4790</v>
      </c>
      <c r="S343" s="14">
        <v>1</v>
      </c>
      <c r="T343" s="83">
        <f>IFERROR(Q343/I343-1,"")</f>
        <v>0.27937837837837831</v>
      </c>
      <c r="U343" s="83">
        <f>IFERROR((W343-Q343)/W343,"")</f>
        <v>1.1753653444676448E-2</v>
      </c>
      <c r="V343" s="83">
        <f>IFERROR(IF(W343="","",W343/I343-1),"")</f>
        <v>0.29459459459459469</v>
      </c>
      <c r="W343" s="95">
        <v>4790</v>
      </c>
      <c r="X343" s="71" t="s">
        <v>764</v>
      </c>
    </row>
    <row r="344" spans="1:24" ht="76.5" thickTop="1" thickBot="1" x14ac:dyDescent="0.3">
      <c r="A344" s="80">
        <v>213700</v>
      </c>
      <c r="B344" s="80">
        <f>VLOOKUP($A344,'Выгр Кат'!$A:$R,B$1,0)</f>
        <v>19183</v>
      </c>
      <c r="C344" s="81" t="str">
        <f>VLOOKUP($A344,'Выгр Кат'!$A:$R,C$1,0)</f>
        <v>Светодиодные фары 60W, 7 дюймов, чёрные (ДХО, повторитель) для ВАЗ (2101,2102), Лада (Нива 4х4, Нива 4х4 Урбан), УАЗ (3303, 469, Хантер), Jeep Wrangler</v>
      </c>
      <c r="D344" s="80" t="str">
        <f>VLOOKUP($A344,'Выгр Кат'!$A:$R,D$1,0)</f>
        <v>Y</v>
      </c>
      <c r="E344" s="80" t="str">
        <f>VLOOKUP($A344,'Выгр Кат'!$A:$R,E$1,0)</f>
        <v>1</v>
      </c>
      <c r="F344" s="80" t="str">
        <f>VLOOKUP($A344,'Выгр Кат'!$A:$R,F$1,0)</f>
        <v>HP-HLD-22</v>
      </c>
      <c r="G344" s="80" t="str">
        <f>VLOOKUP($A344,'Выгр Кат'!$A:$R,G$1,0)</f>
        <v>https://motorring.ru/product/21804-svetodiodnye-fary-60w-dyuymov-chernye-krug-centre</v>
      </c>
      <c r="H344" s="67" t="s">
        <v>3</v>
      </c>
      <c r="I344" s="82">
        <v>3800</v>
      </c>
      <c r="J344" s="5">
        <f>VLOOKUP(I344,Наценка!$A$1:$G$8,2,1)</f>
        <v>1.27</v>
      </c>
      <c r="K344" s="56">
        <f>W344*1.06</f>
        <v>5395.4000000000005</v>
      </c>
      <c r="L344" s="70">
        <f>IF(K344&lt;=1000,(ROUNDUP(K344,-1)-1),(ROUNDUP(K344,-2)-10))</f>
        <v>5390</v>
      </c>
      <c r="M344" s="80">
        <f>VLOOKUP($A344,'Выгр Кат'!$A:$R,M$1,0)</f>
        <v>3800</v>
      </c>
      <c r="N344" s="80">
        <f>VLOOKUP($A344,'Выгр Кат'!$A:$R,N$1,0)</f>
        <v>5390</v>
      </c>
      <c r="O344" s="28">
        <f>M344-I344</f>
        <v>0</v>
      </c>
      <c r="P344" s="28">
        <f>N344-L344</f>
        <v>0</v>
      </c>
      <c r="Q344" s="36">
        <f>IFERROR(L344*(1-$Q$2),"")</f>
        <v>5012.7</v>
      </c>
      <c r="R344" s="38">
        <f>IFERROR(VLOOKUP($A344,'Из Гугла'!$B:$G,6,0)*S344,VLOOKUP($A344,'Из Гугла'!$B:$G,6,0))</f>
        <v>5090</v>
      </c>
      <c r="S344" s="14">
        <v>1</v>
      </c>
      <c r="T344" s="83">
        <f>IFERROR(Q344/I344-1,"")</f>
        <v>0.31913157894736832</v>
      </c>
      <c r="U344" s="83">
        <f>IFERROR((W344-Q344)/W344,"")</f>
        <v>1.5186640471512806E-2</v>
      </c>
      <c r="V344" s="83">
        <f>IFERROR(IF(W344="","",W344/I344-1),"")</f>
        <v>0.33947368421052637</v>
      </c>
      <c r="W344" s="95">
        <v>5090</v>
      </c>
      <c r="X344" s="71" t="s">
        <v>774</v>
      </c>
    </row>
    <row r="345" spans="1:24" ht="76.5" thickTop="1" thickBot="1" x14ac:dyDescent="0.3">
      <c r="A345" s="80">
        <v>213702</v>
      </c>
      <c r="B345" s="80">
        <f>VLOOKUP($A345,'Выгр Кат'!$A:$R,B$1,0)</f>
        <v>19186</v>
      </c>
      <c r="C345" s="81" t="str">
        <f>VLOOKUP($A345,'Выгр Кат'!$A:$R,C$1,0)</f>
        <v>Светодиодные фары 60W, чёрные, V-образным рисунком (ДХО, повторитель) для ВАЗ (2101, 2102), Лада (Нива 4х4, Нива 4х4 Урбан), УАЗ (3303, 469, Хантер), Jeep Wrangler</v>
      </c>
      <c r="D345" s="80" t="str">
        <f>VLOOKUP($A345,'Выгр Кат'!$A:$R,D$1,0)</f>
        <v>Y</v>
      </c>
      <c r="E345" s="80" t="str">
        <f>VLOOKUP($A345,'Выгр Кат'!$A:$R,E$1,0)</f>
        <v>1</v>
      </c>
      <c r="F345" s="80" t="str">
        <f>VLOOKUP($A345,'Выгр Кат'!$A:$R,F$1,0)</f>
        <v>HP-HLD-21</v>
      </c>
      <c r="G345" s="80" t="str">
        <f>VLOOKUP($A345,'Выгр Кат'!$A:$R,G$1,0)</f>
        <v>https://motorring.ru/product/21803-svetodiodnye-fary-chernom-korpuse-60w-dyuymov-v-obraznym</v>
      </c>
      <c r="H345" s="67" t="s">
        <v>3</v>
      </c>
      <c r="I345" s="82">
        <v>3800</v>
      </c>
      <c r="J345" s="5">
        <f>VLOOKUP(I345,Наценка!$A$1:$G$8,2,1)</f>
        <v>1.27</v>
      </c>
      <c r="K345" s="57">
        <f>W345*1.07</f>
        <v>4804.3</v>
      </c>
      <c r="L345" s="70">
        <f>IF(K345&lt;=1000,(ROUNDUP(K345,-1)-1),(ROUNDUP(K345,-2)-10))</f>
        <v>4890</v>
      </c>
      <c r="M345" s="80">
        <f>VLOOKUP($A345,'Выгр Кат'!$A:$R,M$1,0)</f>
        <v>3800</v>
      </c>
      <c r="N345" s="80">
        <f>VLOOKUP($A345,'Выгр Кат'!$A:$R,N$1,0)</f>
        <v>4890</v>
      </c>
      <c r="O345" s="28">
        <f>M345-I345</f>
        <v>0</v>
      </c>
      <c r="P345" s="28">
        <f>N345-L345</f>
        <v>0</v>
      </c>
      <c r="Q345" s="36">
        <f>IFERROR(L345*(1-$Q$2),"")</f>
        <v>4547.7</v>
      </c>
      <c r="R345" s="38">
        <f>IFERROR(VLOOKUP($A345,'Из Гугла'!$B:$G,6,0)*S345,VLOOKUP($A345,'Из Гугла'!$B:$G,6,0))</f>
        <v>4490</v>
      </c>
      <c r="S345" s="14">
        <v>1</v>
      </c>
      <c r="T345" s="83">
        <f>IFERROR(Q345/I345-1,"")</f>
        <v>0.19676315789473686</v>
      </c>
      <c r="U345" s="83">
        <f>IFERROR((W345-Q345)/W345,"")</f>
        <v>-1.2850779510022231E-2</v>
      </c>
      <c r="V345" s="83">
        <f>IFERROR(IF(W345="","",W345/I345-1),"")</f>
        <v>0.18157894736842106</v>
      </c>
      <c r="W345" s="95">
        <v>4490</v>
      </c>
      <c r="X345" s="71" t="s">
        <v>773</v>
      </c>
    </row>
    <row r="346" spans="1:24" ht="76.5" thickTop="1" thickBot="1" x14ac:dyDescent="0.3">
      <c r="A346" s="80">
        <v>213703</v>
      </c>
      <c r="B346" s="80">
        <f>VLOOKUP($A346,'Выгр Кат'!$A:$R,B$1,0)</f>
        <v>19189</v>
      </c>
      <c r="C346" s="81" t="str">
        <f>VLOOKUP($A346,'Выгр Кат'!$A:$R,C$1,0)</f>
        <v>Светодиодные фары 60W, чёрные, с Х-образным рисунком (ДХО, повторитель) для ВАЗ (2101,2102), Лада (Нива 4х4, Нива 4х4 Урбан), УАЗ (3303, 469, Хантер), Jeep Wrangler</v>
      </c>
      <c r="D346" s="80" t="str">
        <f>VLOOKUP($A346,'Выгр Кат'!$A:$R,D$1,0)</f>
        <v>Y</v>
      </c>
      <c r="E346" s="80" t="str">
        <f>VLOOKUP($A346,'Выгр Кат'!$A:$R,E$1,0)</f>
        <v>1</v>
      </c>
      <c r="F346" s="80" t="str">
        <f>VLOOKUP($A346,'Выгр Кат'!$A:$R,F$1,0)</f>
        <v>HP-HLD-20</v>
      </c>
      <c r="G346" s="80" t="str">
        <f>VLOOKUP($A346,'Выгр Кат'!$A:$R,G$1,0)</f>
        <v>https://motorring.ru/product/21802-svetodiodnye-fary-chernom-korpuse-60w-dyuymov-h-obraznym</v>
      </c>
      <c r="H346" s="67" t="s">
        <v>3</v>
      </c>
      <c r="I346" s="82">
        <v>3800</v>
      </c>
      <c r="J346" s="5">
        <f>VLOOKUP(I346,Наценка!$A$1:$G$8,2,1)</f>
        <v>1.27</v>
      </c>
      <c r="K346" s="87">
        <f>W346*1.06</f>
        <v>5183.4000000000005</v>
      </c>
      <c r="L346" s="70">
        <f>IF(K346&lt;=1000,(ROUNDUP(K346,-1)-1),(ROUNDUP(K346,-2)-10))</f>
        <v>5190</v>
      </c>
      <c r="M346" s="80">
        <f>VLOOKUP($A346,'Выгр Кат'!$A:$R,M$1,0)</f>
        <v>3800</v>
      </c>
      <c r="N346" s="80">
        <f>VLOOKUP($A346,'Выгр Кат'!$A:$R,N$1,0)</f>
        <v>5190</v>
      </c>
      <c r="O346" s="28">
        <f>M346-I346</f>
        <v>0</v>
      </c>
      <c r="P346" s="28">
        <f>N346-L346</f>
        <v>0</v>
      </c>
      <c r="Q346" s="36">
        <f>IFERROR(L346*(1-$Q$2),"")</f>
        <v>4826.7</v>
      </c>
      <c r="R346" s="38">
        <f>IFERROR(VLOOKUP($A346,'Из Гугла'!$B:$G,6,0)*S346,VLOOKUP($A346,'Из Гугла'!$B:$G,6,0))</f>
        <v>4890</v>
      </c>
      <c r="S346" s="14">
        <v>1</v>
      </c>
      <c r="T346" s="83">
        <f>IFERROR(Q346/I346-1,"")</f>
        <v>0.27018421052631569</v>
      </c>
      <c r="U346" s="83">
        <f>IFERROR((W346-Q346)/W346,"")</f>
        <v>1.2944785276073657E-2</v>
      </c>
      <c r="V346" s="83">
        <f>IFERROR(IF(W346="","",W346/I346-1),"")</f>
        <v>0.28684210526315779</v>
      </c>
      <c r="W346" s="95">
        <v>4890</v>
      </c>
      <c r="X346" s="71" t="s">
        <v>772</v>
      </c>
    </row>
    <row r="347" spans="1:24" ht="61.5" thickTop="1" thickBot="1" x14ac:dyDescent="0.3">
      <c r="A347" s="80">
        <v>213691</v>
      </c>
      <c r="B347" s="80">
        <f>VLOOKUP($A347,'Выгр Кат'!$A:$R,B$1,0)</f>
        <v>25027</v>
      </c>
      <c r="C347" s="81" t="str">
        <f>VLOOKUP($A347,'Выгр Кат'!$A:$R,C$1,0)</f>
        <v>Светодиодные фары (ДХО, повторитель) для ВАЗ (2101, 2102), Лада (Нива 4х4, Нива 4х4 Урбан), УАЗ (3303, 469, Хантер), Jeep Wrangler</v>
      </c>
      <c r="D347" s="80" t="str">
        <f>VLOOKUP($A347,'Выгр Кат'!$A:$R,D$1,0)</f>
        <v>Y</v>
      </c>
      <c r="E347" s="80" t="str">
        <f>VLOOKUP($A347,'Выгр Кат'!$A:$R,E$1,0)</f>
        <v>1</v>
      </c>
      <c r="F347" s="80" t="str">
        <f>VLOOKUP($A347,'Выгр Кат'!$A:$R,F$1,0)</f>
        <v>hp-hld-36-01</v>
      </c>
      <c r="G347" s="80" t="str">
        <f>VLOOKUP($A347,'Выгр Кат'!$A:$R,G$1,0)</f>
        <v>https://motorring.ru/product/27714-svetodiodnye-fary-linii-dyuymov-chernye-led-kolycom</v>
      </c>
      <c r="H347" s="67" t="s">
        <v>3</v>
      </c>
      <c r="I347" s="82">
        <v>3800</v>
      </c>
      <c r="J347" s="5">
        <f>VLOOKUP(I347,Наценка!$A$1:$G$8,2,1)</f>
        <v>1.27</v>
      </c>
      <c r="K347" s="56">
        <f>W347*1.06</f>
        <v>5183.4000000000005</v>
      </c>
      <c r="L347" s="70">
        <f>IF(K347&lt;=1000,(ROUNDUP(K347,-1)-1),(ROUNDUP(K347,-2)-10))</f>
        <v>5190</v>
      </c>
      <c r="M347" s="80">
        <f>VLOOKUP($A347,'Выгр Кат'!$A:$R,M$1,0)</f>
        <v>3800</v>
      </c>
      <c r="N347" s="80">
        <f>VLOOKUP($A347,'Выгр Кат'!$A:$R,N$1,0)</f>
        <v>5190</v>
      </c>
      <c r="O347" s="28">
        <f>M347-I347</f>
        <v>0</v>
      </c>
      <c r="P347" s="28">
        <f>N347-L347</f>
        <v>0</v>
      </c>
      <c r="Q347" s="36">
        <f>IFERROR(L347*(1-$Q$2),"")</f>
        <v>4826.7</v>
      </c>
      <c r="R347" s="38">
        <f>IFERROR(VLOOKUP($A347,'Из Гугла'!$B:$G,6,0)*S347,VLOOKUP($A347,'Из Гугла'!$B:$G,6,0))</f>
        <v>4890</v>
      </c>
      <c r="S347" s="14">
        <v>1</v>
      </c>
      <c r="T347" s="83">
        <f>IFERROR(Q347/I347-1,"")</f>
        <v>0.27018421052631569</v>
      </c>
      <c r="U347" s="83">
        <f>IFERROR((W347-Q347)/W347,"")</f>
        <v>1.2944785276073657E-2</v>
      </c>
      <c r="V347" s="83">
        <f>IFERROR(IF(W347="","",W347/I347-1),"")</f>
        <v>0.28684210526315779</v>
      </c>
      <c r="W347" s="95">
        <v>4890</v>
      </c>
      <c r="X347" s="71" t="s">
        <v>888</v>
      </c>
    </row>
    <row r="348" spans="1:24" ht="76.5" thickTop="1" thickBot="1" x14ac:dyDescent="0.3">
      <c r="A348" s="80">
        <v>213686</v>
      </c>
      <c r="B348" s="80">
        <f>VLOOKUP($A348,'Выгр Кат'!$A:$R,B$1,0)</f>
        <v>25029</v>
      </c>
      <c r="C348" s="81" t="str">
        <f>VLOOKUP($A348,'Выгр Кат'!$A:$R,C$1,0)</f>
        <v>Светодиодные фары "Equalizer" (ДХО, линза, повторитель) для ВАЗ (2101, 2102), Лада (Нива 4х4, Нива 4х4 Урбан), УАЗ (3303, 469, Хантер), Jeep Wrangler</v>
      </c>
      <c r="D348" s="80" t="str">
        <f>VLOOKUP($A348,'Выгр Кат'!$A:$R,D$1,0)</f>
        <v>Y</v>
      </c>
      <c r="E348" s="80" t="str">
        <f>VLOOKUP($A348,'Выгр Кат'!$A:$R,E$1,0)</f>
        <v>1</v>
      </c>
      <c r="F348" s="80" t="str">
        <f>VLOOKUP($A348,'Выгр Кат'!$A:$R,F$1,0)</f>
        <v>hp-hld-40-01</v>
      </c>
      <c r="G348" s="80" t="str">
        <f>VLOOKUP($A348,'Выгр Кат'!$A:$R,G$1,0)</f>
        <v>https://motorring.ru/product/27719-svetodiodnye-fary-shkali-dyuymov-chernye-led-kolycom</v>
      </c>
      <c r="H348" s="67" t="s">
        <v>3</v>
      </c>
      <c r="I348" s="82">
        <v>3800</v>
      </c>
      <c r="J348" s="5">
        <f>VLOOKUP(I348,Наценка!$A$1:$G$8,2,1)</f>
        <v>1.27</v>
      </c>
      <c r="K348" s="56">
        <f>W348*1.06</f>
        <v>5183.4000000000005</v>
      </c>
      <c r="L348" s="70">
        <f>IF(K348&lt;=1000,(ROUNDUP(K348,-1)-1),(ROUNDUP(K348,-2)-10))</f>
        <v>5190</v>
      </c>
      <c r="M348" s="80">
        <f>VLOOKUP($A348,'Выгр Кат'!$A:$R,M$1,0)</f>
        <v>3800</v>
      </c>
      <c r="N348" s="80">
        <f>VLOOKUP($A348,'Выгр Кат'!$A:$R,N$1,0)</f>
        <v>5190</v>
      </c>
      <c r="O348" s="28">
        <f>M348-I348</f>
        <v>0</v>
      </c>
      <c r="P348" s="28">
        <f>N348-L348</f>
        <v>0</v>
      </c>
      <c r="Q348" s="36">
        <f>IFERROR(L348*(1-$Q$2),"")</f>
        <v>4826.7</v>
      </c>
      <c r="R348" s="38">
        <f>IFERROR(VLOOKUP($A348,'Из Гугла'!$B:$G,6,0)*S348,VLOOKUP($A348,'Из Гугла'!$B:$G,6,0))</f>
        <v>4890</v>
      </c>
      <c r="S348" s="14">
        <v>1</v>
      </c>
      <c r="T348" s="83">
        <f>IFERROR(Q348/I348-1,"")</f>
        <v>0.27018421052631569</v>
      </c>
      <c r="U348" s="83">
        <f>IFERROR((W348-Q348)/W348,"")</f>
        <v>1.2944785276073657E-2</v>
      </c>
      <c r="V348" s="83">
        <f>IFERROR(IF(W348="","",W348/I348-1),"")</f>
        <v>0.28684210526315779</v>
      </c>
      <c r="W348" s="95">
        <v>4890</v>
      </c>
      <c r="X348" s="71" t="s">
        <v>761</v>
      </c>
    </row>
    <row r="349" spans="1:24" ht="75.75" thickTop="1" x14ac:dyDescent="0.25">
      <c r="A349" s="80">
        <v>213688</v>
      </c>
      <c r="B349" s="80">
        <f>VLOOKUP($A349,'Выгр Кат'!$A:$R,B$1,0)</f>
        <v>25031</v>
      </c>
      <c r="C349" s="81" t="str">
        <f>VLOOKUP($A349,'Выгр Кат'!$A:$R,C$1,0)</f>
        <v>Светодиодные фары "The Skull of Death" (ДХО, линза, повторитель) для ВАЗ (2101,2102), Лада (Нива 4х4, Нива 4х4 Урбан), УАЗ (3303, 469, Хантер), Jeep Wrangler</v>
      </c>
      <c r="D349" s="80" t="str">
        <f>VLOOKUP($A349,'Выгр Кат'!$A:$R,D$1,0)</f>
        <v>Y</v>
      </c>
      <c r="E349" s="80" t="str">
        <f>VLOOKUP($A349,'Выгр Кат'!$A:$R,E$1,0)</f>
        <v>1</v>
      </c>
      <c r="F349" s="80" t="str">
        <f>VLOOKUP($A349,'Выгр Кат'!$A:$R,F$1,0)</f>
        <v>hp-hld-33-01</v>
      </c>
      <c r="G349" s="80" t="str">
        <f>VLOOKUP($A349,'Выгр Кат'!$A:$R,G$1,0)</f>
        <v>https://motorring.ru/product/27717-svetodiodnye-fary-cherep-dyuymov-chernye-led-kolycom</v>
      </c>
      <c r="H349" s="67" t="s">
        <v>3</v>
      </c>
      <c r="I349" s="82">
        <v>3800</v>
      </c>
      <c r="J349" s="5">
        <f>VLOOKUP(I349,Наценка!$A$1:$G$8,2,1)</f>
        <v>1.27</v>
      </c>
      <c r="K349" s="87">
        <f>W349*1.06</f>
        <v>5289.4000000000005</v>
      </c>
      <c r="L349" s="70">
        <f>IF(K349&lt;=1000,(ROUNDUP(K349,-1)-1),(ROUNDUP(K349,-2)-10))</f>
        <v>5290</v>
      </c>
      <c r="M349" s="80">
        <f>VLOOKUP($A349,'Выгр Кат'!$A:$R,M$1,0)</f>
        <v>3800</v>
      </c>
      <c r="N349" s="80">
        <f>VLOOKUP($A349,'Выгр Кат'!$A:$R,N$1,0)</f>
        <v>5290</v>
      </c>
      <c r="O349" s="28">
        <f>M349-I349</f>
        <v>0</v>
      </c>
      <c r="P349" s="28">
        <f>N349-L349</f>
        <v>0</v>
      </c>
      <c r="Q349" s="36">
        <f>IFERROR(L349*(1-$Q$2),"")</f>
        <v>4919.7</v>
      </c>
      <c r="R349" s="38">
        <f>IFERROR(VLOOKUP($A349,'Из Гугла'!$B:$G,6,0)*S349,VLOOKUP($A349,'Из Гугла'!$B:$G,6,0))</f>
        <v>4990</v>
      </c>
      <c r="S349" s="14">
        <v>1</v>
      </c>
      <c r="T349" s="83">
        <f>IFERROR(Q349/I349-1,"")</f>
        <v>0.29465789473684212</v>
      </c>
      <c r="U349" s="83">
        <f>IFERROR((W349-Q349)/W349,"")</f>
        <v>1.4088176352705447E-2</v>
      </c>
      <c r="V349" s="83">
        <f>IFERROR(IF(W349="","",W349/I349-1),"")</f>
        <v>0.31315789473684208</v>
      </c>
      <c r="W349" s="93">
        <v>4990</v>
      </c>
      <c r="X349" s="71" t="s">
        <v>759</v>
      </c>
    </row>
    <row r="350" spans="1:24" ht="45.75" thickBot="1" x14ac:dyDescent="0.3">
      <c r="A350" s="80">
        <v>133280</v>
      </c>
      <c r="B350" s="80">
        <f>VLOOKUP($A350,'Выгр Кат'!$A:$R,B$1,0)</f>
        <v>24044</v>
      </c>
      <c r="C350" s="81" t="str">
        <f>VLOOKUP($A350,'Выгр Кат'!$A:$R,C$1,0)</f>
        <v>Балка дополнительного освещения "The Best Partner" HP-CTD-BPTJ-003 (130 Вт, 600 мм)</v>
      </c>
      <c r="D350" s="80" t="str">
        <f>VLOOKUP($A350,'Выгр Кат'!$A:$R,D$1,0)</f>
        <v>Y</v>
      </c>
      <c r="E350" s="80" t="str">
        <f>VLOOKUP($A350,'Выгр Кат'!$A:$R,E$1,0)</f>
        <v>1</v>
      </c>
      <c r="F350" s="80" t="str">
        <f>VLOOKUP($A350,'Выгр Кат'!$A:$R,F$1,0)</f>
        <v>HP-CTD-BPTJ-003</v>
      </c>
      <c r="G350" s="80">
        <f>VLOOKUP($A350,'Выгр Кат'!$A:$R,G$1,0)</f>
        <v>0</v>
      </c>
      <c r="H350" s="67" t="s">
        <v>3</v>
      </c>
      <c r="I350" s="82">
        <v>4500</v>
      </c>
      <c r="J350" s="5">
        <f>VLOOKUP(I350,Наценка!$A$1:$G$8,2,1)</f>
        <v>1.27</v>
      </c>
      <c r="K350" s="34">
        <f>I350*J350</f>
        <v>5715</v>
      </c>
      <c r="L350" s="70">
        <f>IF(K350&lt;=1000,(ROUNDUP(K350,-1)-1),(ROUNDUP(K350,-2)-10))</f>
        <v>5790</v>
      </c>
      <c r="M350" s="80">
        <f>VLOOKUP($A350,'Выгр Кат'!$A:$R,M$1,0)</f>
        <v>4500</v>
      </c>
      <c r="N350" s="80">
        <f>VLOOKUP($A350,'Выгр Кат'!$A:$R,N$1,0)</f>
        <v>5790</v>
      </c>
      <c r="O350" s="28">
        <f>M350-I350</f>
        <v>0</v>
      </c>
      <c r="P350" s="28">
        <f>N350-L350</f>
        <v>0</v>
      </c>
      <c r="Q350" s="36">
        <f>IFERROR(L350*(1-$Q$2),"")</f>
        <v>5384.7</v>
      </c>
      <c r="R350" s="38" t="str">
        <f>IFERROR(VLOOKUP($A350,'Из Гугла'!$B:$G,6,0)*S350,VLOOKUP($A350,'Из Гугла'!$B:$G,6,0))</f>
        <v/>
      </c>
      <c r="S350" s="14">
        <v>1</v>
      </c>
      <c r="T350" s="83">
        <f>IFERROR(Q350/I350-1,"")</f>
        <v>0.19659999999999989</v>
      </c>
      <c r="U350" s="83" t="str">
        <f>IFERROR((W350-Q350)/W350,"")</f>
        <v/>
      </c>
      <c r="V350" s="83" t="str">
        <f>IFERROR(IF(W350="","",W350/I350-1),"")</f>
        <v/>
      </c>
      <c r="W350" s="94" t="s">
        <v>1269</v>
      </c>
    </row>
    <row r="351" spans="1:24" ht="46.5" thickTop="1" thickBot="1" x14ac:dyDescent="0.3">
      <c r="A351" s="80">
        <v>145488</v>
      </c>
      <c r="B351" s="80">
        <f>VLOOKUP($A351,'Выгр Кат'!$A:$R,B$1,0)</f>
        <v>61559</v>
      </c>
      <c r="C351" s="81" t="str">
        <f>VLOOKUP($A351,'Выгр Кат'!$A:$R,C$1,0)</f>
        <v>Задние светодиодные фонари в стиле Mercedes, серый хром для Лада Приора, Приора 2</v>
      </c>
      <c r="D351" s="80" t="str">
        <f>VLOOKUP($A351,'Выгр Кат'!$A:$R,D$1,0)</f>
        <v>Y</v>
      </c>
      <c r="E351" s="80" t="str">
        <f>VLOOKUP($A351,'Выгр Кат'!$A:$R,E$1,0)</f>
        <v>1ск1</v>
      </c>
      <c r="F351" s="80">
        <f>VLOOKUP($A351,'Выгр Кат'!$A:$R,F$1,0)</f>
        <v>0</v>
      </c>
      <c r="G351" s="80" t="str">
        <f>VLOOKUP($A351,'Выгр Кат'!$A:$R,G$1,0)</f>
        <v>https://motorring.ru/product/32064-zadnie-chernye-svetodiodnye-fonari-stile-amg-lada-priora</v>
      </c>
      <c r="H351" s="67" t="s">
        <v>3</v>
      </c>
      <c r="I351" s="82">
        <v>4500</v>
      </c>
      <c r="J351" s="5">
        <f>VLOOKUP(I351,Наценка!$A$1:$G$8,2,1)</f>
        <v>1.27</v>
      </c>
      <c r="K351" s="56">
        <f>W351*1.06</f>
        <v>6243.4000000000005</v>
      </c>
      <c r="L351" s="70">
        <f>IF(K351&lt;=1000,(ROUNDUP(K351,-1)-1),(ROUNDUP(K351,-2)-10))</f>
        <v>6290</v>
      </c>
      <c r="M351" s="80">
        <f>VLOOKUP($A351,'Выгр Кат'!$A:$R,M$1,0)</f>
        <v>4500</v>
      </c>
      <c r="N351" s="80">
        <f>VLOOKUP($A351,'Выгр Кат'!$A:$R,N$1,0)</f>
        <v>6290</v>
      </c>
      <c r="O351" s="28">
        <f>M351-I351</f>
        <v>0</v>
      </c>
      <c r="P351" s="28">
        <f>N351-L351</f>
        <v>0</v>
      </c>
      <c r="Q351" s="36">
        <f>IFERROR(L351*(1-$Q$2),"")</f>
        <v>5849.7</v>
      </c>
      <c r="R351" s="38">
        <f>IFERROR(VLOOKUP($A351,'Из Гугла'!$B:$G,6,0)*S351,VLOOKUP($A351,'Из Гугла'!$B:$G,6,0))</f>
        <v>5890</v>
      </c>
      <c r="S351" s="14">
        <v>1</v>
      </c>
      <c r="T351" s="83">
        <f>IFERROR(Q351/I351-1,"")</f>
        <v>0.29993333333333339</v>
      </c>
      <c r="U351" s="83">
        <f>IFERROR((W351-Q351)/W351,"")</f>
        <v>6.8421052631579254E-3</v>
      </c>
      <c r="V351" s="83">
        <f>IFERROR(IF(W351="","",W351/I351-1),"")</f>
        <v>0.30888888888888899</v>
      </c>
      <c r="W351" s="95">
        <v>5890</v>
      </c>
      <c r="X351" s="71" t="s">
        <v>754</v>
      </c>
    </row>
    <row r="352" spans="1:24" ht="31.5" thickTop="1" thickBot="1" x14ac:dyDescent="0.3">
      <c r="A352" s="80">
        <v>133335</v>
      </c>
      <c r="B352" s="80">
        <f>VLOOKUP($A352,'Выгр Кат'!$A:$R,B$1,0)</f>
        <v>8067</v>
      </c>
      <c r="C352" s="81" t="str">
        <f>VLOOKUP($A352,'Выгр Кат'!$A:$R,C$1,0)</f>
        <v>Балка с диодами PL-3103-FS (20*3 Вт)</v>
      </c>
      <c r="D352" s="80" t="str">
        <f>VLOOKUP($A352,'Выгр Кат'!$A:$R,D$1,0)</f>
        <v>Y</v>
      </c>
      <c r="E352" s="80" t="str">
        <f>VLOOKUP($A352,'Выгр Кат'!$A:$R,E$1,0)</f>
        <v>1</v>
      </c>
      <c r="F352" s="80" t="str">
        <f>VLOOKUP($A352,'Выгр Кат'!$A:$R,F$1,0)</f>
        <v>PL-3103-FS</v>
      </c>
      <c r="G352" s="80" t="str">
        <f>VLOOKUP($A352,'Выгр Кат'!$A:$R,G$1,0)</f>
        <v>https://motorring.ru/product/8280-diodnaya-balka-pl-3103-60w-3vt</v>
      </c>
      <c r="H352" s="67" t="s">
        <v>3</v>
      </c>
      <c r="I352" s="82">
        <v>4800</v>
      </c>
      <c r="J352" s="5">
        <f>VLOOKUP(I352,Наценка!$A$1:$G$8,2,1)</f>
        <v>1.27</v>
      </c>
      <c r="K352" s="88">
        <f>I352*J352</f>
        <v>6096</v>
      </c>
      <c r="L352" s="70">
        <f>IF(K352&lt;=1000,(ROUNDUP(K352,-1)-1),(ROUNDUP(K352,-2)-10))</f>
        <v>6090</v>
      </c>
      <c r="M352" s="80">
        <f>VLOOKUP($A352,'Выгр Кат'!$A:$R,M$1,0)</f>
        <v>4800</v>
      </c>
      <c r="N352" s="80">
        <f>VLOOKUP($A352,'Выгр Кат'!$A:$R,N$1,0)</f>
        <v>6190</v>
      </c>
      <c r="O352" s="28">
        <f>M352-I352</f>
        <v>0</v>
      </c>
      <c r="P352" s="28">
        <f>N352-L352</f>
        <v>100</v>
      </c>
      <c r="Q352" s="36">
        <f>IFERROR(L352*(1-$Q$2),"")</f>
        <v>5663.7</v>
      </c>
      <c r="R352" s="38">
        <f>IFERROR(VLOOKUP($A352,'Из Гугла'!$B:$G,6,0)*S352,VLOOKUP($A352,'Из Гугла'!$B:$G,6,0))</f>
        <v>4990</v>
      </c>
      <c r="S352" s="14">
        <v>1</v>
      </c>
      <c r="T352" s="83">
        <f>IFERROR(Q352/I352-1,"")</f>
        <v>0.17993749999999986</v>
      </c>
      <c r="U352" s="83">
        <f>IFERROR((W352-Q352)/W352,"")</f>
        <v>-0.13501002004008011</v>
      </c>
      <c r="V352" s="83">
        <f>IFERROR(IF(W352="","",W352/I352-1),"")</f>
        <v>3.9583333333333304E-2</v>
      </c>
      <c r="W352" s="95">
        <v>4990</v>
      </c>
      <c r="X352" s="71" t="s">
        <v>936</v>
      </c>
    </row>
    <row r="353" spans="1:24" ht="31.5" thickTop="1" thickBot="1" x14ac:dyDescent="0.3">
      <c r="A353" s="80">
        <v>133339</v>
      </c>
      <c r="B353" s="80">
        <f>VLOOKUP($A353,'Выгр Кат'!$A:$R,B$1,0)</f>
        <v>8074</v>
      </c>
      <c r="C353" s="81" t="str">
        <f>VLOOKUP($A353,'Выгр Кат'!$A:$R,C$1,0)</f>
        <v>Балка с диодами PL-3204-FS (30х3Вт)</v>
      </c>
      <c r="D353" s="80" t="str">
        <f>VLOOKUP($A353,'Выгр Кат'!$A:$R,D$1,0)</f>
        <v>Y</v>
      </c>
      <c r="E353" s="80" t="str">
        <f>VLOOKUP($A353,'Выгр Кат'!$A:$R,E$1,0)</f>
        <v>1</v>
      </c>
      <c r="F353" s="80" t="str">
        <f>VLOOKUP($A353,'Выгр Кат'!$A:$R,F$1,0)</f>
        <v>PL-3204-FS</v>
      </c>
      <c r="G353" s="80" t="str">
        <f>VLOOKUP($A353,'Выгр Кат'!$A:$R,G$1,0)</f>
        <v>https://motorring.ru/product/8287-diodnaya-balka-pl-3204-90w-3vt</v>
      </c>
      <c r="H353" s="67" t="s">
        <v>3</v>
      </c>
      <c r="I353" s="82">
        <v>4800</v>
      </c>
      <c r="J353" s="5">
        <f>VLOOKUP(I353,Наценка!$A$1:$G$8,2,1)</f>
        <v>1.27</v>
      </c>
      <c r="K353" s="56">
        <f>W353*1.06</f>
        <v>7939.4000000000005</v>
      </c>
      <c r="L353" s="70">
        <f>IF(K353&lt;=1000,(ROUNDUP(K353,-1)-1),(ROUNDUP(K353,-2)-10))</f>
        <v>7990</v>
      </c>
      <c r="M353" s="80">
        <f>VLOOKUP($A353,'Выгр Кат'!$A:$R,M$1,0)</f>
        <v>4800</v>
      </c>
      <c r="N353" s="80">
        <f>VLOOKUP($A353,'Выгр Кат'!$A:$R,N$1,0)</f>
        <v>7990</v>
      </c>
      <c r="O353" s="28">
        <f>M353-I353</f>
        <v>0</v>
      </c>
      <c r="P353" s="28">
        <f>N353-L353</f>
        <v>0</v>
      </c>
      <c r="Q353" s="36">
        <f>IFERROR(L353*(1-$Q$2),"")</f>
        <v>7430.7</v>
      </c>
      <c r="R353" s="38">
        <f>IFERROR(VLOOKUP($A353,'Из Гугла'!$B:$G,6,0)*S353,VLOOKUP($A353,'Из Гугла'!$B:$G,6,0))</f>
        <v>7490</v>
      </c>
      <c r="S353" s="14">
        <v>1</v>
      </c>
      <c r="T353" s="83">
        <f>IFERROR(Q353/I353-1,"")</f>
        <v>0.5480624999999999</v>
      </c>
      <c r="U353" s="83">
        <f>IFERROR((W353-Q353)/W353,"")</f>
        <v>7.9172229639519597E-3</v>
      </c>
      <c r="V353" s="83">
        <f>IFERROR(IF(W353="","",W353/I353-1),"")</f>
        <v>0.56041666666666656</v>
      </c>
      <c r="W353" s="95">
        <v>7490</v>
      </c>
      <c r="X353" s="71" t="s">
        <v>937</v>
      </c>
    </row>
    <row r="354" spans="1:24" ht="31.5" thickTop="1" thickBot="1" x14ac:dyDescent="0.3">
      <c r="A354" s="80">
        <v>211438</v>
      </c>
      <c r="B354" s="80">
        <f>VLOOKUP($A354,'Выгр Кат'!$A:$R,B$1,0)</f>
        <v>30526</v>
      </c>
      <c r="C354" s="81" t="str">
        <f>VLOOKUP($A354,'Выгр Кат'!$A:$R,C$1,0)</f>
        <v>Руль "RETRO.SL" чёрная экокожа, с вставками под дерево</v>
      </c>
      <c r="D354" s="80" t="str">
        <f>VLOOKUP($A354,'Выгр Кат'!$A:$R,D$1,0)</f>
        <v>Y</v>
      </c>
      <c r="E354" s="80" t="str">
        <f>VLOOKUP($A354,'Выгр Кат'!$A:$R,E$1,0)</f>
        <v>1</v>
      </c>
      <c r="F354" s="80">
        <f>VLOOKUP($A354,'Выгр Кат'!$A:$R,F$1,0)</f>
        <v>0</v>
      </c>
      <c r="G354" s="80">
        <f>VLOOKUP($A354,'Выгр Кат'!$A:$R,G$1,0)</f>
        <v>0</v>
      </c>
      <c r="H354" s="67" t="s">
        <v>3</v>
      </c>
      <c r="I354" s="82">
        <v>5000</v>
      </c>
      <c r="J354" s="5">
        <f>VLOOKUP(I354,Наценка!$A$1:$G$8,2,1)</f>
        <v>1.31</v>
      </c>
      <c r="K354" s="34">
        <f>I354*J354</f>
        <v>6550</v>
      </c>
      <c r="L354" s="70">
        <f>IF(K354&lt;=1000,(ROUNDUP(K354,-1)-1),(ROUNDUP(K354,-2)-10))</f>
        <v>6590</v>
      </c>
      <c r="M354" s="80">
        <f>VLOOKUP($A354,'Выгр Кат'!$A:$R,M$1,0)</f>
        <v>5000</v>
      </c>
      <c r="N354" s="80">
        <f>VLOOKUP($A354,'Выгр Кат'!$A:$R,N$1,0)</f>
        <v>6590</v>
      </c>
      <c r="O354" s="28">
        <f>M354-I354</f>
        <v>0</v>
      </c>
      <c r="P354" s="28">
        <f>N354-L354</f>
        <v>0</v>
      </c>
      <c r="Q354" s="36">
        <f>IFERROR(L354*(1-$Q$2),"")</f>
        <v>6128.7</v>
      </c>
      <c r="R354" s="38" t="str">
        <f>IFERROR(VLOOKUP($A354,'Из Гугла'!$B:$G,6,0)*S354,VLOOKUP($A354,'Из Гугла'!$B:$G,6,0))</f>
        <v/>
      </c>
      <c r="S354" s="14">
        <v>1</v>
      </c>
      <c r="T354" s="83">
        <f>IFERROR(Q354/I354-1,"")</f>
        <v>0.22574000000000005</v>
      </c>
      <c r="U354" s="83" t="str">
        <f>IFERROR((W354-Q354)/W354,"")</f>
        <v/>
      </c>
      <c r="V354" s="83" t="str">
        <f>IFERROR(IF(W354="","",W354/I354-1),"")</f>
        <v/>
      </c>
      <c r="W354" s="94" t="s">
        <v>1269</v>
      </c>
    </row>
    <row r="355" spans="1:24" ht="76.5" thickTop="1" thickBot="1" x14ac:dyDescent="0.3">
      <c r="A355" s="80">
        <v>223954</v>
      </c>
      <c r="B355" s="80">
        <f>VLOOKUP($A355,'Выгр Кат'!$A:$R,B$1,0)</f>
        <v>18211</v>
      </c>
      <c r="C355" s="81" t="str">
        <f>VLOOKUP($A355,'Выгр Кат'!$A:$R,C$1,0)</f>
        <v>Фары светодиодные "Звёзды" 75W (ДХО, повторитель) для ВАЗ (2101, 2102), Лада (Нива 4х4, Нива 4х4 Урбан), УАЗ (3303, 469, Хантер), Jeep Wrangler</v>
      </c>
      <c r="D355" s="80" t="str">
        <f>VLOOKUP($A355,'Выгр Кат'!$A:$R,D$1,0)</f>
        <v>Y</v>
      </c>
      <c r="E355" s="80" t="str">
        <f>VLOOKUP($A355,'Выгр Кат'!$A:$R,E$1,0)</f>
        <v>1</v>
      </c>
      <c r="F355" s="80" t="str">
        <f>VLOOKUP($A355,'Выгр Кат'!$A:$R,F$1,0)</f>
        <v>NV-300</v>
      </c>
      <c r="G355" s="80" t="str">
        <f>VLOOKUP($A355,'Выгр Кат'!$A:$R,G$1,0)</f>
        <v>https://motorring.ru/product/24715-svetodiodnye-fary-nv-300-povtoritelem-povorota-vaz-2101</v>
      </c>
      <c r="H355" s="67" t="s">
        <v>3</v>
      </c>
      <c r="I355" s="82">
        <v>5000</v>
      </c>
      <c r="J355" s="5">
        <f>VLOOKUP(I355,Наценка!$A$1:$G$8,2,1)</f>
        <v>1.31</v>
      </c>
      <c r="K355" s="56">
        <f>W355*1.06</f>
        <v>8469.4</v>
      </c>
      <c r="L355" s="70">
        <f>IF(K355&lt;=1000,(ROUNDUP(K355,-1)-1),(ROUNDUP(K355,-2)-10))</f>
        <v>8490</v>
      </c>
      <c r="M355" s="80">
        <f>VLOOKUP($A355,'Выгр Кат'!$A:$R,M$1,0)</f>
        <v>5000</v>
      </c>
      <c r="N355" s="80">
        <f>VLOOKUP($A355,'Выгр Кат'!$A:$R,N$1,0)</f>
        <v>8490</v>
      </c>
      <c r="O355" s="28">
        <f>M355-I355</f>
        <v>0</v>
      </c>
      <c r="P355" s="28">
        <f>N355-L355</f>
        <v>0</v>
      </c>
      <c r="Q355" s="36">
        <f>IFERROR(L355*(1-$Q$2),"")</f>
        <v>7895.7</v>
      </c>
      <c r="R355" s="38">
        <f>IFERROR(VLOOKUP($A355,'Из Гугла'!$B:$G,6,0)*S355,VLOOKUP($A355,'Из Гугла'!$B:$G,6,0))</f>
        <v>7990</v>
      </c>
      <c r="S355" s="14">
        <v>1</v>
      </c>
      <c r="T355" s="83">
        <f>IFERROR(Q355/I355-1,"")</f>
        <v>0.57913999999999999</v>
      </c>
      <c r="U355" s="83">
        <f>IFERROR((W355-Q355)/W355,"")</f>
        <v>1.1802252816020048E-2</v>
      </c>
      <c r="V355" s="83">
        <f>IFERROR(IF(W355="","",W355/I355-1),"")</f>
        <v>0.59800000000000009</v>
      </c>
      <c r="W355" s="94">
        <v>7990</v>
      </c>
      <c r="X355" s="71" t="s">
        <v>1361</v>
      </c>
    </row>
    <row r="356" spans="1:24" ht="91.5" thickTop="1" thickBot="1" x14ac:dyDescent="0.3">
      <c r="A356" s="80">
        <v>213708</v>
      </c>
      <c r="B356" s="80">
        <f>VLOOKUP($A356,'Выгр Кат'!$A:$R,B$1,0)</f>
        <v>19191</v>
      </c>
      <c r="C356" s="81" t="str">
        <f>VLOOKUP($A356,'Выгр Кат'!$A:$R,C$1,0)</f>
        <v>Светодиодные фары 90W, хром (ДХО, повторитель, с Bluetooth регулировкой цвета габаритов) для ВАЗ (2101, 2102), Лада (Нива 4х4, Нива 4х4 Урбан), УАЗ (3303, 469, Хантер), Jeep Wrangler</v>
      </c>
      <c r="D356" s="80" t="str">
        <f>VLOOKUP($A356,'Выгр Кат'!$A:$R,D$1,0)</f>
        <v>Y</v>
      </c>
      <c r="E356" s="80" t="str">
        <f>VLOOKUP($A356,'Выгр Кат'!$A:$R,E$1,0)</f>
        <v>1</v>
      </c>
      <c r="F356" s="80" t="str">
        <f>VLOOKUP($A356,'Выгр Кат'!$A:$R,F$1,0)</f>
        <v>DDL 007</v>
      </c>
      <c r="G356" s="80" t="str">
        <f>VLOOKUP($A356,'Выгр Кат'!$A:$R,G$1,0)</f>
        <v>https://motorring.ru/product/31560-svetodiodnye-fary-90w-bluetooth-regulirovkoy-cveta</v>
      </c>
      <c r="H356" s="67" t="s">
        <v>3</v>
      </c>
      <c r="I356" s="82">
        <v>5000</v>
      </c>
      <c r="J356" s="5">
        <f>VLOOKUP(I356,Наценка!$A$1:$G$8,2,1)</f>
        <v>1.31</v>
      </c>
      <c r="K356" s="56">
        <f>W356*1.06</f>
        <v>8469.4</v>
      </c>
      <c r="L356" s="70">
        <f>IF(K356&lt;=1000,(ROUNDUP(K356,-1)-1),(ROUNDUP(K356,-2)-10))</f>
        <v>8490</v>
      </c>
      <c r="M356" s="80">
        <f>VLOOKUP($A356,'Выгр Кат'!$A:$R,M$1,0)</f>
        <v>5000</v>
      </c>
      <c r="N356" s="80">
        <f>VLOOKUP($A356,'Выгр Кат'!$A:$R,N$1,0)</f>
        <v>8490</v>
      </c>
      <c r="O356" s="28">
        <f>M356-I356</f>
        <v>0</v>
      </c>
      <c r="P356" s="28">
        <f>N356-L356</f>
        <v>0</v>
      </c>
      <c r="Q356" s="36">
        <f>IFERROR(L356*(1-$Q$2),"")</f>
        <v>7895.7</v>
      </c>
      <c r="R356" s="38">
        <f>IFERROR(VLOOKUP($A356,'Из Гугла'!$B:$G,6,0)*S356,VLOOKUP($A356,'Из Гугла'!$B:$G,6,0))</f>
        <v>7990</v>
      </c>
      <c r="S356" s="14">
        <v>1</v>
      </c>
      <c r="T356" s="83">
        <f>IFERROR(Q356/I356-1,"")</f>
        <v>0.57913999999999999</v>
      </c>
      <c r="U356" s="83">
        <f>IFERROR((W356-Q356)/W356,"")</f>
        <v>1.1802252816020048E-2</v>
      </c>
      <c r="V356" s="83">
        <f>IFERROR(IF(W356="","",W356/I356-1),"")</f>
        <v>0.59800000000000009</v>
      </c>
      <c r="W356" s="95">
        <v>7990</v>
      </c>
      <c r="X356" s="71" t="s">
        <v>771</v>
      </c>
    </row>
    <row r="357" spans="1:24" ht="31.5" thickTop="1" thickBot="1" x14ac:dyDescent="0.3">
      <c r="A357" s="80">
        <v>133307</v>
      </c>
      <c r="B357" s="80">
        <f>VLOOKUP($A357,'Выгр Кат'!$A:$R,B$1,0)</f>
        <v>8103</v>
      </c>
      <c r="C357" s="81" t="str">
        <f>VLOOKUP($A357,'Выгр Кат'!$A:$R,C$1,0)</f>
        <v>Балка освещения 10W*18LED, L-76 см (180W комбинированная)</v>
      </c>
      <c r="D357" s="80" t="str">
        <f>VLOOKUP($A357,'Выгр Кат'!$A:$R,D$1,0)</f>
        <v>Y</v>
      </c>
      <c r="E357" s="80" t="str">
        <f>VLOOKUP($A357,'Выгр Кат'!$A:$R,E$1,0)</f>
        <v>1</v>
      </c>
      <c r="F357" s="80" t="str">
        <f>VLOOKUP($A357,'Выгр Кат'!$A:$R,F$1,0)</f>
        <v>180W комбинированная</v>
      </c>
      <c r="G357" s="80" t="str">
        <f>VLOOKUP($A357,'Выгр Кат'!$A:$R,G$1,0)</f>
        <v>https://motorring.ru/product/11757-diodnaya-balka-180w-kombinirovannaya-10vt</v>
      </c>
      <c r="H357" s="67" t="s">
        <v>3</v>
      </c>
      <c r="I357" s="82">
        <v>5200</v>
      </c>
      <c r="J357" s="5">
        <f>VLOOKUP(I357,Наценка!$A$1:$G$8,2,1)</f>
        <v>1.31</v>
      </c>
      <c r="K357" s="56">
        <f>W357*1.06</f>
        <v>8681.4</v>
      </c>
      <c r="L357" s="70">
        <f>IF(K357&lt;=1000,(ROUNDUP(K357,-1)-1),(ROUNDUP(K357,-2)-10))</f>
        <v>8690</v>
      </c>
      <c r="M357" s="80">
        <f>VLOOKUP($A357,'Выгр Кат'!$A:$R,M$1,0)</f>
        <v>5200</v>
      </c>
      <c r="N357" s="80">
        <f>VLOOKUP($A357,'Выгр Кат'!$A:$R,N$1,0)</f>
        <v>8690</v>
      </c>
      <c r="O357" s="28">
        <f>M357-I357</f>
        <v>0</v>
      </c>
      <c r="P357" s="28">
        <f>N357-L357</f>
        <v>0</v>
      </c>
      <c r="Q357" s="36">
        <f>IFERROR(L357*(1-$Q$2),"")</f>
        <v>8081.7</v>
      </c>
      <c r="R357" s="38">
        <f>IFERROR(VLOOKUP($A357,'Из Гугла'!$B:$G,6,0)*S357,VLOOKUP($A357,'Из Гугла'!$B:$G,6,0))</f>
        <v>8190</v>
      </c>
      <c r="S357" s="14">
        <v>1</v>
      </c>
      <c r="T357" s="83">
        <f>IFERROR(Q357/I357-1,"")</f>
        <v>0.55417307692307682</v>
      </c>
      <c r="U357" s="83">
        <f>IFERROR((W357-Q357)/W357,"")</f>
        <v>1.3223443223443246E-2</v>
      </c>
      <c r="V357" s="83">
        <f>IFERROR(IF(W357="","",W357/I357-1),"")</f>
        <v>0.57499999999999996</v>
      </c>
      <c r="W357" s="94">
        <v>8190</v>
      </c>
      <c r="X357" s="71" t="s">
        <v>1463</v>
      </c>
    </row>
    <row r="358" spans="1:24" ht="46.5" thickTop="1" thickBot="1" x14ac:dyDescent="0.3">
      <c r="A358" s="80">
        <v>145484</v>
      </c>
      <c r="B358" s="80">
        <f>VLOOKUP($A358,'Выгр Кат'!$A:$R,B$1,0)</f>
        <v>38449</v>
      </c>
      <c r="C358" s="81" t="str">
        <f>VLOOKUP($A358,'Выгр Кат'!$A:$R,C$1,0)</f>
        <v>Задние светодиодные фонари в стиле Mercedes (красные) для Лада Гранта, Гранта FL седан</v>
      </c>
      <c r="D358" s="80" t="str">
        <f>VLOOKUP($A358,'Выгр Кат'!$A:$R,D$1,0)</f>
        <v>Y</v>
      </c>
      <c r="E358" s="80" t="str">
        <f>VLOOKUP($A358,'Выгр Кат'!$A:$R,E$1,0)</f>
        <v>1</v>
      </c>
      <c r="F358" s="80">
        <f>VLOOKUP($A358,'Выгр Кат'!$A:$R,F$1,0)</f>
        <v>0</v>
      </c>
      <c r="G358" s="80" t="str">
        <f>VLOOKUP($A358,'Выгр Кат'!$A:$R,G$1,0)</f>
        <v>https://motorring.ru/product/37146-zadnie-diodnye-krasnye-fonari-stile-mersedes-lada-granta</v>
      </c>
      <c r="H358" s="67" t="s">
        <v>3</v>
      </c>
      <c r="I358" s="82">
        <v>5500</v>
      </c>
      <c r="J358" s="5">
        <f>VLOOKUP(I358,Наценка!$A$1:$G$8,2,1)</f>
        <v>1.31</v>
      </c>
      <c r="K358" s="57">
        <f>W358*1.07</f>
        <v>7693.3</v>
      </c>
      <c r="L358" s="70">
        <f>IF(K358&lt;=1000,(ROUNDUP(K358,-1)-1),(ROUNDUP(K358,-2)-10))</f>
        <v>7690</v>
      </c>
      <c r="M358" s="80">
        <f>VLOOKUP($A358,'Выгр Кат'!$A:$R,M$1,0)</f>
        <v>5500</v>
      </c>
      <c r="N358" s="80">
        <f>VLOOKUP($A358,'Выгр Кат'!$A:$R,N$1,0)</f>
        <v>7690</v>
      </c>
      <c r="O358" s="28">
        <f>M358-I358</f>
        <v>0</v>
      </c>
      <c r="P358" s="28">
        <f>N358-L358</f>
        <v>0</v>
      </c>
      <c r="Q358" s="36">
        <f>IFERROR(L358*(1-$Q$2),"")</f>
        <v>7151.7</v>
      </c>
      <c r="R358" s="38">
        <f>IFERROR(VLOOKUP($A358,'Из Гугла'!$B:$G,6,0)*S358,VLOOKUP($A358,'Из Гугла'!$B:$G,6,0))</f>
        <v>7190</v>
      </c>
      <c r="S358" s="14">
        <v>1</v>
      </c>
      <c r="T358" s="83">
        <f>IFERROR(Q358/I358-1,"")</f>
        <v>0.30030909090909086</v>
      </c>
      <c r="U358" s="83">
        <f>IFERROR((W358-Q358)/W358,"")</f>
        <v>5.3268428372740166E-3</v>
      </c>
      <c r="V358" s="83">
        <f>IFERROR(IF(W358="","",W358/I358-1),"")</f>
        <v>0.30727272727272736</v>
      </c>
      <c r="W358" s="95">
        <v>7190</v>
      </c>
      <c r="X358" s="71" t="s">
        <v>891</v>
      </c>
    </row>
    <row r="359" spans="1:24" ht="46.5" thickTop="1" thickBot="1" x14ac:dyDescent="0.3">
      <c r="A359" s="80">
        <v>145485</v>
      </c>
      <c r="B359" s="80">
        <f>VLOOKUP($A359,'Выгр Кат'!$A:$R,B$1,0)</f>
        <v>115797</v>
      </c>
      <c r="C359" s="81" t="str">
        <f>VLOOKUP($A359,'Выгр Кат'!$A:$R,C$1,0)</f>
        <v>Задние светодиодные фонари в стиле Mercedes (серые) для Лада Гранта, Гранта FL седан</v>
      </c>
      <c r="D359" s="80" t="str">
        <f>VLOOKUP($A359,'Выгр Кат'!$A:$R,D$1,0)</f>
        <v>Y</v>
      </c>
      <c r="E359" s="80" t="str">
        <f>VLOOKUP($A359,'Выгр Кат'!$A:$R,E$1,0)</f>
        <v>1</v>
      </c>
      <c r="F359" s="80" t="str">
        <f>VLOOKUP($A359,'Выгр Кат'!$A:$R,F$1,0)</f>
        <v>ZFT317GREY</v>
      </c>
      <c r="G359" s="80" t="str">
        <f>VLOOKUP($A359,'Выгр Кат'!$A:$R,G$1,0)</f>
        <v>https://motorring.ru/product/37147-zadnie-diodnye-tonirovanniye-fonari-stile-mersedes-granta</v>
      </c>
      <c r="H359" s="67" t="s">
        <v>3</v>
      </c>
      <c r="I359" s="82">
        <v>5500</v>
      </c>
      <c r="J359" s="5">
        <f>VLOOKUP(I359,Наценка!$A$1:$G$8,2,1)</f>
        <v>1.31</v>
      </c>
      <c r="K359" s="57">
        <f>W359*1.07</f>
        <v>7693.3</v>
      </c>
      <c r="L359" s="70">
        <f>IF(K359&lt;=1000,(ROUNDUP(K359,-1)-1),(ROUNDUP(K359,-2)-10))</f>
        <v>7690</v>
      </c>
      <c r="M359" s="80">
        <f>VLOOKUP($A359,'Выгр Кат'!$A:$R,M$1,0)</f>
        <v>5500</v>
      </c>
      <c r="N359" s="80">
        <f>VLOOKUP($A359,'Выгр Кат'!$A:$R,N$1,0)</f>
        <v>7690</v>
      </c>
      <c r="O359" s="28">
        <f>M359-I359</f>
        <v>0</v>
      </c>
      <c r="P359" s="28">
        <f>N359-L359</f>
        <v>0</v>
      </c>
      <c r="Q359" s="36">
        <f>IFERROR(L359*(1-$Q$2),"")</f>
        <v>7151.7</v>
      </c>
      <c r="R359" s="38">
        <f>IFERROR(VLOOKUP($A359,'Из Гугла'!$B:$G,6,0)*S359,VLOOKUP($A359,'Из Гугла'!$B:$G,6,0))</f>
        <v>7190</v>
      </c>
      <c r="S359" s="14">
        <v>1</v>
      </c>
      <c r="T359" s="83">
        <f>IFERROR(Q359/I359-1,"")</f>
        <v>0.30030909090909086</v>
      </c>
      <c r="U359" s="83">
        <f>IFERROR((W359-Q359)/W359,"")</f>
        <v>5.3268428372740166E-3</v>
      </c>
      <c r="V359" s="83">
        <f>IFERROR(IF(W359="","",W359/I359-1),"")</f>
        <v>0.30727272727272736</v>
      </c>
      <c r="W359" s="94">
        <v>7190</v>
      </c>
      <c r="X359" s="71" t="s">
        <v>1427</v>
      </c>
    </row>
    <row r="360" spans="1:24" ht="31.5" thickTop="1" thickBot="1" x14ac:dyDescent="0.3">
      <c r="A360" s="80">
        <v>222871</v>
      </c>
      <c r="B360" s="80">
        <f>VLOOKUP($A360,'Выгр Кат'!$A:$R,B$1,0)</f>
        <v>4651</v>
      </c>
      <c r="C360" s="81" t="str">
        <f>VLOOKUP($A360,'Выгр Кат'!$A:$R,C$1,0)</f>
        <v>Тюнинг фары с ДХО (чёрные) для Лада Гранта</v>
      </c>
      <c r="D360" s="80" t="str">
        <f>VLOOKUP($A360,'Выгр Кат'!$A:$R,D$1,0)</f>
        <v>Y</v>
      </c>
      <c r="E360" s="80" t="str">
        <f>VLOOKUP($A360,'Выгр Кат'!$A:$R,E$1,0)</f>
        <v>1</v>
      </c>
      <c r="F360" s="80">
        <f>VLOOKUP($A360,'Выгр Кат'!$A:$R,F$1,0)</f>
        <v>0</v>
      </c>
      <c r="G360" s="80" t="str">
        <f>VLOOKUP($A360,'Выгр Кат'!$A:$R,G$1,0)</f>
        <v>https://motorring.ru/product/16189-tyuning-fary-chernom-korpuse-diodnymi-dho-lada-granta</v>
      </c>
      <c r="H360" s="67" t="s">
        <v>3</v>
      </c>
      <c r="I360" s="82">
        <v>5500</v>
      </c>
      <c r="J360" s="5">
        <f>VLOOKUP(I360,Наценка!$A$1:$G$8,2,1)</f>
        <v>1.31</v>
      </c>
      <c r="K360" s="56">
        <f>W360*1.06</f>
        <v>8681.4</v>
      </c>
      <c r="L360" s="70">
        <f>IF(K360&lt;=1000,(ROUNDUP(K360,-1)-1),(ROUNDUP(K360,-2)-10))</f>
        <v>8690</v>
      </c>
      <c r="M360" s="80">
        <f>VLOOKUP($A360,'Выгр Кат'!$A:$R,M$1,0)</f>
        <v>5500</v>
      </c>
      <c r="N360" s="80">
        <f>VLOOKUP($A360,'Выгр Кат'!$A:$R,N$1,0)</f>
        <v>8690</v>
      </c>
      <c r="O360" s="28">
        <f>M360-I360</f>
        <v>0</v>
      </c>
      <c r="P360" s="28">
        <f>N360-L360</f>
        <v>0</v>
      </c>
      <c r="Q360" s="36">
        <f>IFERROR(L360*(1-$Q$2),"")</f>
        <v>8081.7</v>
      </c>
      <c r="R360" s="38">
        <f>IFERROR(VLOOKUP($A360,'Из Гугла'!$B:$G,6,0)*S360,VLOOKUP($A360,'Из Гугла'!$B:$G,6,0))</f>
        <v>8190</v>
      </c>
      <c r="S360" s="14">
        <v>1</v>
      </c>
      <c r="T360" s="83">
        <f>IFERROR(Q360/I360-1,"")</f>
        <v>0.46940000000000004</v>
      </c>
      <c r="U360" s="83">
        <f>IFERROR((W360-Q360)/W360,"")</f>
        <v>1.3223443223443246E-2</v>
      </c>
      <c r="V360" s="83">
        <f>IFERROR(IF(W360="","",W360/I360-1),"")</f>
        <v>0.48909090909090902</v>
      </c>
      <c r="W360" s="95">
        <v>8190</v>
      </c>
      <c r="X360" s="71" t="s">
        <v>1237</v>
      </c>
    </row>
    <row r="361" spans="1:24" ht="76.5" thickTop="1" thickBot="1" x14ac:dyDescent="0.3">
      <c r="A361" s="80">
        <v>345623</v>
      </c>
      <c r="B361" s="80">
        <f>VLOOKUP($A361,'Выгр Кат'!$A:$R,B$1,0)</f>
        <v>345623</v>
      </c>
      <c r="C361" s="81" t="str">
        <f>VLOOKUP($A361,'Выгр Кат'!$A:$R,C$1,0)</f>
        <v>Светодиодные фары "TheBestPartner" (ДХО, повторитель) для ВАЗ (2101, 2102), Лада (Нива 4х4, Нива 4х4 Урбан), УАЗ (3303, 469, Хантер), Jeep Wrangler</v>
      </c>
      <c r="D361" s="80" t="str">
        <f>VLOOKUP($A361,'Выгр Кат'!$A:$R,D$1,0)</f>
        <v>Y</v>
      </c>
      <c r="E361" s="80" t="str">
        <f>VLOOKUP($A361,'Выгр Кат'!$A:$R,E$1,0)</f>
        <v>1</v>
      </c>
      <c r="F361" s="80" t="str">
        <f>VLOOKUP($A361,'Выгр Кат'!$A:$R,F$1,0)</f>
        <v>HP-HLD-095-01</v>
      </c>
      <c r="G361" s="80" t="str">
        <f>VLOOKUP($A361,'Выгр Кат'!$A:$R,G$1,0)</f>
        <v>https://motorring.ru/product/42799-svetodiodnye-fary-thebestpartner-yarusniye-dho-7duimov</v>
      </c>
      <c r="H361" s="67" t="s">
        <v>3</v>
      </c>
      <c r="I361" s="82">
        <v>6000</v>
      </c>
      <c r="J361" s="5">
        <f>VLOOKUP(I361,Наценка!$A$1:$G$8,2,1)</f>
        <v>1.31</v>
      </c>
      <c r="K361" s="56">
        <f>W361*1.06</f>
        <v>8999.4</v>
      </c>
      <c r="L361" s="70">
        <f>IF(K361&lt;=1000,(ROUNDUP(K361,-1)-1),(ROUNDUP(K361,-2)-10))</f>
        <v>8990</v>
      </c>
      <c r="M361" s="80">
        <f>VLOOKUP($A361,'Выгр Кат'!$A:$R,M$1,0)</f>
        <v>6000</v>
      </c>
      <c r="N361" s="80">
        <f>VLOOKUP($A361,'Выгр Кат'!$A:$R,N$1,0)</f>
        <v>8990</v>
      </c>
      <c r="O361" s="28">
        <f>M361-I361</f>
        <v>0</v>
      </c>
      <c r="P361" s="28">
        <f>N361-L361</f>
        <v>0</v>
      </c>
      <c r="Q361" s="36">
        <f>IFERROR(L361*(1-$Q$2),"")</f>
        <v>8360.6999999999989</v>
      </c>
      <c r="R361" s="38">
        <f>IFERROR(VLOOKUP($A361,'Из Гугла'!$B:$G,6,0)*S361,VLOOKUP($A361,'Из Гугла'!$B:$G,6,0))</f>
        <v>8490</v>
      </c>
      <c r="S361" s="14">
        <v>1</v>
      </c>
      <c r="T361" s="83">
        <f>IFERROR(Q361/I361-1,"")</f>
        <v>0.39344999999999986</v>
      </c>
      <c r="U361" s="83">
        <f>IFERROR((W361-Q361)/W361,"")</f>
        <v>1.5229681978798716E-2</v>
      </c>
      <c r="V361" s="83">
        <f>IFERROR(IF(W361="","",W361/I361-1),"")</f>
        <v>0.41500000000000004</v>
      </c>
      <c r="W361" s="94">
        <v>8490</v>
      </c>
      <c r="X361" s="71" t="s">
        <v>1380</v>
      </c>
    </row>
    <row r="362" spans="1:24" ht="46.5" thickTop="1" thickBot="1" x14ac:dyDescent="0.3">
      <c r="A362" s="80">
        <v>133281</v>
      </c>
      <c r="B362" s="80">
        <f>VLOOKUP($A362,'Выгр Кат'!$A:$R,B$1,0)</f>
        <v>24045</v>
      </c>
      <c r="C362" s="81" t="str">
        <f>VLOOKUP($A362,'Выгр Кат'!$A:$R,C$1,0)</f>
        <v>Балка дополнительного освещения "The Best Partner" HP-CTD-BPTJ-004 (240 Вт, 885 мм)</v>
      </c>
      <c r="D362" s="80" t="str">
        <f>VLOOKUP($A362,'Выгр Кат'!$A:$R,D$1,0)</f>
        <v>Y</v>
      </c>
      <c r="E362" s="80" t="str">
        <f>VLOOKUP($A362,'Выгр Кат'!$A:$R,E$1,0)</f>
        <v>1</v>
      </c>
      <c r="F362" s="80" t="str">
        <f>VLOOKUP($A362,'Выгр Кат'!$A:$R,F$1,0)</f>
        <v>HP-CTD-BPTJ-004</v>
      </c>
      <c r="G362" s="80">
        <f>VLOOKUP($A362,'Выгр Кат'!$A:$R,G$1,0)</f>
        <v>0</v>
      </c>
      <c r="H362" s="67" t="s">
        <v>3</v>
      </c>
      <c r="I362" s="82">
        <v>6100</v>
      </c>
      <c r="J362" s="5">
        <f>VLOOKUP(I362,Наценка!$A$1:$G$8,2,1)</f>
        <v>1.31</v>
      </c>
      <c r="K362" s="88">
        <f>I362*J362</f>
        <v>7991</v>
      </c>
      <c r="L362" s="70">
        <f>IF(K362&lt;=1000,(ROUNDUP(K362,-1)-1),(ROUNDUP(K362,-2)-10))</f>
        <v>7990</v>
      </c>
      <c r="M362" s="80">
        <f>VLOOKUP($A362,'Выгр Кат'!$A:$R,M$1,0)</f>
        <v>6100</v>
      </c>
      <c r="N362" s="80">
        <f>VLOOKUP($A362,'Выгр Кат'!$A:$R,N$1,0)</f>
        <v>7990</v>
      </c>
      <c r="O362" s="28">
        <f>M362-I362</f>
        <v>0</v>
      </c>
      <c r="P362" s="28">
        <f>N362-L362</f>
        <v>0</v>
      </c>
      <c r="Q362" s="36">
        <f>IFERROR(L362*(1-$Q$2),"")</f>
        <v>7430.7</v>
      </c>
      <c r="R362" s="38" t="str">
        <f>IFERROR(VLOOKUP($A362,'Из Гугла'!$B:$G,6,0)*S362,VLOOKUP($A362,'Из Гугла'!$B:$G,6,0))</f>
        <v/>
      </c>
      <c r="S362" s="14">
        <v>1</v>
      </c>
      <c r="T362" s="83">
        <f>IFERROR(Q362/I362-1,"")</f>
        <v>0.21814754098360645</v>
      </c>
      <c r="U362" s="83" t="str">
        <f>IFERROR((W362-Q362)/W362,"")</f>
        <v/>
      </c>
      <c r="V362" s="83" t="str">
        <f>IFERROR(IF(W362="","",W362/I362-1),"")</f>
        <v/>
      </c>
      <c r="W362" s="94" t="s">
        <v>1269</v>
      </c>
    </row>
    <row r="363" spans="1:24" ht="31.5" thickTop="1" thickBot="1" x14ac:dyDescent="0.3">
      <c r="A363" s="80">
        <v>133336</v>
      </c>
      <c r="B363" s="80">
        <f>VLOOKUP($A363,'Выгр Кат'!$A:$R,B$1,0)</f>
        <v>8068</v>
      </c>
      <c r="C363" s="81" t="str">
        <f>VLOOKUP($A363,'Выгр Кат'!$A:$R,C$1,0)</f>
        <v>Балка с диодами PL-3104-FS (40*3 Вт)</v>
      </c>
      <c r="D363" s="80" t="str">
        <f>VLOOKUP($A363,'Выгр Кат'!$A:$R,D$1,0)</f>
        <v>Y</v>
      </c>
      <c r="E363" s="80" t="str">
        <f>VLOOKUP($A363,'Выгр Кат'!$A:$R,E$1,0)</f>
        <v>1</v>
      </c>
      <c r="F363" s="80" t="str">
        <f>VLOOKUP($A363,'Выгр Кат'!$A:$R,F$1,0)</f>
        <v>PL-3104-FS</v>
      </c>
      <c r="G363" s="80" t="str">
        <f>VLOOKUP($A363,'Выгр Кат'!$A:$R,G$1,0)</f>
        <v>https://motorring.ru/product/8281-diodnaya-balka-pl-3104-120w-3vt</v>
      </c>
      <c r="H363" s="67" t="s">
        <v>3</v>
      </c>
      <c r="I363" s="82">
        <v>6400</v>
      </c>
      <c r="J363" s="5">
        <f>VLOOKUP(I363,Наценка!$A$1:$G$8,2,1)</f>
        <v>1.31</v>
      </c>
      <c r="K363" s="56">
        <f>W363*1.06</f>
        <v>8999.4</v>
      </c>
      <c r="L363" s="70">
        <f>IF(K363&lt;=1000,(ROUNDUP(K363,-1)-1),(ROUNDUP(K363,-2)-10))</f>
        <v>8990</v>
      </c>
      <c r="M363" s="80">
        <f>VLOOKUP($A363,'Выгр Кат'!$A:$R,M$1,0)</f>
        <v>6400</v>
      </c>
      <c r="N363" s="80">
        <f>VLOOKUP($A363,'Выгр Кат'!$A:$R,N$1,0)</f>
        <v>8990</v>
      </c>
      <c r="O363" s="28">
        <f>M363-I363</f>
        <v>0</v>
      </c>
      <c r="P363" s="28">
        <f>N363-L363</f>
        <v>0</v>
      </c>
      <c r="Q363" s="36">
        <f>IFERROR(L363*(1-$Q$2),"")</f>
        <v>8360.6999999999989</v>
      </c>
      <c r="R363" s="38">
        <f>IFERROR(VLOOKUP($A363,'Из Гугла'!$B:$G,6,0)*S363,VLOOKUP($A363,'Из Гугла'!$B:$G,6,0))</f>
        <v>8490</v>
      </c>
      <c r="S363" s="14">
        <v>1</v>
      </c>
      <c r="T363" s="83">
        <f>IFERROR(Q363/I363-1,"")</f>
        <v>0.30635937499999977</v>
      </c>
      <c r="U363" s="83">
        <f>IFERROR((W363-Q363)/W363,"")</f>
        <v>1.5229681978798716E-2</v>
      </c>
      <c r="V363" s="83">
        <f>IFERROR(IF(W363="","",W363/I363-1),"")</f>
        <v>0.32656250000000009</v>
      </c>
      <c r="W363" s="95">
        <v>8490</v>
      </c>
      <c r="X363" s="71" t="s">
        <v>940</v>
      </c>
    </row>
    <row r="364" spans="1:24" ht="31.5" thickTop="1" thickBot="1" x14ac:dyDescent="0.3">
      <c r="A364" s="80">
        <v>133340</v>
      </c>
      <c r="B364" s="80">
        <f>VLOOKUP($A364,'Выгр Кат'!$A:$R,B$1,0)</f>
        <v>8075</v>
      </c>
      <c r="C364" s="81" t="str">
        <f>VLOOKUP($A364,'Выгр Кат'!$A:$R,C$1,0)</f>
        <v>Балка с диодами PL-3205-FS (40*3 Вт)</v>
      </c>
      <c r="D364" s="80" t="str">
        <f>VLOOKUP($A364,'Выгр Кат'!$A:$R,D$1,0)</f>
        <v>Y</v>
      </c>
      <c r="E364" s="80" t="str">
        <f>VLOOKUP($A364,'Выгр Кат'!$A:$R,E$1,0)</f>
        <v>1</v>
      </c>
      <c r="F364" s="80" t="str">
        <f>VLOOKUP($A364,'Выгр Кат'!$A:$R,F$1,0)</f>
        <v>PL-3205-FS</v>
      </c>
      <c r="G364" s="80" t="str">
        <f>VLOOKUP($A364,'Выгр Кат'!$A:$R,G$1,0)</f>
        <v>https://motorring.ru/product/8288-diodnaya-balka-pl-3205-120w-3vt</v>
      </c>
      <c r="H364" s="67" t="s">
        <v>3</v>
      </c>
      <c r="I364" s="82">
        <v>6400</v>
      </c>
      <c r="J364" s="5">
        <f>VLOOKUP(I364,Наценка!$A$1:$G$8,2,1)</f>
        <v>1.31</v>
      </c>
      <c r="K364" s="87">
        <f>W364*1.06</f>
        <v>8999.4</v>
      </c>
      <c r="L364" s="70">
        <f>IF(K364&lt;=1000,(ROUNDUP(K364,-1)-1),(ROUNDUP(K364,-2)-10))</f>
        <v>8990</v>
      </c>
      <c r="M364" s="80">
        <f>VLOOKUP($A364,'Выгр Кат'!$A:$R,M$1,0)</f>
        <v>6400</v>
      </c>
      <c r="N364" s="80">
        <f>VLOOKUP($A364,'Выгр Кат'!$A:$R,N$1,0)</f>
        <v>8990</v>
      </c>
      <c r="O364" s="28">
        <f>M364-I364</f>
        <v>0</v>
      </c>
      <c r="P364" s="28">
        <f>N364-L364</f>
        <v>0</v>
      </c>
      <c r="Q364" s="36">
        <f>IFERROR(L364*(1-$Q$2),"")</f>
        <v>8360.6999999999989</v>
      </c>
      <c r="R364" s="38">
        <f>IFERROR(VLOOKUP($A364,'Из Гугла'!$B:$G,6,0)*S364,VLOOKUP($A364,'Из Гугла'!$B:$G,6,0))</f>
        <v>8490</v>
      </c>
      <c r="S364" s="14">
        <v>1</v>
      </c>
      <c r="T364" s="83">
        <f>IFERROR(Q364/I364-1,"")</f>
        <v>0.30635937499999977</v>
      </c>
      <c r="U364" s="83">
        <f>IFERROR((W364-Q364)/W364,"")</f>
        <v>1.5229681978798716E-2</v>
      </c>
      <c r="V364" s="83">
        <f>IFERROR(IF(W364="","",W364/I364-1),"")</f>
        <v>0.32656250000000009</v>
      </c>
      <c r="W364" s="95">
        <v>8490</v>
      </c>
      <c r="X364" s="71" t="s">
        <v>941</v>
      </c>
    </row>
    <row r="365" spans="1:24" ht="46.5" thickTop="1" thickBot="1" x14ac:dyDescent="0.3">
      <c r="A365" s="80">
        <v>258087</v>
      </c>
      <c r="B365" s="80">
        <f>VLOOKUP($A365,'Выгр Кат'!$A:$R,B$1,0)</f>
        <v>203394</v>
      </c>
      <c r="C365" s="81" t="str">
        <f>VLOOKUP($A365,'Выгр Кат'!$A:$R,C$1,0)</f>
        <v>Задние фонари в стиле Audi RS красные, динамический поворотник для ВАЗ 2110</v>
      </c>
      <c r="D365" s="80" t="str">
        <f>VLOOKUP($A365,'Выгр Кат'!$A:$R,D$1,0)</f>
        <v>Y</v>
      </c>
      <c r="E365" s="80" t="str">
        <f>VLOOKUP($A365,'Выгр Кат'!$A:$R,E$1,0)</f>
        <v>1</v>
      </c>
      <c r="F365" s="80" t="str">
        <f>VLOOKUP($A365,'Выгр Кат'!$A:$R,F$1,0)</f>
        <v>ZFT507RED</v>
      </c>
      <c r="G365" s="80" t="str">
        <f>VLOOKUP($A365,'Выгр Кат'!$A:$R,G$1,0)</f>
        <v>https://motorring.ru/product/40519-zadnie-krasniye-led-fonari-stile-audi-dlya-vaz-2110</v>
      </c>
      <c r="H365" s="67" t="s">
        <v>3</v>
      </c>
      <c r="I365" s="82">
        <v>6500</v>
      </c>
      <c r="J365" s="5">
        <f>VLOOKUP(I365,Наценка!$A$1:$G$8,2,1)</f>
        <v>1.31</v>
      </c>
      <c r="K365" s="56">
        <f>W365*1.06</f>
        <v>9529.4</v>
      </c>
      <c r="L365" s="70">
        <f>IF(K365&lt;=1000,(ROUNDUP(K365,-1)-1),(ROUNDUP(K365,-2)-10))</f>
        <v>9590</v>
      </c>
      <c r="M365" s="80">
        <f>VLOOKUP($A365,'Выгр Кат'!$A:$R,M$1,0)</f>
        <v>6500</v>
      </c>
      <c r="N365" s="80">
        <f>VLOOKUP($A365,'Выгр Кат'!$A:$R,N$1,0)</f>
        <v>9590</v>
      </c>
      <c r="O365" s="28">
        <f>M365-I365</f>
        <v>0</v>
      </c>
      <c r="P365" s="28">
        <f>N365-L365</f>
        <v>0</v>
      </c>
      <c r="Q365" s="36">
        <f>IFERROR(L365*(1-$Q$2),"")</f>
        <v>8918.6999999999989</v>
      </c>
      <c r="R365" s="38">
        <f>IFERROR(VLOOKUP($A365,'Из Гугла'!$B:$G,6,0)*S365,VLOOKUP($A365,'Из Гугла'!$B:$G,6,0))</f>
        <v>8990</v>
      </c>
      <c r="S365" s="14">
        <v>1</v>
      </c>
      <c r="T365" s="83">
        <f>IFERROR(Q365/I365-1,"")</f>
        <v>0.37210769230769225</v>
      </c>
      <c r="U365" s="83">
        <f>IFERROR((W365-Q365)/W365,"")</f>
        <v>7.9310344827587427E-3</v>
      </c>
      <c r="V365" s="83">
        <f>IFERROR(IF(W365="","",W365/I365-1),"")</f>
        <v>0.38307692307692309</v>
      </c>
      <c r="W365" s="94">
        <v>8990</v>
      </c>
      <c r="X365" s="71" t="s">
        <v>1166</v>
      </c>
    </row>
    <row r="366" spans="1:24" ht="46.5" thickTop="1" thickBot="1" x14ac:dyDescent="0.3">
      <c r="A366" s="80">
        <v>258088</v>
      </c>
      <c r="B366" s="80">
        <f>VLOOKUP($A366,'Выгр Кат'!$A:$R,B$1,0)</f>
        <v>203396</v>
      </c>
      <c r="C366" s="81" t="str">
        <f>VLOOKUP($A366,'Выгр Кат'!$A:$R,C$1,0)</f>
        <v>Задние фонари в стиле Audi RS тонированные, динамический поворотник для ВАЗ 2110</v>
      </c>
      <c r="D366" s="80" t="str">
        <f>VLOOKUP($A366,'Выгр Кат'!$A:$R,D$1,0)</f>
        <v>Y</v>
      </c>
      <c r="E366" s="80" t="str">
        <f>VLOOKUP($A366,'Выгр Кат'!$A:$R,E$1,0)</f>
        <v>1</v>
      </c>
      <c r="F366" s="80" t="str">
        <f>VLOOKUP($A366,'Выгр Кат'!$A:$R,F$1,0)</f>
        <v>ZFT507GREY</v>
      </c>
      <c r="G366" s="80" t="str">
        <f>VLOOKUP($A366,'Выгр Кат'!$A:$R,G$1,0)</f>
        <v>https://motorring.ru/product/40325-zadnie-tonirovannye-led-fonari-stile-audi-dlya-vaz-2110</v>
      </c>
      <c r="H366" s="67" t="s">
        <v>3</v>
      </c>
      <c r="I366" s="82">
        <v>6500</v>
      </c>
      <c r="J366" s="5">
        <f>VLOOKUP(I366,Наценка!$A$1:$G$8,2,1)</f>
        <v>1.31</v>
      </c>
      <c r="K366" s="56">
        <f>W366*1.06</f>
        <v>9529.4</v>
      </c>
      <c r="L366" s="70">
        <f>IF(K366&lt;=1000,(ROUNDUP(K366,-1)-1),(ROUNDUP(K366,-2)-10))</f>
        <v>9590</v>
      </c>
      <c r="M366" s="80">
        <f>VLOOKUP($A366,'Выгр Кат'!$A:$R,M$1,0)</f>
        <v>6500</v>
      </c>
      <c r="N366" s="80">
        <f>VLOOKUP($A366,'Выгр Кат'!$A:$R,N$1,0)</f>
        <v>9590</v>
      </c>
      <c r="O366" s="28">
        <f>M366-I366</f>
        <v>0</v>
      </c>
      <c r="P366" s="28">
        <f>N366-L366</f>
        <v>0</v>
      </c>
      <c r="Q366" s="36">
        <f>IFERROR(L366*(1-$Q$2),"")</f>
        <v>8918.6999999999989</v>
      </c>
      <c r="R366" s="38">
        <f>IFERROR(VLOOKUP($A366,'Из Гугла'!$B:$G,6,0)*S366,VLOOKUP($A366,'Из Гугла'!$B:$G,6,0))</f>
        <v>8990</v>
      </c>
      <c r="S366" s="14">
        <v>1</v>
      </c>
      <c r="T366" s="83">
        <f>IFERROR(Q366/I366-1,"")</f>
        <v>0.37210769230769225</v>
      </c>
      <c r="U366" s="83">
        <f>IFERROR((W366-Q366)/W366,"")</f>
        <v>7.9310344827587427E-3</v>
      </c>
      <c r="V366" s="83">
        <f>IFERROR(IF(W366="","",W366/I366-1),"")</f>
        <v>0.38307692307692309</v>
      </c>
      <c r="W366" s="94">
        <v>8990</v>
      </c>
      <c r="X366" s="71" t="s">
        <v>1167</v>
      </c>
    </row>
    <row r="367" spans="1:24" ht="46.5" thickTop="1" thickBot="1" x14ac:dyDescent="0.3">
      <c r="A367" s="80">
        <v>133282</v>
      </c>
      <c r="B367" s="80">
        <f>VLOOKUP($A367,'Выгр Кат'!$A:$R,B$1,0)</f>
        <v>24046</v>
      </c>
      <c r="C367" s="81" t="str">
        <f>VLOOKUP($A367,'Выгр Кат'!$A:$R,C$1,0)</f>
        <v>Балка дополнительного освещения "The Best Partner" HP-CTD-BPTJ-005 (320 Вт, 1138 мм)</v>
      </c>
      <c r="D367" s="80" t="str">
        <f>VLOOKUP($A367,'Выгр Кат'!$A:$R,D$1,0)</f>
        <v>Y</v>
      </c>
      <c r="E367" s="80" t="str">
        <f>VLOOKUP($A367,'Выгр Кат'!$A:$R,E$1,0)</f>
        <v>1</v>
      </c>
      <c r="F367" s="80" t="str">
        <f>VLOOKUP($A367,'Выгр Кат'!$A:$R,F$1,0)</f>
        <v>HP-CTD-BPTJ-005</v>
      </c>
      <c r="G367" s="80">
        <f>VLOOKUP($A367,'Выгр Кат'!$A:$R,G$1,0)</f>
        <v>0</v>
      </c>
      <c r="H367" s="67" t="s">
        <v>3</v>
      </c>
      <c r="I367" s="82">
        <v>7500</v>
      </c>
      <c r="J367" s="5">
        <f>VLOOKUP(I367,Наценка!$A$1:$G$8,2,1)</f>
        <v>1.31</v>
      </c>
      <c r="K367" s="88">
        <f>I367*J367</f>
        <v>9825</v>
      </c>
      <c r="L367" s="70">
        <f>IF(K367&lt;=1000,(ROUNDUP(K367,-1)-1),(ROUNDUP(K367,-2)-10))</f>
        <v>9890</v>
      </c>
      <c r="M367" s="80">
        <f>VLOOKUP($A367,'Выгр Кат'!$A:$R,M$1,0)</f>
        <v>7500</v>
      </c>
      <c r="N367" s="80">
        <f>VLOOKUP($A367,'Выгр Кат'!$A:$R,N$1,0)</f>
        <v>9890</v>
      </c>
      <c r="O367" s="28">
        <f>M367-I367</f>
        <v>0</v>
      </c>
      <c r="P367" s="28">
        <f>N367-L367</f>
        <v>0</v>
      </c>
      <c r="Q367" s="36">
        <f>IFERROR(L367*(1-$Q$2),"")</f>
        <v>9197.6999999999989</v>
      </c>
      <c r="R367" s="38" t="str">
        <f>IFERROR(VLOOKUP($A367,'Из Гугла'!$B:$G,6,0)*S367,VLOOKUP($A367,'Из Гугла'!$B:$G,6,0))</f>
        <v/>
      </c>
      <c r="S367" s="14">
        <v>1</v>
      </c>
      <c r="T367" s="83">
        <f>IFERROR(Q367/I367-1,"")</f>
        <v>0.22635999999999989</v>
      </c>
      <c r="U367" s="83" t="str">
        <f>IFERROR((W367-Q367)/W367,"")</f>
        <v/>
      </c>
      <c r="V367" s="83" t="str">
        <f>IFERROR(IF(W367="","",W367/I367-1),"")</f>
        <v/>
      </c>
      <c r="W367" s="94" t="s">
        <v>1269</v>
      </c>
    </row>
    <row r="368" spans="1:24" ht="76.5" thickTop="1" thickBot="1" x14ac:dyDescent="0.3">
      <c r="A368" s="80">
        <v>159816</v>
      </c>
      <c r="B368" s="80">
        <f>VLOOKUP($A368,'Выгр Кат'!$A:$R,B$1,0)</f>
        <v>37977</v>
      </c>
      <c r="C368" s="81" t="str">
        <f>VLOOKUP($A368,'Выгр Кат'!$A:$R,C$1,0)</f>
        <v>Комплект тонированные задние фонари и дополнительный стоп-сигнал в стиле K5 (габариты+повторитель) для Лада Нива 4х4</v>
      </c>
      <c r="D368" s="80" t="str">
        <f>VLOOKUP($A368,'Выгр Кат'!$A:$R,D$1,0)</f>
        <v>Y</v>
      </c>
      <c r="E368" s="80" t="str">
        <f>VLOOKUP($A368,'Выгр Кат'!$A:$R,E$1,0)</f>
        <v>1</v>
      </c>
      <c r="F368" s="80" t="str">
        <f>VLOOKUP($A368,'Выгр Кат'!$A:$R,F$1,0)</f>
        <v>ZFT-457-GRAY</v>
      </c>
      <c r="G368" s="80" t="str">
        <f>VLOOKUP($A368,'Выгр Кат'!$A:$R,G$1,0)</f>
        <v>https://motorring.ru/product/38639-komplekt-diodnyh-serih-fonarey-led-obvodkoy-lada-4h4-niva</v>
      </c>
      <c r="H368" s="67" t="s">
        <v>3</v>
      </c>
      <c r="I368" s="82">
        <v>8500</v>
      </c>
      <c r="J368" s="5">
        <f>VLOOKUP(I368,Наценка!$A$1:$G$8,2,1)</f>
        <v>1.31</v>
      </c>
      <c r="K368" s="56">
        <f>W368*1.06</f>
        <v>13239.400000000001</v>
      </c>
      <c r="L368" s="70">
        <f>IF(K368&lt;=1000,(ROUNDUP(K368,-1)-1),(ROUNDUP(K368,-2)-10))</f>
        <v>13290</v>
      </c>
      <c r="M368" s="80">
        <f>VLOOKUP($A368,'Выгр Кат'!$A:$R,M$1,0)</f>
        <v>8500</v>
      </c>
      <c r="N368" s="80">
        <f>VLOOKUP($A368,'Выгр Кат'!$A:$R,N$1,0)</f>
        <v>13290</v>
      </c>
      <c r="O368" s="28">
        <f>M368-I368</f>
        <v>0</v>
      </c>
      <c r="P368" s="28">
        <f>N368-L368</f>
        <v>0</v>
      </c>
      <c r="Q368" s="36">
        <f>IFERROR(L368*(1-$Q$2),"")</f>
        <v>12359.699999999999</v>
      </c>
      <c r="R368" s="38">
        <f>IFERROR(VLOOKUP($A368,'Из Гугла'!$B:$G,6,0)*S368,VLOOKUP($A368,'Из Гугла'!$B:$G,6,0))</f>
        <v>12490</v>
      </c>
      <c r="S368" s="14">
        <v>1</v>
      </c>
      <c r="T368" s="83">
        <f>IFERROR(Q368/I368-1,"")</f>
        <v>0.45408235294117638</v>
      </c>
      <c r="U368" s="83">
        <f>IFERROR((W368-Q368)/W368,"")</f>
        <v>1.0432345876701448E-2</v>
      </c>
      <c r="V368" s="83">
        <f>IFERROR(IF(W368="","",W368/I368-1),"")</f>
        <v>0.46941176470588242</v>
      </c>
      <c r="W368" s="95">
        <v>12490</v>
      </c>
      <c r="X368" s="71" t="s">
        <v>790</v>
      </c>
    </row>
    <row r="369" spans="1:24" ht="61.5" thickTop="1" thickBot="1" x14ac:dyDescent="0.3">
      <c r="A369" s="80">
        <v>158556</v>
      </c>
      <c r="B369" s="80">
        <f>VLOOKUP($A369,'Выгр Кат'!$A:$R,B$1,0)</f>
        <v>37980</v>
      </c>
      <c r="C369" s="81" t="str">
        <f>VLOOKUP($A369,'Выгр Кат'!$A:$R,C$1,0)</f>
        <v>Комплект задние фонари и дополнительный стоп-сигнал Niva, пульс (габариты+повторитель) для Лада Нива 4х4</v>
      </c>
      <c r="D369" s="80" t="str">
        <f>VLOOKUP($A369,'Выгр Кат'!$A:$R,D$1,0)</f>
        <v>Y</v>
      </c>
      <c r="E369" s="80" t="str">
        <f>VLOOKUP($A369,'Выгр Кат'!$A:$R,E$1,0)</f>
        <v>1</v>
      </c>
      <c r="F369" s="80" t="str">
        <f>VLOOKUP($A369,'Выгр Кат'!$A:$R,F$1,0)</f>
        <v>ZFT-457-4</v>
      </c>
      <c r="G369" s="80" t="str">
        <f>VLOOKUP($A369,'Выгр Кат'!$A:$R,G$1,0)</f>
        <v>https://motorring.ru/product/38641-komplekt-diodnyh-fonarey-puls-lada-4h4-niva</v>
      </c>
      <c r="H369" s="67" t="s">
        <v>3</v>
      </c>
      <c r="I369" s="82">
        <v>10000</v>
      </c>
      <c r="J369" s="5">
        <f>VLOOKUP(I369,Наценка!$A$1:$G$8,2,1)</f>
        <v>1.32</v>
      </c>
      <c r="K369" s="56">
        <f>W369*1.06</f>
        <v>13239.400000000001</v>
      </c>
      <c r="L369" s="70">
        <f>IF(K369&lt;=1000,(ROUNDUP(K369,-1)-1),(ROUNDUP(K369,-2)-10))</f>
        <v>13290</v>
      </c>
      <c r="M369" s="80">
        <f>VLOOKUP($A369,'Выгр Кат'!$A:$R,M$1,0)</f>
        <v>10000</v>
      </c>
      <c r="N369" s="80">
        <f>VLOOKUP($A369,'Выгр Кат'!$A:$R,N$1,0)</f>
        <v>13290</v>
      </c>
      <c r="O369" s="28">
        <f>M369-I369</f>
        <v>0</v>
      </c>
      <c r="P369" s="28">
        <f>N369-L369</f>
        <v>0</v>
      </c>
      <c r="Q369" s="36">
        <f>IFERROR(L369*(1-$Q$2),"")</f>
        <v>12359.699999999999</v>
      </c>
      <c r="R369" s="38">
        <f>IFERROR(VLOOKUP($A369,'Из Гугла'!$B:$G,6,0)*S369,VLOOKUP($A369,'Из Гугла'!$B:$G,6,0))</f>
        <v>12490</v>
      </c>
      <c r="S369" s="14">
        <v>1</v>
      </c>
      <c r="T369" s="83">
        <f>IFERROR(Q369/I369-1,"")</f>
        <v>0.23596999999999979</v>
      </c>
      <c r="U369" s="83">
        <f>IFERROR((W369-Q369)/W369,"")</f>
        <v>1.0432345876701448E-2</v>
      </c>
      <c r="V369" s="83">
        <f>IFERROR(IF(W369="","",W369/I369-1),"")</f>
        <v>0.24900000000000011</v>
      </c>
      <c r="W369" s="95">
        <v>12490</v>
      </c>
      <c r="X369" s="71" t="s">
        <v>791</v>
      </c>
    </row>
    <row r="370" spans="1:24" ht="61.5" thickTop="1" thickBot="1" x14ac:dyDescent="0.3">
      <c r="A370" s="80">
        <v>158555</v>
      </c>
      <c r="B370" s="80">
        <f>VLOOKUP($A370,'Выгр Кат'!$A:$R,B$1,0)</f>
        <v>37979</v>
      </c>
      <c r="C370" s="81" t="str">
        <f>VLOOKUP($A370,'Выгр Кат'!$A:$R,C$1,0)</f>
        <v>Комплект задние фонари и дополнительный стоп-сигнал Niva, полосы (габариты+повторитель) для Лада Нива 4х4</v>
      </c>
      <c r="D370" s="80" t="str">
        <f>VLOOKUP($A370,'Выгр Кат'!$A:$R,D$1,0)</f>
        <v>Y</v>
      </c>
      <c r="E370" s="80" t="str">
        <f>VLOOKUP($A370,'Выгр Кат'!$A:$R,E$1,0)</f>
        <v>1</v>
      </c>
      <c r="F370" s="80" t="str">
        <f>VLOOKUP($A370,'Выгр Кат'!$A:$R,F$1,0)</f>
        <v>ZFT-457-1</v>
      </c>
      <c r="G370" s="80" t="str">
        <f>VLOOKUP($A370,'Выгр Кат'!$A:$R,G$1,0)</f>
        <v>https://motorring.ru/product/38644-komplekt-diodnyh-fonarey-polosy-lada-4h4-niva</v>
      </c>
      <c r="H370" s="67" t="s">
        <v>3</v>
      </c>
      <c r="I370" s="82">
        <v>10000</v>
      </c>
      <c r="J370" s="5">
        <f>VLOOKUP(I370,Наценка!$A$1:$G$8,2,1)</f>
        <v>1.32</v>
      </c>
      <c r="K370" s="56">
        <f>W370*1.06</f>
        <v>13239.400000000001</v>
      </c>
      <c r="L370" s="70">
        <f>IF(K370&lt;=1000,(ROUNDUP(K370,-1)-1),(ROUNDUP(K370,-2)-10))</f>
        <v>13290</v>
      </c>
      <c r="M370" s="80">
        <f>VLOOKUP($A370,'Выгр Кат'!$A:$R,M$1,0)</f>
        <v>10000</v>
      </c>
      <c r="N370" s="80">
        <f>VLOOKUP($A370,'Выгр Кат'!$A:$R,N$1,0)</f>
        <v>13290</v>
      </c>
      <c r="O370" s="28">
        <f>M370-I370</f>
        <v>0</v>
      </c>
      <c r="P370" s="28">
        <f>N370-L370</f>
        <v>0</v>
      </c>
      <c r="Q370" s="36">
        <f>IFERROR(L370*(1-$Q$2),"")</f>
        <v>12359.699999999999</v>
      </c>
      <c r="R370" s="38">
        <f>IFERROR(VLOOKUP($A370,'Из Гугла'!$B:$G,6,0)*S370,VLOOKUP($A370,'Из Гугла'!$B:$G,6,0))</f>
        <v>12490</v>
      </c>
      <c r="S370" s="14">
        <v>1</v>
      </c>
      <c r="T370" s="83">
        <f>IFERROR(Q370/I370-1,"")</f>
        <v>0.23596999999999979</v>
      </c>
      <c r="U370" s="83">
        <f>IFERROR((W370-Q370)/W370,"")</f>
        <v>1.0432345876701448E-2</v>
      </c>
      <c r="V370" s="83">
        <f>IFERROR(IF(W370="","",W370/I370-1),"")</f>
        <v>0.24900000000000011</v>
      </c>
      <c r="W370" s="95">
        <v>12490</v>
      </c>
      <c r="X370" s="71" t="s">
        <v>788</v>
      </c>
    </row>
    <row r="371" spans="1:24" ht="61.5" thickTop="1" thickBot="1" x14ac:dyDescent="0.3">
      <c r="A371" s="80">
        <v>158557</v>
      </c>
      <c r="B371" s="80">
        <f>VLOOKUP($A371,'Выгр Кат'!$A:$R,B$1,0)</f>
        <v>37978</v>
      </c>
      <c r="C371" s="81" t="str">
        <f>VLOOKUP($A371,'Выгр Кат'!$A:$R,C$1,0)</f>
        <v>Комплект задние фонари и дополнительный стоп-сигнал Niva, стрелки (габариты+повторитель) для Лада Нива 4х4</v>
      </c>
      <c r="D371" s="80" t="str">
        <f>VLOOKUP($A371,'Выгр Кат'!$A:$R,D$1,0)</f>
        <v>Y</v>
      </c>
      <c r="E371" s="80" t="str">
        <f>VLOOKUP($A371,'Выгр Кат'!$A:$R,E$1,0)</f>
        <v>1</v>
      </c>
      <c r="F371" s="80" t="str">
        <f>VLOOKUP($A371,'Выгр Кат'!$A:$R,F$1,0)</f>
        <v>ZFT-457-2</v>
      </c>
      <c r="G371" s="80" t="str">
        <f>VLOOKUP($A371,'Выгр Кат'!$A:$R,G$1,0)</f>
        <v>https://motorring.ru/product/38645-komplekt-diodnyh-fonarey-polosy-lada-4h4-niva</v>
      </c>
      <c r="H371" s="67" t="s">
        <v>3</v>
      </c>
      <c r="I371" s="82">
        <v>10000</v>
      </c>
      <c r="J371" s="5">
        <f>VLOOKUP(I371,Наценка!$A$1:$G$8,2,1)</f>
        <v>1.32</v>
      </c>
      <c r="K371" s="56">
        <f>W371*1.06</f>
        <v>13239.400000000001</v>
      </c>
      <c r="L371" s="70">
        <f>IF(K371&lt;=1000,(ROUNDUP(K371,-1)-1),(ROUNDUP(K371,-2)-10))</f>
        <v>13290</v>
      </c>
      <c r="M371" s="80">
        <f>VLOOKUP($A371,'Выгр Кат'!$A:$R,M$1,0)</f>
        <v>10000</v>
      </c>
      <c r="N371" s="80">
        <f>VLOOKUP($A371,'Выгр Кат'!$A:$R,N$1,0)</f>
        <v>13290</v>
      </c>
      <c r="O371" s="28">
        <f>M371-I371</f>
        <v>0</v>
      </c>
      <c r="P371" s="28">
        <f>N371-L371</f>
        <v>0</v>
      </c>
      <c r="Q371" s="36">
        <f>IFERROR(L371*(1-$Q$2),"")</f>
        <v>12359.699999999999</v>
      </c>
      <c r="R371" s="38">
        <f>IFERROR(VLOOKUP($A371,'Из Гугла'!$B:$G,6,0)*S371,VLOOKUP($A371,'Из Гугла'!$B:$G,6,0))</f>
        <v>12490</v>
      </c>
      <c r="S371" s="14">
        <v>1</v>
      </c>
      <c r="T371" s="83">
        <f>IFERROR(Q371/I371-1,"")</f>
        <v>0.23596999999999979</v>
      </c>
      <c r="U371" s="83">
        <f>IFERROR((W371-Q371)/W371,"")</f>
        <v>1.0432345876701448E-2</v>
      </c>
      <c r="V371" s="83">
        <f>IFERROR(IF(W371="","",W371/I371-1),"")</f>
        <v>0.24900000000000011</v>
      </c>
      <c r="W371" s="95">
        <v>12490</v>
      </c>
      <c r="X371" s="71" t="s">
        <v>789</v>
      </c>
    </row>
    <row r="372" spans="1:24" ht="76.5" thickTop="1" thickBot="1" x14ac:dyDescent="0.3">
      <c r="A372" s="80">
        <v>158559</v>
      </c>
      <c r="B372" s="80">
        <f>VLOOKUP($A372,'Выгр Кат'!$A:$R,B$1,0)</f>
        <v>37976</v>
      </c>
      <c r="C372" s="81" t="str">
        <f>VLOOKUP($A372,'Выгр Кат'!$A:$R,C$1,0)</f>
        <v>Комплект задние фонари и дополнительный стоп-сигнал с надписью NIVA (габариты+повторитель) для Лада Нива 4х4</v>
      </c>
      <c r="D372" s="80" t="str">
        <f>VLOOKUP($A372,'Выгр Кат'!$A:$R,D$1,0)</f>
        <v>Y</v>
      </c>
      <c r="E372" s="80" t="str">
        <f>VLOOKUP($A372,'Выгр Кат'!$A:$R,E$1,0)</f>
        <v>1</v>
      </c>
      <c r="F372" s="80" t="str">
        <f>VLOOKUP($A372,'Выгр Кат'!$A:$R,F$1,0)</f>
        <v>ZFT-457-5</v>
      </c>
      <c r="G372" s="80">
        <f>VLOOKUP($A372,'Выгр Кат'!$A:$R,G$1,0)</f>
        <v>0</v>
      </c>
      <c r="H372" s="67" t="s">
        <v>3</v>
      </c>
      <c r="I372" s="82">
        <v>10000</v>
      </c>
      <c r="J372" s="5">
        <f>VLOOKUP(I372,Наценка!$A$1:$G$8,2,1)</f>
        <v>1.32</v>
      </c>
      <c r="K372" s="56">
        <f>W372*1.06</f>
        <v>13239.400000000001</v>
      </c>
      <c r="L372" s="70">
        <f>IF(K372&lt;=1000,(ROUNDUP(K372,-1)-1),(ROUNDUP(K372,-2)-10))</f>
        <v>13290</v>
      </c>
      <c r="M372" s="80">
        <f>VLOOKUP($A372,'Выгр Кат'!$A:$R,M$1,0)</f>
        <v>10000</v>
      </c>
      <c r="N372" s="80">
        <f>VLOOKUP($A372,'Выгр Кат'!$A:$R,N$1,0)</f>
        <v>13290</v>
      </c>
      <c r="O372" s="28">
        <f>M372-I372</f>
        <v>0</v>
      </c>
      <c r="P372" s="28">
        <f>N372-L372</f>
        <v>0</v>
      </c>
      <c r="Q372" s="36">
        <f>IFERROR(L372*(1-$Q$2),"")</f>
        <v>12359.699999999999</v>
      </c>
      <c r="R372" s="38" t="str">
        <f>IFERROR(VLOOKUP($A372,'Из Гугла'!$B:$G,6,0)*S372,VLOOKUP($A372,'Из Гугла'!$B:$G,6,0))</f>
        <v/>
      </c>
      <c r="S372" s="14">
        <v>1</v>
      </c>
      <c r="T372" s="83">
        <f>IFERROR(Q372/I372-1,"")</f>
        <v>0.23596999999999979</v>
      </c>
      <c r="U372" s="83">
        <f>IFERROR((W372-Q372)/W372,"")</f>
        <v>1.0432345876701448E-2</v>
      </c>
      <c r="V372" s="83">
        <f>IFERROR(IF(W372="","",W372/I372-1),"")</f>
        <v>0.24900000000000011</v>
      </c>
      <c r="W372" s="95">
        <v>12490</v>
      </c>
    </row>
    <row r="373" spans="1:24" ht="61.5" thickTop="1" thickBot="1" x14ac:dyDescent="0.3">
      <c r="A373" s="80">
        <v>158558</v>
      </c>
      <c r="B373" s="80">
        <f>VLOOKUP($A373,'Выгр Кат'!$A:$R,B$1,0)</f>
        <v>37973</v>
      </c>
      <c r="C373" s="81" t="str">
        <f>VLOOKUP($A373,'Выгр Кат'!$A:$R,C$1,0)</f>
        <v>Комплект задние фонари и дополнительный стоп-сигнал в стиле K5 (габариты+повторитель) для Лада Нива 4х4</v>
      </c>
      <c r="D373" s="80" t="str">
        <f>VLOOKUP($A373,'Выгр Кат'!$A:$R,D$1,0)</f>
        <v>Y</v>
      </c>
      <c r="E373" s="80" t="str">
        <f>VLOOKUP($A373,'Выгр Кат'!$A:$R,E$1,0)</f>
        <v>1</v>
      </c>
      <c r="F373" s="80" t="str">
        <f>VLOOKUP($A373,'Выгр Кат'!$A:$R,F$1,0)</f>
        <v>ZFT-457RED</v>
      </c>
      <c r="G373" s="80" t="str">
        <f>VLOOKUP($A373,'Выгр Кат'!$A:$R,G$1,0)</f>
        <v>https://motorring.ru/product/36972-komplekt-diodnyh-fonarey-led-obvodkoy-lada-4h4-niva</v>
      </c>
      <c r="H373" s="67" t="s">
        <v>3</v>
      </c>
      <c r="I373" s="82">
        <v>10000</v>
      </c>
      <c r="J373" s="5">
        <f>VLOOKUP(I373,Наценка!$A$1:$G$8,2,1)</f>
        <v>1.32</v>
      </c>
      <c r="K373" s="56">
        <f>W373*1.06</f>
        <v>13239.400000000001</v>
      </c>
      <c r="L373" s="70">
        <f>IF(K373&lt;=1000,(ROUNDUP(K373,-1)-1),(ROUNDUP(K373,-2)-10))</f>
        <v>13290</v>
      </c>
      <c r="M373" s="80">
        <f>VLOOKUP($A373,'Выгр Кат'!$A:$R,M$1,0)</f>
        <v>10000</v>
      </c>
      <c r="N373" s="80">
        <f>VLOOKUP($A373,'Выгр Кат'!$A:$R,N$1,0)</f>
        <v>13290</v>
      </c>
      <c r="O373" s="28">
        <f>M373-I373</f>
        <v>0</v>
      </c>
      <c r="P373" s="28">
        <f>N373-L373</f>
        <v>0</v>
      </c>
      <c r="Q373" s="36">
        <f>IFERROR(L373*(1-$Q$2),"")</f>
        <v>12359.699999999999</v>
      </c>
      <c r="R373" s="38">
        <f>IFERROR(VLOOKUP($A373,'Из Гугла'!$B:$G,6,0)*S373,VLOOKUP($A373,'Из Гугла'!$B:$G,6,0))</f>
        <v>12490</v>
      </c>
      <c r="S373" s="14">
        <v>1</v>
      </c>
      <c r="T373" s="83">
        <f>IFERROR(Q373/I373-1,"")</f>
        <v>0.23596999999999979</v>
      </c>
      <c r="U373" s="83">
        <f>IFERROR((W373-Q373)/W373,"")</f>
        <v>1.0432345876701448E-2</v>
      </c>
      <c r="V373" s="83">
        <f>IFERROR(IF(W373="","",W373/I373-1),"")</f>
        <v>0.24900000000000011</v>
      </c>
      <c r="W373" s="95">
        <v>12490</v>
      </c>
      <c r="X373" s="71" t="s">
        <v>787</v>
      </c>
    </row>
    <row r="374" spans="1:24" ht="31.5" thickTop="1" thickBot="1" x14ac:dyDescent="0.3">
      <c r="A374" s="80">
        <v>213728</v>
      </c>
      <c r="B374" s="80">
        <f>VLOOKUP($A374,'Выгр Кат'!$A:$R,B$1,0)</f>
        <v>13910</v>
      </c>
      <c r="C374" s="81" t="str">
        <f>VLOOKUP($A374,'Выгр Кат'!$A:$R,C$1,0)</f>
        <v>Светодиодные фонари в стиле AUDI, серые для Лада Веста</v>
      </c>
      <c r="D374" s="80" t="str">
        <f>VLOOKUP($A374,'Выгр Кат'!$A:$R,D$1,0)</f>
        <v>Y</v>
      </c>
      <c r="E374" s="80" t="str">
        <f>VLOOKUP($A374,'Выгр Кат'!$A:$R,E$1,0)</f>
        <v>1</v>
      </c>
      <c r="F374" s="80">
        <f>VLOOKUP($A374,'Выгр Кат'!$A:$R,F$1,0)</f>
        <v>0</v>
      </c>
      <c r="G374" s="80" t="str">
        <f>VLOOKUP($A374,'Выгр Кат'!$A:$R,G$1,0)</f>
        <v>https://motorring.ru/product/32636-komplekt-chernyh-zadnih-led-fonarey-dinamich-vesta</v>
      </c>
      <c r="H374" s="67" t="s">
        <v>3</v>
      </c>
      <c r="I374" s="82">
        <v>14500</v>
      </c>
      <c r="J374" s="5">
        <f>VLOOKUP(I374,Наценка!$A$1:$G$8,2,1)</f>
        <v>1.32</v>
      </c>
      <c r="K374" s="56">
        <f>W374*1.06</f>
        <v>19281.400000000001</v>
      </c>
      <c r="L374" s="70">
        <f>IF(K374&lt;=1000,(ROUNDUP(K374,-1)-1),(ROUNDUP(K374,-2)-10))</f>
        <v>19290</v>
      </c>
      <c r="M374" s="80">
        <f>VLOOKUP($A374,'Выгр Кат'!$A:$R,M$1,0)</f>
        <v>14500</v>
      </c>
      <c r="N374" s="80">
        <f>VLOOKUP($A374,'Выгр Кат'!$A:$R,N$1,0)</f>
        <v>19290</v>
      </c>
      <c r="O374" s="28">
        <f>M374-I374</f>
        <v>0</v>
      </c>
      <c r="P374" s="28">
        <f>N374-L374</f>
        <v>0</v>
      </c>
      <c r="Q374" s="36">
        <f>IFERROR(L374*(1-$Q$2),"")</f>
        <v>17939.699999999997</v>
      </c>
      <c r="R374" s="38">
        <f>IFERROR(VLOOKUP($A374,'Из Гугла'!$B:$G,6,0)*S374,VLOOKUP($A374,'Из Гугла'!$B:$G,6,0))</f>
        <v>18190</v>
      </c>
      <c r="S374" s="14">
        <v>1</v>
      </c>
      <c r="T374" s="83">
        <f>IFERROR(Q374/I374-1,"")</f>
        <v>0.23722068965517229</v>
      </c>
      <c r="U374" s="83">
        <f>IFERROR((W374-Q374)/W374,"")</f>
        <v>1.3760307861462501E-2</v>
      </c>
      <c r="V374" s="83">
        <f>IFERROR(IF(W374="","",W374/I374-1),"")</f>
        <v>0.2544827586206897</v>
      </c>
      <c r="W374" s="95">
        <v>18190</v>
      </c>
      <c r="X374" s="71" t="s">
        <v>794</v>
      </c>
    </row>
    <row r="375" spans="1:24" ht="31.5" thickTop="1" thickBot="1" x14ac:dyDescent="0.3">
      <c r="A375" s="80">
        <v>213726</v>
      </c>
      <c r="B375" s="80">
        <f>VLOOKUP($A375,'Выгр Кат'!$A:$R,B$1,0)</f>
        <v>14096</v>
      </c>
      <c r="C375" s="81" t="str">
        <f>VLOOKUP($A375,'Выгр Кат'!$A:$R,C$1,0)</f>
        <v>Светодиодные фонари в стиле AUDI, красные для Лада Веста</v>
      </c>
      <c r="D375" s="80" t="str">
        <f>VLOOKUP($A375,'Выгр Кат'!$A:$R,D$1,0)</f>
        <v>Y</v>
      </c>
      <c r="E375" s="80" t="str">
        <f>VLOOKUP($A375,'Выгр Кат'!$A:$R,E$1,0)</f>
        <v>1</v>
      </c>
      <c r="F375" s="80">
        <f>VLOOKUP($A375,'Выгр Кат'!$A:$R,F$1,0)</f>
        <v>0</v>
      </c>
      <c r="G375" s="80" t="str">
        <f>VLOOKUP($A375,'Выгр Кат'!$A:$R,G$1,0)</f>
        <v>https://motorring.ru/product/38690-komplekt-krasnyh-zadnih-led-fonarey-dinamich-vesta</v>
      </c>
      <c r="H375" s="67" t="s">
        <v>3</v>
      </c>
      <c r="I375" s="82">
        <v>14500</v>
      </c>
      <c r="J375" s="5">
        <f>VLOOKUP(I375,Наценка!$A$1:$G$8,2,1)</f>
        <v>1.32</v>
      </c>
      <c r="K375" s="56">
        <f>W375*1.06</f>
        <v>19069.400000000001</v>
      </c>
      <c r="L375" s="70">
        <f>IF(K375&lt;=1000,(ROUNDUP(K375,-1)-1),(ROUNDUP(K375,-2)-10))</f>
        <v>19090</v>
      </c>
      <c r="M375" s="80">
        <f>VLOOKUP($A375,'Выгр Кат'!$A:$R,M$1,0)</f>
        <v>14500</v>
      </c>
      <c r="N375" s="80">
        <f>VLOOKUP($A375,'Выгр Кат'!$A:$R,N$1,0)</f>
        <v>19090</v>
      </c>
      <c r="O375" s="28">
        <f>M375-I375</f>
        <v>0</v>
      </c>
      <c r="P375" s="28">
        <f>N375-L375</f>
        <v>0</v>
      </c>
      <c r="Q375" s="36">
        <f>IFERROR(L375*(1-$Q$2),"")</f>
        <v>17753.699999999997</v>
      </c>
      <c r="R375" s="38">
        <f>IFERROR(VLOOKUP($A375,'Из Гугла'!$B:$G,6,0)*S375,VLOOKUP($A375,'Из Гугла'!$B:$G,6,0))</f>
        <v>17990</v>
      </c>
      <c r="S375" s="14">
        <v>1</v>
      </c>
      <c r="T375" s="83">
        <f>IFERROR(Q375/I375-1,"")</f>
        <v>0.22439310344827557</v>
      </c>
      <c r="U375" s="83">
        <f>IFERROR((W375-Q375)/W375,"")</f>
        <v>1.313507504168999E-2</v>
      </c>
      <c r="V375" s="83">
        <f>IFERROR(IF(W375="","",W375/I375-1),"")</f>
        <v>0.24068965517241381</v>
      </c>
      <c r="W375" s="95">
        <v>17990</v>
      </c>
      <c r="X375" s="71" t="s">
        <v>793</v>
      </c>
    </row>
    <row r="376" spans="1:24" ht="30.75" thickTop="1" x14ac:dyDescent="0.25">
      <c r="A376" s="80">
        <v>213716</v>
      </c>
      <c r="B376" s="80">
        <f>VLOOKUP($A376,'Выгр Кат'!$A:$R,B$1,0)</f>
        <v>13909</v>
      </c>
      <c r="C376" s="81" t="str">
        <f>VLOOKUP($A376,'Выгр Кат'!$A:$R,C$1,0)</f>
        <v>Светодиодные фары для Лада Веста</v>
      </c>
      <c r="D376" s="80" t="str">
        <f>VLOOKUP($A376,'Выгр Кат'!$A:$R,D$1,0)</f>
        <v>Y</v>
      </c>
      <c r="E376" s="80" t="str">
        <f>VLOOKUP($A376,'Выгр Кат'!$A:$R,E$1,0)</f>
        <v>1</v>
      </c>
      <c r="F376" s="80">
        <f>VLOOKUP($A376,'Выгр Кат'!$A:$R,F$1,0)</f>
        <v>0</v>
      </c>
      <c r="G376" s="80" t="str">
        <f>VLOOKUP($A376,'Выгр Кат'!$A:$R,G$1,0)</f>
        <v>https://motorring.ru/product/32637-komplekt-chernyh-svetodiodnyh-linzovannyh-far-lada-vesta</v>
      </c>
      <c r="H376" s="67" t="s">
        <v>3</v>
      </c>
      <c r="I376" s="82">
        <v>15000</v>
      </c>
      <c r="J376" s="5">
        <f>VLOOKUP(I376,Наценка!$A$1:$G$8,2,1)</f>
        <v>1.32</v>
      </c>
      <c r="K376" s="87">
        <f>W376*1.06</f>
        <v>22567.4</v>
      </c>
      <c r="L376" s="70">
        <f>IF(K376&lt;=1000,(ROUNDUP(K376,-1)-1),(ROUNDUP(K376,-2)-10))</f>
        <v>22590</v>
      </c>
      <c r="M376" s="80">
        <f>VLOOKUP($A376,'Выгр Кат'!$A:$R,M$1,0)</f>
        <v>15000</v>
      </c>
      <c r="N376" s="80">
        <f>VLOOKUP($A376,'Выгр Кат'!$A:$R,N$1,0)</f>
        <v>22590</v>
      </c>
      <c r="O376" s="28">
        <f>M376-I376</f>
        <v>0</v>
      </c>
      <c r="P376" s="28">
        <f>N376-L376</f>
        <v>0</v>
      </c>
      <c r="Q376" s="36">
        <f>IFERROR(L376*(1-$Q$2),"")</f>
        <v>21008.699999999997</v>
      </c>
      <c r="R376" s="38">
        <f>IFERROR(VLOOKUP($A376,'Из Гугла'!$B:$G,6,0)*S376,VLOOKUP($A376,'Из Гугла'!$B:$G,6,0))</f>
        <v>21290</v>
      </c>
      <c r="S376" s="14">
        <v>1</v>
      </c>
      <c r="T376" s="83">
        <f>IFERROR(Q376/I376-1,"")</f>
        <v>0.40057999999999971</v>
      </c>
      <c r="U376" s="83">
        <f>IFERROR((W376-Q376)/W376,"")</f>
        <v>1.3212775951150911E-2</v>
      </c>
      <c r="V376" s="83">
        <f>IFERROR(IF(W376="","",W376/I376-1),"")</f>
        <v>0.41933333333333334</v>
      </c>
      <c r="W376" s="93">
        <v>21290</v>
      </c>
      <c r="X376" s="71" t="s">
        <v>893</v>
      </c>
    </row>
    <row r="377" spans="1:24" ht="30.75" thickBot="1" x14ac:dyDescent="0.3">
      <c r="A377" s="80">
        <v>213727</v>
      </c>
      <c r="B377" s="80">
        <f>VLOOKUP($A377,'Выгр Кат'!$A:$R,B$1,0)</f>
        <v>158881</v>
      </c>
      <c r="C377" s="81" t="str">
        <f>VLOOKUP($A377,'Выгр Кат'!$A:$R,C$1,0)</f>
        <v>Светодиодные фонари в стиле AUDI, серые для Лада XRAY</v>
      </c>
      <c r="D377" s="80" t="str">
        <f>VLOOKUP($A377,'Выгр Кат'!$A:$R,D$1,0)</f>
        <v>Y</v>
      </c>
      <c r="E377" s="80" t="str">
        <f>VLOOKUP($A377,'Выгр Кат'!$A:$R,E$1,0)</f>
        <v>1</v>
      </c>
      <c r="F377" s="80" t="str">
        <f>VLOOKUP($A377,'Выгр Кат'!$A:$R,F$1,0)</f>
        <v>ZFT506GREY</v>
      </c>
      <c r="G377" s="80" t="str">
        <f>VLOOKUP($A377,'Выгр Кат'!$A:$R,G$1,0)</f>
        <v>https://motorring.ru/product/40620-fonary-zadniye-cherniye-stil-audi-lada-iks-rey</v>
      </c>
      <c r="H377" s="67" t="s">
        <v>3</v>
      </c>
      <c r="I377" s="82">
        <v>15000</v>
      </c>
      <c r="J377" s="5">
        <f>VLOOKUP(I377,Наценка!$A$1:$G$8,2,1)</f>
        <v>1.32</v>
      </c>
      <c r="K377" s="56">
        <f>W377*1.06</f>
        <v>20129.400000000001</v>
      </c>
      <c r="L377" s="70">
        <f>IF(K377&lt;=1000,(ROUNDUP(K377,-1)-1),(ROUNDUP(K377,-2)-10))</f>
        <v>20190</v>
      </c>
      <c r="M377" s="80">
        <f>VLOOKUP($A377,'Выгр Кат'!$A:$R,M$1,0)</f>
        <v>15000</v>
      </c>
      <c r="N377" s="80">
        <f>VLOOKUP($A377,'Выгр Кат'!$A:$R,N$1,0)</f>
        <v>20190</v>
      </c>
      <c r="O377" s="28">
        <f>M377-I377</f>
        <v>0</v>
      </c>
      <c r="P377" s="28">
        <f>N377-L377</f>
        <v>0</v>
      </c>
      <c r="Q377" s="36">
        <f>IFERROR(L377*(1-$Q$2),"")</f>
        <v>18776.699999999997</v>
      </c>
      <c r="R377" s="38">
        <f>IFERROR(VLOOKUP($A377,'Из Гугла'!$B:$G,6,0)*S377,VLOOKUP($A377,'Из Гугла'!$B:$G,6,0))</f>
        <v>18990</v>
      </c>
      <c r="S377" s="14">
        <v>1</v>
      </c>
      <c r="T377" s="83">
        <f>IFERROR(Q377/I377-1,"")</f>
        <v>0.25177999999999989</v>
      </c>
      <c r="U377" s="83">
        <f>IFERROR((W377-Q377)/W377,"")</f>
        <v>1.1232227488151812E-2</v>
      </c>
      <c r="V377" s="83">
        <f>IFERROR(IF(W377="","",W377/I377-1),"")</f>
        <v>0.26600000000000001</v>
      </c>
      <c r="W377" s="94">
        <v>18990</v>
      </c>
      <c r="X377" s="71" t="s">
        <v>1426</v>
      </c>
    </row>
    <row r="378" spans="1:24" ht="30.75" thickBot="1" x14ac:dyDescent="0.3">
      <c r="A378" s="80">
        <v>213725</v>
      </c>
      <c r="B378" s="80">
        <f>VLOOKUP($A378,'Выгр Кат'!$A:$R,B$1,0)</f>
        <v>158882</v>
      </c>
      <c r="C378" s="81" t="str">
        <f>VLOOKUP($A378,'Выгр Кат'!$A:$R,C$1,0)</f>
        <v>Светодиодные фонари в стиле AUDI, красные для Лада XRAY</v>
      </c>
      <c r="D378" s="80" t="str">
        <f>VLOOKUP($A378,'Выгр Кат'!$A:$R,D$1,0)</f>
        <v>Y</v>
      </c>
      <c r="E378" s="80" t="str">
        <f>VLOOKUP($A378,'Выгр Кат'!$A:$R,E$1,0)</f>
        <v>1</v>
      </c>
      <c r="F378" s="80" t="str">
        <f>VLOOKUP($A378,'Выгр Кат'!$A:$R,F$1,0)</f>
        <v>ZFT506RED</v>
      </c>
      <c r="G378" s="80" t="str">
        <f>VLOOKUP($A378,'Выгр Кат'!$A:$R,G$1,0)</f>
        <v>https://motorring.ru/product/40610-fonary-zadniye-stil-audi-lada-iks-rey</v>
      </c>
      <c r="H378" s="67" t="s">
        <v>3</v>
      </c>
      <c r="I378" s="82">
        <v>15000</v>
      </c>
      <c r="J378" s="5">
        <f>VLOOKUP(I378,Наценка!$A$1:$G$8,2,1)</f>
        <v>1.32</v>
      </c>
      <c r="K378" s="87">
        <f>W378*1.06</f>
        <v>20129.400000000001</v>
      </c>
      <c r="L378" s="70">
        <f>IF(K378&lt;=1000,(ROUNDUP(K378,-1)-1),(ROUNDUP(K378,-2)-10))</f>
        <v>20190</v>
      </c>
      <c r="M378" s="80">
        <f>VLOOKUP($A378,'Выгр Кат'!$A:$R,M$1,0)</f>
        <v>15000</v>
      </c>
      <c r="N378" s="80">
        <f>VLOOKUP($A378,'Выгр Кат'!$A:$R,N$1,0)</f>
        <v>20190</v>
      </c>
      <c r="O378" s="28">
        <f>M378-I378</f>
        <v>0</v>
      </c>
      <c r="P378" s="28">
        <f>N378-L378</f>
        <v>0</v>
      </c>
      <c r="Q378" s="36">
        <f>IFERROR(L378*(1-$Q$2),"")</f>
        <v>18776.699999999997</v>
      </c>
      <c r="R378" s="38">
        <f>IFERROR(VLOOKUP($A378,'Из Гугла'!$B:$G,6,0)*S378,VLOOKUP($A378,'Из Гугла'!$B:$G,6,0))</f>
        <v>18990</v>
      </c>
      <c r="S378" s="14">
        <v>1</v>
      </c>
      <c r="T378" s="83">
        <f>IFERROR(Q378/I378-1,"")</f>
        <v>0.25177999999999989</v>
      </c>
      <c r="U378" s="83">
        <f>IFERROR((W378-Q378)/W378,"")</f>
        <v>1.1232227488151812E-2</v>
      </c>
      <c r="V378" s="83">
        <f>IFERROR(IF(W378="","",W378/I378-1),"")</f>
        <v>0.26600000000000001</v>
      </c>
      <c r="W378" s="94">
        <v>18990</v>
      </c>
      <c r="X378" s="71" t="s">
        <v>1425</v>
      </c>
    </row>
    <row r="379" spans="1:24" ht="30.75" thickBot="1" x14ac:dyDescent="0.3">
      <c r="A379" s="80">
        <v>256788</v>
      </c>
      <c r="B379" s="80">
        <f>VLOOKUP($A379,'Выгр Кат'!$A:$R,B$1,0)</f>
        <v>183533</v>
      </c>
      <c r="C379" s="81" t="str">
        <f>VLOOKUP($A379,'Выгр Кат'!$A:$R,C$1,0)</f>
        <v>Фары Bi-Led в стиле Lexus для Лада Гранта</v>
      </c>
      <c r="D379" s="80" t="str">
        <f>VLOOKUP($A379,'Выгр Кат'!$A:$R,D$1,0)</f>
        <v>Y</v>
      </c>
      <c r="E379" s="80" t="str">
        <f>VLOOKUP($A379,'Выгр Кат'!$A:$R,E$1,0)</f>
        <v>1</v>
      </c>
      <c r="F379" s="80" t="str">
        <f>VLOOKUP($A379,'Выгр Кат'!$A:$R,F$1,0)</f>
        <v>ZFT-512</v>
      </c>
      <c r="G379" s="80" t="str">
        <f>VLOOKUP($A379,'Выгр Кат'!$A:$R,G$1,0)</f>
        <v>https://motorring.ru/product/40881-chernye-perednie-fary-thebestpartner-lada-granta</v>
      </c>
      <c r="H379" s="67" t="s">
        <v>3</v>
      </c>
      <c r="I379" s="82">
        <v>16000</v>
      </c>
      <c r="J379" s="5">
        <f>VLOOKUP(I379,Наценка!$A$1:$G$8,2,1)</f>
        <v>1.32</v>
      </c>
      <c r="K379" s="56">
        <f>W379*1.06</f>
        <v>22567.4</v>
      </c>
      <c r="L379" s="70">
        <f>IF(K379&lt;=1000,(ROUNDUP(K379,-1)-1),(ROUNDUP(K379,-2)-10))</f>
        <v>22590</v>
      </c>
      <c r="M379" s="80">
        <f>VLOOKUP($A379,'Выгр Кат'!$A:$R,M$1,0)</f>
        <v>16000</v>
      </c>
      <c r="N379" s="80">
        <f>VLOOKUP($A379,'Выгр Кат'!$A:$R,N$1,0)</f>
        <v>22590</v>
      </c>
      <c r="O379" s="28">
        <f>M379-I379</f>
        <v>0</v>
      </c>
      <c r="P379" s="28">
        <f>N379-L379</f>
        <v>0</v>
      </c>
      <c r="Q379" s="36">
        <f>IFERROR(L379*(1-$Q$2),"")</f>
        <v>21008.699999999997</v>
      </c>
      <c r="R379" s="38">
        <f>IFERROR(VLOOKUP($A379,'Из Гугла'!$B:$G,6,0)*S379,VLOOKUP($A379,'Из Гугла'!$B:$G,6,0))</f>
        <v>21290</v>
      </c>
      <c r="S379" s="14">
        <v>1</v>
      </c>
      <c r="T379" s="83">
        <f>IFERROR(Q379/I379-1,"")</f>
        <v>0.31304374999999984</v>
      </c>
      <c r="U379" s="83">
        <f>IFERROR((W379-Q379)/W379,"")</f>
        <v>1.3212775951150911E-2</v>
      </c>
      <c r="V379" s="83">
        <f>IFERROR(IF(W379="","",W379/I379-1),"")</f>
        <v>0.33062499999999995</v>
      </c>
      <c r="W379" s="94">
        <v>21290</v>
      </c>
      <c r="X379" s="71" t="s">
        <v>1358</v>
      </c>
    </row>
    <row r="380" spans="1:24" ht="30.75" thickBot="1" x14ac:dyDescent="0.3">
      <c r="A380" s="80">
        <v>133337</v>
      </c>
      <c r="B380" s="80">
        <f>VLOOKUP($A380,'Выгр Кат'!$A:$R,B$1,0)</f>
        <v>8069</v>
      </c>
      <c r="C380" s="81" t="str">
        <f>VLOOKUP($A380,'Выгр Кат'!$A:$R,C$1,0)</f>
        <v>Балка с диодами PL-3106-FS (80*3 Вт)</v>
      </c>
      <c r="D380" s="80" t="str">
        <f>VLOOKUP($A380,'Выгр Кат'!$A:$R,D$1,0)</f>
        <v>Y</v>
      </c>
      <c r="E380" s="80" t="str">
        <f>VLOOKUP($A380,'Выгр Кат'!$A:$R,E$1,0)</f>
        <v>1</v>
      </c>
      <c r="F380" s="80" t="str">
        <f>VLOOKUP($A380,'Выгр Кат'!$A:$R,F$1,0)</f>
        <v>PL-3106-FS</v>
      </c>
      <c r="G380" s="80" t="str">
        <f>VLOOKUP($A380,'Выгр Кат'!$A:$R,G$1,0)</f>
        <v>https://motorring.ru/product/8282-diodnaya-balka-pl-3106-240w-3vt</v>
      </c>
      <c r="H380" s="67" t="s">
        <v>3</v>
      </c>
      <c r="I380" s="82">
        <v>16100</v>
      </c>
      <c r="J380" s="5">
        <f>VLOOKUP(I380,Наценка!$A$1:$G$8,2,1)</f>
        <v>1.32</v>
      </c>
      <c r="K380" s="88">
        <f>I380*J380</f>
        <v>21252</v>
      </c>
      <c r="L380" s="70">
        <f>IF(K380&lt;=1000,(ROUNDUP(K380,-1)-1),(ROUNDUP(K380,-2)-10))</f>
        <v>21290</v>
      </c>
      <c r="M380" s="80">
        <f>VLOOKUP($A380,'Выгр Кат'!$A:$R,M$1,0)</f>
        <v>16100</v>
      </c>
      <c r="N380" s="80">
        <f>VLOOKUP($A380,'Выгр Кат'!$A:$R,N$1,0)</f>
        <v>21290</v>
      </c>
      <c r="O380" s="28">
        <f>M380-I380</f>
        <v>0</v>
      </c>
      <c r="P380" s="28">
        <f>N380-L380</f>
        <v>0</v>
      </c>
      <c r="Q380" s="36">
        <f>IFERROR(L380*(1-$Q$2),"")</f>
        <v>19799.699999999997</v>
      </c>
      <c r="R380" s="38">
        <f>IFERROR(VLOOKUP($A380,'Из Гугла'!$B:$G,6,0)*S380,VLOOKUP($A380,'Из Гугла'!$B:$G,6,0))</f>
        <v>14990</v>
      </c>
      <c r="S380" s="14">
        <v>1</v>
      </c>
      <c r="T380" s="83">
        <f>IFERROR(Q380/I380-1,"")</f>
        <v>0.22979503105590049</v>
      </c>
      <c r="U380" s="83">
        <f>IFERROR((W380-Q380)/W380,"")</f>
        <v>-0.32086057371581034</v>
      </c>
      <c r="V380" s="83">
        <f>IFERROR(IF(W380="","",W380/I380-1),"")</f>
        <v>-6.8944099378882018E-2</v>
      </c>
      <c r="W380" s="95">
        <v>14990</v>
      </c>
      <c r="X380" s="71" t="s">
        <v>746</v>
      </c>
    </row>
    <row r="381" spans="1:24" ht="30" x14ac:dyDescent="0.25">
      <c r="A381" s="80">
        <v>222869</v>
      </c>
      <c r="B381" s="80">
        <f>VLOOKUP($A381,'Выгр Кат'!$A:$R,B$1,0)</f>
        <v>38134</v>
      </c>
      <c r="C381" s="81" t="str">
        <f>VLOOKUP($A381,'Выгр Кат'!$A:$R,C$1,0)</f>
        <v>Тюнинг фары в стиле Audi для Лада Гранта FL</v>
      </c>
      <c r="D381" s="80" t="str">
        <f>VLOOKUP($A381,'Выгр Кат'!$A:$R,D$1,0)</f>
        <v>Y</v>
      </c>
      <c r="E381" s="80" t="str">
        <f>VLOOKUP($A381,'Выгр Кат'!$A:$R,E$1,0)</f>
        <v>1</v>
      </c>
      <c r="F381" s="80">
        <f>VLOOKUP($A381,'Выгр Кат'!$A:$R,F$1,0)</f>
        <v>0</v>
      </c>
      <c r="G381" s="80" t="str">
        <f>VLOOKUP($A381,'Выгр Кат'!$A:$R,G$1,0)</f>
        <v>https://motorring.ru/product/36856-perednie-fary-vypolnennye-stile-audi-q8-lada-granta-fl</v>
      </c>
      <c r="H381" s="67" t="s">
        <v>3</v>
      </c>
      <c r="I381" s="82">
        <v>19000</v>
      </c>
      <c r="J381" s="5">
        <f>VLOOKUP(I381,Наценка!$A$1:$G$8,2,1)</f>
        <v>1.32</v>
      </c>
      <c r="K381" s="56">
        <f>W381*1.06</f>
        <v>26489.4</v>
      </c>
      <c r="L381" s="70">
        <f>IF(K381&lt;=1000,(ROUNDUP(K381,-1)-1),(ROUNDUP(K381,-2)-10))</f>
        <v>26490</v>
      </c>
      <c r="M381" s="80">
        <f>VLOOKUP($A381,'Выгр Кат'!$A:$R,M$1,0)</f>
        <v>19000</v>
      </c>
      <c r="N381" s="80">
        <f>VLOOKUP($A381,'Выгр Кат'!$A:$R,N$1,0)</f>
        <v>26490</v>
      </c>
      <c r="O381" s="28">
        <f>M381-I381</f>
        <v>0</v>
      </c>
      <c r="P381" s="28">
        <f>N381-L381</f>
        <v>0</v>
      </c>
      <c r="Q381" s="36">
        <f>IFERROR(L381*(1-$Q$2),"")</f>
        <v>24635.699999999997</v>
      </c>
      <c r="R381" s="38">
        <f>IFERROR(VLOOKUP($A381,'Из Гугла'!$B:$G,6,0)*S381,VLOOKUP($A381,'Из Гугла'!$B:$G,6,0))</f>
        <v>24990</v>
      </c>
      <c r="S381" s="14">
        <v>1</v>
      </c>
      <c r="T381" s="83">
        <f>IFERROR(Q381/I381-1,"")</f>
        <v>0.29661578947368406</v>
      </c>
      <c r="U381" s="83">
        <f>IFERROR((W381-Q381)/W381,"")</f>
        <v>1.4177671068427487E-2</v>
      </c>
      <c r="V381" s="83">
        <f>IFERROR(IF(W381="","",W381/I381-1),"")</f>
        <v>0.31526315789473691</v>
      </c>
      <c r="W381" s="93">
        <v>24990</v>
      </c>
      <c r="X381" s="71" t="s">
        <v>792</v>
      </c>
    </row>
    <row r="382" spans="1:24" ht="30.75" thickBot="1" x14ac:dyDescent="0.3">
      <c r="A382" s="80">
        <v>264881</v>
      </c>
      <c r="B382" s="80">
        <f>VLOOKUP($A382,'Выгр Кат'!$A:$R,B$1,0)</f>
        <v>203061</v>
      </c>
      <c r="C382" s="81" t="str">
        <f>VLOOKUP($A382,'Выгр Кат'!$A:$R,C$1,0)</f>
        <v>Тюнинг фары в стиле Audi для Лада Ларгус FL</v>
      </c>
      <c r="D382" s="80" t="str">
        <f>VLOOKUP($A382,'Выгр Кат'!$A:$R,D$1,0)</f>
        <v>Y</v>
      </c>
      <c r="E382" s="80" t="str">
        <f>VLOOKUP($A382,'Выгр Кат'!$A:$R,E$1,0)</f>
        <v>1</v>
      </c>
      <c r="F382" s="80" t="str">
        <f>VLOOKUP($A382,'Выгр Кат'!$A:$R,F$1,0)</f>
        <v>ZFT513</v>
      </c>
      <c r="G382" s="80" t="str">
        <f>VLOOKUP($A382,'Выгр Кат'!$A:$R,G$1,0)</f>
        <v>https://motorring.ru/product/34537-chernye-perednie-fary-thebestpartner-stil-audi-largus-fl</v>
      </c>
      <c r="H382" s="67" t="s">
        <v>3</v>
      </c>
      <c r="I382" s="82">
        <v>19500</v>
      </c>
      <c r="J382" s="5">
        <f>VLOOKUP(I382,Наценка!$A$1:$G$8,2,1)</f>
        <v>1.32</v>
      </c>
      <c r="K382" s="57">
        <f>W382*1.07</f>
        <v>26097.300000000003</v>
      </c>
      <c r="L382" s="70">
        <f>IF(K382&lt;=1000,(ROUNDUP(K382,-1)-1),(ROUNDUP(K382,-2)-10))</f>
        <v>26090</v>
      </c>
      <c r="M382" s="80">
        <f>VLOOKUP($A382,'Выгр Кат'!$A:$R,M$1,0)</f>
        <v>19500</v>
      </c>
      <c r="N382" s="80">
        <f>VLOOKUP($A382,'Выгр Кат'!$A:$R,N$1,0)</f>
        <v>26090</v>
      </c>
      <c r="O382" s="28">
        <f>M382-I382</f>
        <v>0</v>
      </c>
      <c r="P382" s="28">
        <f>N382-L382</f>
        <v>0</v>
      </c>
      <c r="Q382" s="36">
        <f>IFERROR(L382*(1-$Q$2),"")</f>
        <v>24263.699999999997</v>
      </c>
      <c r="R382" s="38">
        <f>IFERROR(VLOOKUP($A382,'Из Гугла'!$B:$G,6,0)*S382,VLOOKUP($A382,'Из Гугла'!$B:$G,6,0))</f>
        <v>24390</v>
      </c>
      <c r="S382" s="14">
        <v>1</v>
      </c>
      <c r="T382" s="83">
        <f>IFERROR(Q382/I382-1,"")</f>
        <v>0.24429230769230759</v>
      </c>
      <c r="U382" s="83">
        <f>IFERROR((W382-Q382)/W382,"")</f>
        <v>5.1783517835179548E-3</v>
      </c>
      <c r="V382" s="83">
        <f>IFERROR(IF(W382="","",W382/I382-1),"")</f>
        <v>0.25076923076923086</v>
      </c>
      <c r="W382" s="94">
        <v>24390</v>
      </c>
      <c r="X382" s="71" t="s">
        <v>1356</v>
      </c>
    </row>
    <row r="383" spans="1:24" ht="30.75" thickTop="1" x14ac:dyDescent="0.25">
      <c r="A383" s="80">
        <v>274200</v>
      </c>
      <c r="B383" s="80">
        <f>VLOOKUP($A383,'Выгр Кат'!$A:$R,B$1,0)</f>
        <v>218839</v>
      </c>
      <c r="C383" s="81" t="str">
        <f>VLOOKUP($A383,'Выгр Кат'!$A:$R,C$1,0)</f>
        <v>Фары Bi-Led в стиле Lexus для Лада Ларгус</v>
      </c>
      <c r="D383" s="80" t="str">
        <f>VLOOKUP($A383,'Выгр Кат'!$A:$R,D$1,0)</f>
        <v>Y</v>
      </c>
      <c r="E383" s="80" t="str">
        <f>VLOOKUP($A383,'Выгр Кат'!$A:$R,E$1,0)</f>
        <v>1</v>
      </c>
      <c r="F383" s="80">
        <f>VLOOKUP($A383,'Выгр Кат'!$A:$R,F$1,0)</f>
        <v>0</v>
      </c>
      <c r="G383" s="80" t="str">
        <f>VLOOKUP($A383,'Выгр Кат'!$A:$R,G$1,0)</f>
        <v>https://motorring.ru/product/41799-chernye-fary-thebestpartner-linzami-dho-povorotnikom-largus</v>
      </c>
      <c r="H383" s="67" t="s">
        <v>3</v>
      </c>
      <c r="I383" s="82">
        <v>19500</v>
      </c>
      <c r="J383" s="5">
        <f>VLOOKUP(I383,Наценка!$A$1:$G$8,2,1)</f>
        <v>1.32</v>
      </c>
      <c r="K383" s="57">
        <f>W383*1.07</f>
        <v>26097.300000000003</v>
      </c>
      <c r="L383" s="70">
        <f>IF(K383&lt;=1000,(ROUNDUP(K383,-1)-1),(ROUNDUP(K383,-2)-10))</f>
        <v>26090</v>
      </c>
      <c r="M383" s="80">
        <f>VLOOKUP($A383,'Выгр Кат'!$A:$R,M$1,0)</f>
        <v>19500</v>
      </c>
      <c r="N383" s="80">
        <f>VLOOKUP($A383,'Выгр Кат'!$A:$R,N$1,0)</f>
        <v>26090</v>
      </c>
      <c r="O383" s="28">
        <f>M383-I383</f>
        <v>0</v>
      </c>
      <c r="P383" s="28">
        <f>N383-L383</f>
        <v>0</v>
      </c>
      <c r="Q383" s="36">
        <f>IFERROR(L383*(1-$Q$2),"")</f>
        <v>24263.699999999997</v>
      </c>
      <c r="R383" s="38">
        <f>IFERROR(VLOOKUP($A383,'Из Гугла'!$B:$G,6,0)*S383,VLOOKUP($A383,'Из Гугла'!$B:$G,6,0))</f>
        <v>24390</v>
      </c>
      <c r="S383" s="14">
        <v>1</v>
      </c>
      <c r="T383" s="83">
        <f>IFERROR(Q383/I383-1,"")</f>
        <v>0.24429230769230759</v>
      </c>
      <c r="U383" s="83">
        <f>IFERROR((W383-Q383)/W383,"")</f>
        <v>5.1783517835179548E-3</v>
      </c>
      <c r="V383" s="83">
        <f>IFERROR(IF(W383="","",W383/I383-1),"")</f>
        <v>0.25076923076923086</v>
      </c>
      <c r="W383" s="84">
        <v>24390</v>
      </c>
      <c r="X383" s="71" t="s">
        <v>1273</v>
      </c>
    </row>
    <row r="384" spans="1:24" ht="30.75" thickBot="1" x14ac:dyDescent="0.3">
      <c r="A384" s="80">
        <v>133338</v>
      </c>
      <c r="B384" s="80">
        <f>VLOOKUP($A384,'Выгр Кат'!$A:$R,B$1,0)</f>
        <v>8070</v>
      </c>
      <c r="C384" s="81" t="str">
        <f>VLOOKUP($A384,'Выгр Кат'!$A:$R,C$1,0)</f>
        <v>Балка с диодами PL-3107 (100*3 Вт)</v>
      </c>
      <c r="D384" s="80" t="str">
        <f>VLOOKUP($A384,'Выгр Кат'!$A:$R,D$1,0)</f>
        <v>Y</v>
      </c>
      <c r="E384" s="80" t="str">
        <f>VLOOKUP($A384,'Выгр Кат'!$A:$R,E$1,0)</f>
        <v>1</v>
      </c>
      <c r="F384" s="80" t="str">
        <f>VLOOKUP($A384,'Выгр Кат'!$A:$R,F$1,0)</f>
        <v>PL-3107</v>
      </c>
      <c r="G384" s="80" t="str">
        <f>VLOOKUP($A384,'Выгр Кат'!$A:$R,G$1,0)</f>
        <v>https://motorring.ru/product/8283-diodnaya-balka-pl-3107-300w-100-3vt</v>
      </c>
      <c r="H384" s="67" t="s">
        <v>3</v>
      </c>
      <c r="I384" s="82">
        <v>20300</v>
      </c>
      <c r="J384" s="5">
        <f>VLOOKUP(I384,Наценка!$A$1:$G$8,2,1)</f>
        <v>1.32</v>
      </c>
      <c r="K384" s="88">
        <f>I384*J384</f>
        <v>26796</v>
      </c>
      <c r="L384" s="70">
        <f>IF(K384&lt;=1000,(ROUNDUP(K384,-1)-1),(ROUNDUP(K384,-2)-10))</f>
        <v>26790</v>
      </c>
      <c r="M384" s="80">
        <f>VLOOKUP($A384,'Выгр Кат'!$A:$R,M$1,0)</f>
        <v>20300</v>
      </c>
      <c r="N384" s="80">
        <f>VLOOKUP($A384,'Выгр Кат'!$A:$R,N$1,0)</f>
        <v>26790</v>
      </c>
      <c r="O384" s="28">
        <f>M384-I384</f>
        <v>0</v>
      </c>
      <c r="P384" s="28">
        <f>N384-L384</f>
        <v>0</v>
      </c>
      <c r="Q384" s="36">
        <f>IFERROR(L384*(1-$Q$2),"")</f>
        <v>24914.699999999997</v>
      </c>
      <c r="R384" s="38">
        <f>IFERROR(VLOOKUP($A384,'Из Гугла'!$B:$G,6,0)*S384,VLOOKUP($A384,'Из Гугла'!$B:$G,6,0))</f>
        <v>18890</v>
      </c>
      <c r="S384" s="14">
        <v>1</v>
      </c>
      <c r="T384" s="83">
        <f>IFERROR(Q384/I384-1,"")</f>
        <v>0.22732512315270914</v>
      </c>
      <c r="U384" s="83">
        <f>IFERROR((W384-Q384)/W384,"")</f>
        <v>-0.31893594494441491</v>
      </c>
      <c r="V384" s="83">
        <f>IFERROR(IF(W384="","",W384/I384-1),"")</f>
        <v>-6.9458128078817682E-2</v>
      </c>
      <c r="W384" s="95">
        <v>18890</v>
      </c>
      <c r="X384" s="71" t="s">
        <v>744</v>
      </c>
    </row>
    <row r="385" spans="1:24" ht="31.5" thickTop="1" thickBot="1" x14ac:dyDescent="0.3">
      <c r="A385" s="80">
        <v>222868</v>
      </c>
      <c r="B385" s="80">
        <f>VLOOKUP($A385,'Выгр Кат'!$A:$R,B$1,0)</f>
        <v>60449</v>
      </c>
      <c r="C385" s="81" t="str">
        <f>VLOOKUP($A385,'Выгр Кат'!$A:$R,C$1,0)</f>
        <v>Тюнинг фары в стиле Audi для Лада Веста</v>
      </c>
      <c r="D385" s="80" t="str">
        <f>VLOOKUP($A385,'Выгр Кат'!$A:$R,D$1,0)</f>
        <v>Y</v>
      </c>
      <c r="E385" s="80" t="str">
        <f>VLOOKUP($A385,'Выгр Кат'!$A:$R,E$1,0)</f>
        <v>1</v>
      </c>
      <c r="F385" s="80">
        <f>VLOOKUP($A385,'Выгр Кат'!$A:$R,F$1,0)</f>
        <v>0</v>
      </c>
      <c r="G385" s="80" t="str">
        <f>VLOOKUP($A385,'Выгр Кат'!$A:$R,G$1,0)</f>
        <v>https://motorring.ru/product/38698-komplekt-diodnyh-far-thebestpartner-stile-audi-lada-vesta</v>
      </c>
      <c r="H385" s="67" t="s">
        <v>3</v>
      </c>
      <c r="I385" s="82">
        <v>25000</v>
      </c>
      <c r="J385" s="5">
        <f>VLOOKUP(I385,Наценка!$A$1:$G$8,2,1)</f>
        <v>1.32</v>
      </c>
      <c r="K385" s="56">
        <f>W385*1.06</f>
        <v>33167.4</v>
      </c>
      <c r="L385" s="70">
        <f>IF(K385&lt;=1000,(ROUNDUP(K385,-1)-1),(ROUNDUP(K385,-2)-10))</f>
        <v>33190</v>
      </c>
      <c r="M385" s="80">
        <f>VLOOKUP($A385,'Выгр Кат'!$A:$R,M$1,0)</f>
        <v>25000</v>
      </c>
      <c r="N385" s="80">
        <f>VLOOKUP($A385,'Выгр Кат'!$A:$R,N$1,0)</f>
        <v>33190</v>
      </c>
      <c r="O385" s="28">
        <f>M385-I385</f>
        <v>0</v>
      </c>
      <c r="P385" s="28">
        <f>N385-L385</f>
        <v>0</v>
      </c>
      <c r="Q385" s="36">
        <f>IFERROR(L385*(1-$Q$2),"")</f>
        <v>30866.699999999997</v>
      </c>
      <c r="R385" s="38">
        <f>IFERROR(VLOOKUP($A385,'Из Гугла'!$B:$G,6,0)*S385,VLOOKUP($A385,'Из Гугла'!$B:$G,6,0))</f>
        <v>31290</v>
      </c>
      <c r="S385" s="14">
        <v>1</v>
      </c>
      <c r="T385" s="83">
        <f>IFERROR(Q385/I385-1,"")</f>
        <v>0.23466799999999988</v>
      </c>
      <c r="U385" s="83">
        <f>IFERROR((W385-Q385)/W385,"")</f>
        <v>1.3528283796740266E-2</v>
      </c>
      <c r="V385" s="83">
        <f>IFERROR(IF(W385="","",W385/I385-1),"")</f>
        <v>0.25160000000000005</v>
      </c>
      <c r="W385" s="95">
        <v>31290</v>
      </c>
      <c r="X385" s="71" t="s">
        <v>755</v>
      </c>
    </row>
    <row r="386" spans="1:24" ht="31.5" thickTop="1" thickBot="1" x14ac:dyDescent="0.3">
      <c r="A386" s="80">
        <v>256787</v>
      </c>
      <c r="B386" s="80">
        <f>VLOOKUP($A386,'Выгр Кат'!$A:$R,B$1,0)</f>
        <v>183518</v>
      </c>
      <c r="C386" s="81" t="str">
        <f>VLOOKUP($A386,'Выгр Кат'!$A:$R,C$1,0)</f>
        <v>Фары Bi-Led в стиле AUDI для Лада XRAY</v>
      </c>
      <c r="D386" s="80" t="str">
        <f>VLOOKUP($A386,'Выгр Кат'!$A:$R,D$1,0)</f>
        <v>Y</v>
      </c>
      <c r="E386" s="80" t="str">
        <f>VLOOKUP($A386,'Выгр Кат'!$A:$R,E$1,0)</f>
        <v>1ск1</v>
      </c>
      <c r="F386" s="80" t="str">
        <f>VLOOKUP($A386,'Выгр Кат'!$A:$R,F$1,0)</f>
        <v>ZFT510</v>
      </c>
      <c r="G386" s="80" t="str">
        <f>VLOOKUP($A386,'Выгр Кат'!$A:$R,G$1,0)</f>
        <v>https://motorring.ru/product/40882-chernye-perednie-fary-thebestpartner-lada-xray</v>
      </c>
      <c r="H386" s="67" t="s">
        <v>3</v>
      </c>
      <c r="I386" s="82">
        <v>25000</v>
      </c>
      <c r="J386" s="5">
        <f>VLOOKUP(I386,Наценка!$A$1:$G$8,2,1)</f>
        <v>1.32</v>
      </c>
      <c r="K386" s="56">
        <f>W386*1.06</f>
        <v>32849.4</v>
      </c>
      <c r="L386" s="70">
        <f>IF(K386&lt;=1000,(ROUNDUP(K386,-1)-1),(ROUNDUP(K386,-2)-10))</f>
        <v>32890</v>
      </c>
      <c r="M386" s="80">
        <f>VLOOKUP($A386,'Выгр Кат'!$A:$R,M$1,0)</f>
        <v>25000</v>
      </c>
      <c r="N386" s="80">
        <f>VLOOKUP($A386,'Выгр Кат'!$A:$R,N$1,0)</f>
        <v>32890</v>
      </c>
      <c r="O386" s="28">
        <f>M386-I386</f>
        <v>0</v>
      </c>
      <c r="P386" s="28">
        <f>N386-L386</f>
        <v>0</v>
      </c>
      <c r="Q386" s="36">
        <f>IFERROR(L386*(1-$Q$2),"")</f>
        <v>30587.699999999997</v>
      </c>
      <c r="R386" s="38">
        <f>IFERROR(VLOOKUP($A386,'Из Гугла'!$B:$G,6,0)*S386,VLOOKUP($A386,'Из Гугла'!$B:$G,6,0))</f>
        <v>30990</v>
      </c>
      <c r="S386" s="14">
        <v>1</v>
      </c>
      <c r="T386" s="83">
        <f>IFERROR(Q386/I386-1,"")</f>
        <v>0.22350799999999982</v>
      </c>
      <c r="U386" s="83">
        <f>IFERROR((W386-Q386)/W386,"")</f>
        <v>1.2981606969990414E-2</v>
      </c>
      <c r="V386" s="83">
        <f>IFERROR(IF(W386="","",W386/I386-1),"")</f>
        <v>0.23960000000000004</v>
      </c>
      <c r="W386" s="94">
        <v>30990</v>
      </c>
      <c r="X386" s="71" t="s">
        <v>1359</v>
      </c>
    </row>
    <row r="387" spans="1:24" ht="30.75" thickTop="1" x14ac:dyDescent="0.25">
      <c r="A387" s="80">
        <v>264882</v>
      </c>
      <c r="B387" s="80">
        <f>VLOOKUP($A387,'Выгр Кат'!$A:$R,B$1,0)</f>
        <v>203069</v>
      </c>
      <c r="C387" s="81" t="str">
        <f>VLOOKUP($A387,'Выгр Кат'!$A:$R,C$1,0)</f>
        <v>Тюнинг фары в стиле Audi для Лада Нива Travel</v>
      </c>
      <c r="D387" s="80" t="str">
        <f>VLOOKUP($A387,'Выгр Кат'!$A:$R,D$1,0)</f>
        <v>Y</v>
      </c>
      <c r="E387" s="80" t="str">
        <f>VLOOKUP($A387,'Выгр Кат'!$A:$R,E$1,0)</f>
        <v>1</v>
      </c>
      <c r="F387" s="80">
        <f>VLOOKUP($A387,'Выгр Кат'!$A:$R,F$1,0)</f>
        <v>0</v>
      </c>
      <c r="G387" s="80" t="str">
        <f>VLOOKUP($A387,'Выгр Кат'!$A:$R,G$1,0)</f>
        <v>https://motorring.ru/product/39162-chernye-perednie-fary-thebestpartner-stil-audi-trevel</v>
      </c>
      <c r="H387" s="67" t="s">
        <v>3</v>
      </c>
      <c r="I387" s="82">
        <v>25000</v>
      </c>
      <c r="J387" s="5">
        <f>VLOOKUP(I387,Наценка!$A$1:$G$8,2,1)</f>
        <v>1.32</v>
      </c>
      <c r="K387" s="56">
        <f>W387*1.06</f>
        <v>32849.4</v>
      </c>
      <c r="L387" s="70">
        <f>IF(K387&lt;=1000,(ROUNDUP(K387,-1)-1),(ROUNDUP(K387,-2)-10))</f>
        <v>32890</v>
      </c>
      <c r="M387" s="80">
        <f>VLOOKUP($A387,'Выгр Кат'!$A:$R,M$1,0)</f>
        <v>25000</v>
      </c>
      <c r="N387" s="80">
        <f>VLOOKUP($A387,'Выгр Кат'!$A:$R,N$1,0)</f>
        <v>32890</v>
      </c>
      <c r="O387" s="28">
        <f>M387-I387</f>
        <v>0</v>
      </c>
      <c r="P387" s="28">
        <f>N387-L387</f>
        <v>0</v>
      </c>
      <c r="Q387" s="36">
        <f>IFERROR(L387*(1-$Q$2),"")</f>
        <v>30587.699999999997</v>
      </c>
      <c r="R387" s="38">
        <f>IFERROR(VLOOKUP($A387,'Из Гугла'!$B:$G,6,0)*S387,VLOOKUP($A387,'Из Гугла'!$B:$G,6,0))</f>
        <v>30990</v>
      </c>
      <c r="S387" s="14">
        <v>1</v>
      </c>
      <c r="T387" s="83">
        <f>IFERROR(Q387/I387-1,"")</f>
        <v>0.22350799999999982</v>
      </c>
      <c r="U387" s="83">
        <f>IFERROR((W387-Q387)/W387,"")</f>
        <v>1.2981606969990414E-2</v>
      </c>
      <c r="V387" s="83">
        <f>IFERROR(IF(W387="","",W387/I387-1),"")</f>
        <v>0.23960000000000004</v>
      </c>
      <c r="W387" s="84">
        <v>30990</v>
      </c>
      <c r="X387" s="71" t="s">
        <v>1355</v>
      </c>
    </row>
    <row r="388" spans="1:24" ht="30.75" thickBot="1" x14ac:dyDescent="0.3">
      <c r="A388" s="80">
        <v>202705</v>
      </c>
      <c r="B388" s="80">
        <f>VLOOKUP($A388,'Выгр Кат'!$A:$R,B$1,0)</f>
        <v>4479</v>
      </c>
      <c r="C388" s="81" t="str">
        <f>VLOOKUP($A388,'Выгр Кат'!$A:$R,C$1,0)</f>
        <v>Рамки противотуманных фар с диодными ДХО для Лада Калина 2</v>
      </c>
      <c r="D388" s="80" t="str">
        <f>VLOOKUP($A388,'Выгр Кат'!$A:$R,D$1,0)</f>
        <v>Y</v>
      </c>
      <c r="E388" s="80" t="str">
        <f>VLOOKUP($A388,'Выгр Кат'!$A:$R,E$1,0)</f>
        <v>0</v>
      </c>
      <c r="F388" s="80">
        <f>VLOOKUP($A388,'Выгр Кат'!$A:$R,F$1,0)</f>
        <v>0</v>
      </c>
      <c r="G388" s="80">
        <f>VLOOKUP($A388,'Выгр Кат'!$A:$R,G$1,0)</f>
        <v>0</v>
      </c>
      <c r="H388" s="67" t="s">
        <v>3</v>
      </c>
      <c r="I388" s="82">
        <v>0</v>
      </c>
      <c r="J388" s="5" t="e">
        <f>VLOOKUP(I388,Наценка!$A$1:$G$8,2,1)</f>
        <v>#N/A</v>
      </c>
      <c r="K388" s="86">
        <f>N388</f>
        <v>2690</v>
      </c>
      <c r="L388" s="70">
        <f>IF(K388&lt;=1000,(ROUNDUP(K388,-1)-1),(ROUNDUP(K388,-2)-10))</f>
        <v>2690</v>
      </c>
      <c r="M388" s="80">
        <f>VLOOKUP($A388,'Выгр Кат'!$A:$R,M$1,0)</f>
        <v>0</v>
      </c>
      <c r="N388" s="80">
        <f>VLOOKUP($A388,'Выгр Кат'!$A:$R,N$1,0)</f>
        <v>2690</v>
      </c>
      <c r="O388" s="28">
        <f>M388-I388</f>
        <v>0</v>
      </c>
      <c r="P388" s="28">
        <f>N388-L388</f>
        <v>0</v>
      </c>
      <c r="Q388" s="36">
        <f>IFERROR(L388*(1-$Q$2),"")</f>
        <v>2501.6999999999998</v>
      </c>
      <c r="R388" s="38" t="str">
        <f>IFERROR(VLOOKUP($A388,'Из Гугла'!$B:$G,6,0)*S388,VLOOKUP($A388,'Из Гугла'!$B:$G,6,0))</f>
        <v/>
      </c>
      <c r="S388" s="14">
        <v>1</v>
      </c>
      <c r="T388" s="83" t="str">
        <f>IFERROR(Q388/I388-1,"")</f>
        <v/>
      </c>
      <c r="U388" s="83" t="str">
        <f>IFERROR((W388-Q388)/W388,"")</f>
        <v/>
      </c>
      <c r="V388" s="83" t="str">
        <f>IFERROR(IF(W388="","",W388/I388-1),"")</f>
        <v/>
      </c>
      <c r="W388" s="94"/>
    </row>
    <row r="389" spans="1:24" ht="30.75" thickTop="1" x14ac:dyDescent="0.25">
      <c r="A389" s="80">
        <v>211475</v>
      </c>
      <c r="B389" s="80">
        <f>VLOOKUP($A389,'Выгр Кат'!$A:$R,B$1,0)</f>
        <v>4491</v>
      </c>
      <c r="C389" s="81" t="str">
        <f>VLOOKUP($A389,'Выгр Кат'!$A:$R,C$1,0)</f>
        <v>Руль Rtech с красной строчкой для ВАЗ</v>
      </c>
      <c r="D389" s="80" t="str">
        <f>VLOOKUP($A389,'Выгр Кат'!$A:$R,D$1,0)</f>
        <v>Y</v>
      </c>
      <c r="E389" s="80" t="str">
        <f>VLOOKUP($A389,'Выгр Кат'!$A:$R,E$1,0)</f>
        <v>0</v>
      </c>
      <c r="F389" s="80">
        <f>VLOOKUP($A389,'Выгр Кат'!$A:$R,F$1,0)</f>
        <v>0</v>
      </c>
      <c r="G389" s="80">
        <f>VLOOKUP($A389,'Выгр Кат'!$A:$R,G$1,0)</f>
        <v>0</v>
      </c>
      <c r="H389" s="67" t="s">
        <v>3</v>
      </c>
      <c r="I389" s="82">
        <v>0</v>
      </c>
      <c r="J389" s="5" t="e">
        <f>VLOOKUP(I389,Наценка!$A$1:$G$8,2,1)</f>
        <v>#N/A</v>
      </c>
      <c r="K389" s="31">
        <f>N389</f>
        <v>1790</v>
      </c>
      <c r="L389" s="70">
        <f>IF(K389&lt;=1000,(ROUNDUP(K389,-1)-1),(ROUNDUP(K389,-2)-10))</f>
        <v>1790</v>
      </c>
      <c r="M389" s="80">
        <f>VLOOKUP($A389,'Выгр Кат'!$A:$R,M$1,0)</f>
        <v>0</v>
      </c>
      <c r="N389" s="80">
        <f>VLOOKUP($A389,'Выгр Кат'!$A:$R,N$1,0)</f>
        <v>1790</v>
      </c>
      <c r="O389" s="28">
        <f>M389-I389</f>
        <v>0</v>
      </c>
      <c r="P389" s="28">
        <f>N389-L389</f>
        <v>0</v>
      </c>
      <c r="Q389" s="36">
        <f>IFERROR(L389*(1-$Q$2),"")</f>
        <v>1664.6999999999998</v>
      </c>
      <c r="R389" s="38" t="str">
        <f>IFERROR(VLOOKUP($A389,'Из Гугла'!$B:$G,6,0)*S389,VLOOKUP($A389,'Из Гугла'!$B:$G,6,0))</f>
        <v/>
      </c>
      <c r="S389" s="14">
        <v>1</v>
      </c>
      <c r="T389" s="83" t="str">
        <f>IFERROR(Q389/I389-1,"")</f>
        <v/>
      </c>
      <c r="U389" s="83" t="str">
        <f>IFERROR((W389-Q389)/W389,"")</f>
        <v/>
      </c>
      <c r="V389" s="83" t="str">
        <f>IFERROR(IF(W389="","",W389/I389-1),"")</f>
        <v/>
      </c>
      <c r="W389" s="84"/>
    </row>
    <row r="390" spans="1:24" ht="30.75" thickBot="1" x14ac:dyDescent="0.3">
      <c r="A390" s="80">
        <v>202707</v>
      </c>
      <c r="B390" s="80">
        <f>VLOOKUP($A390,'Выгр Кат'!$A:$R,B$1,0)</f>
        <v>4573</v>
      </c>
      <c r="C390" s="81" t="str">
        <f>VLOOKUP($A390,'Выгр Кат'!$A:$R,C$1,0)</f>
        <v>Рамки противотуманных фар с ДХО -1 для Лада Ларгус</v>
      </c>
      <c r="D390" s="80" t="str">
        <f>VLOOKUP($A390,'Выгр Кат'!$A:$R,D$1,0)</f>
        <v>Y</v>
      </c>
      <c r="E390" s="80" t="str">
        <f>VLOOKUP($A390,'Выгр Кат'!$A:$R,E$1,0)</f>
        <v>0</v>
      </c>
      <c r="F390" s="80">
        <f>VLOOKUP($A390,'Выгр Кат'!$A:$R,F$1,0)</f>
        <v>0</v>
      </c>
      <c r="G390" s="80">
        <f>VLOOKUP($A390,'Выгр Кат'!$A:$R,G$1,0)</f>
        <v>0</v>
      </c>
      <c r="H390" s="67" t="s">
        <v>3</v>
      </c>
      <c r="I390" s="82">
        <v>0</v>
      </c>
      <c r="J390" s="5" t="e">
        <f>VLOOKUP(I390,Наценка!$A$1:$G$8,2,1)</f>
        <v>#N/A</v>
      </c>
      <c r="K390" s="86">
        <f>N390</f>
        <v>2090</v>
      </c>
      <c r="L390" s="70">
        <f>IF(K390&lt;=1000,(ROUNDUP(K390,-1)-1),(ROUNDUP(K390,-2)-10))</f>
        <v>2090</v>
      </c>
      <c r="M390" s="80">
        <f>VLOOKUP($A390,'Выгр Кат'!$A:$R,M$1,0)</f>
        <v>0</v>
      </c>
      <c r="N390" s="80">
        <f>VLOOKUP($A390,'Выгр Кат'!$A:$R,N$1,0)</f>
        <v>2090</v>
      </c>
      <c r="O390" s="28">
        <f>M390-I390</f>
        <v>0</v>
      </c>
      <c r="P390" s="28">
        <f>N390-L390</f>
        <v>0</v>
      </c>
      <c r="Q390" s="36">
        <f>IFERROR(L390*(1-$Q$2),"")</f>
        <v>1943.6999999999998</v>
      </c>
      <c r="R390" s="38" t="str">
        <f>IFERROR(VLOOKUP($A390,'Из Гугла'!$B:$G,6,0)*S390,VLOOKUP($A390,'Из Гугла'!$B:$G,6,0))</f>
        <v/>
      </c>
      <c r="S390" s="14">
        <v>1</v>
      </c>
      <c r="T390" s="83" t="str">
        <f>IFERROR(Q390/I390-1,"")</f>
        <v/>
      </c>
      <c r="U390" s="83" t="str">
        <f>IFERROR((W390-Q390)/W390,"")</f>
        <v/>
      </c>
      <c r="V390" s="83" t="str">
        <f>IFERROR(IF(W390="","",W390/I390-1),"")</f>
        <v/>
      </c>
      <c r="W390" s="94"/>
    </row>
    <row r="391" spans="1:24" ht="31.5" thickTop="1" thickBot="1" x14ac:dyDescent="0.3">
      <c r="A391" s="80">
        <v>202709</v>
      </c>
      <c r="B391" s="80">
        <f>VLOOKUP($A391,'Выгр Кат'!$A:$R,B$1,0)</f>
        <v>4577</v>
      </c>
      <c r="C391" s="81" t="str">
        <f>VLOOKUP($A391,'Выгр Кат'!$A:$R,C$1,0)</f>
        <v>Рамки противотуманных фар с ДХО -3 для Лада Ларгус</v>
      </c>
      <c r="D391" s="80" t="str">
        <f>VLOOKUP($A391,'Выгр Кат'!$A:$R,D$1,0)</f>
        <v>Y</v>
      </c>
      <c r="E391" s="80" t="str">
        <f>VLOOKUP($A391,'Выгр Кат'!$A:$R,E$1,0)</f>
        <v>0</v>
      </c>
      <c r="F391" s="80">
        <f>VLOOKUP($A391,'Выгр Кат'!$A:$R,F$1,0)</f>
        <v>0</v>
      </c>
      <c r="G391" s="80">
        <f>VLOOKUP($A391,'Выгр Кат'!$A:$R,G$1,0)</f>
        <v>0</v>
      </c>
      <c r="H391" s="67" t="s">
        <v>3</v>
      </c>
      <c r="I391" s="82">
        <v>0</v>
      </c>
      <c r="J391" s="5" t="e">
        <f>VLOOKUP(I391,Наценка!$A$1:$G$8,2,1)</f>
        <v>#N/A</v>
      </c>
      <c r="K391" s="86">
        <f>N391</f>
        <v>2090</v>
      </c>
      <c r="L391" s="70">
        <f>IF(K391&lt;=1000,(ROUNDUP(K391,-1)-1),(ROUNDUP(K391,-2)-10))</f>
        <v>2090</v>
      </c>
      <c r="M391" s="80">
        <f>VLOOKUP($A391,'Выгр Кат'!$A:$R,M$1,0)</f>
        <v>0</v>
      </c>
      <c r="N391" s="80">
        <f>VLOOKUP($A391,'Выгр Кат'!$A:$R,N$1,0)</f>
        <v>2090</v>
      </c>
      <c r="O391" s="28">
        <f>M391-I391</f>
        <v>0</v>
      </c>
      <c r="P391" s="28">
        <f>N391-L391</f>
        <v>0</v>
      </c>
      <c r="Q391" s="36">
        <f>IFERROR(L391*(1-$Q$2),"")</f>
        <v>1943.6999999999998</v>
      </c>
      <c r="R391" s="38" t="str">
        <f>IFERROR(VLOOKUP($A391,'Из Гугла'!$B:$G,6,0)*S391,VLOOKUP($A391,'Из Гугла'!$B:$G,6,0))</f>
        <v/>
      </c>
      <c r="S391" s="14">
        <v>1</v>
      </c>
      <c r="T391" s="83" t="str">
        <f>IFERROR(Q391/I391-1,"")</f>
        <v/>
      </c>
      <c r="U391" s="83" t="str">
        <f>IFERROR((W391-Q391)/W391,"")</f>
        <v/>
      </c>
      <c r="V391" s="83" t="str">
        <f>IFERROR(IF(W391="","",W391/I391-1),"")</f>
        <v/>
      </c>
      <c r="W391" s="94"/>
    </row>
    <row r="392" spans="1:24" ht="31.5" thickTop="1" thickBot="1" x14ac:dyDescent="0.3">
      <c r="A392" s="80">
        <v>202710</v>
      </c>
      <c r="B392" s="80">
        <f>VLOOKUP($A392,'Выгр Кат'!$A:$R,B$1,0)</f>
        <v>4578</v>
      </c>
      <c r="C392" s="81" t="str">
        <f>VLOOKUP($A392,'Выгр Кат'!$A:$R,C$1,0)</f>
        <v>Рамки противотуманных фар с ДХО -4 для Лада Ларгус</v>
      </c>
      <c r="D392" s="80" t="str">
        <f>VLOOKUP($A392,'Выгр Кат'!$A:$R,D$1,0)</f>
        <v>Y</v>
      </c>
      <c r="E392" s="80" t="str">
        <f>VLOOKUP($A392,'Выгр Кат'!$A:$R,E$1,0)</f>
        <v>0</v>
      </c>
      <c r="F392" s="80">
        <f>VLOOKUP($A392,'Выгр Кат'!$A:$R,F$1,0)</f>
        <v>0</v>
      </c>
      <c r="G392" s="80">
        <f>VLOOKUP($A392,'Выгр Кат'!$A:$R,G$1,0)</f>
        <v>0</v>
      </c>
      <c r="H392" s="67" t="s">
        <v>3</v>
      </c>
      <c r="I392" s="82">
        <v>0</v>
      </c>
      <c r="J392" s="5" t="e">
        <f>VLOOKUP(I392,Наценка!$A$1:$G$8,2,1)</f>
        <v>#N/A</v>
      </c>
      <c r="K392" s="86">
        <f>N392</f>
        <v>2090</v>
      </c>
      <c r="L392" s="70">
        <f>IF(K392&lt;=1000,(ROUNDUP(K392,-1)-1),(ROUNDUP(K392,-2)-10))</f>
        <v>2090</v>
      </c>
      <c r="M392" s="80">
        <f>VLOOKUP($A392,'Выгр Кат'!$A:$R,M$1,0)</f>
        <v>0</v>
      </c>
      <c r="N392" s="80">
        <f>VLOOKUP($A392,'Выгр Кат'!$A:$R,N$1,0)</f>
        <v>2090</v>
      </c>
      <c r="O392" s="28">
        <f>M392-I392</f>
        <v>0</v>
      </c>
      <c r="P392" s="28">
        <f>N392-L392</f>
        <v>0</v>
      </c>
      <c r="Q392" s="36">
        <f>IFERROR(L392*(1-$Q$2),"")</f>
        <v>1943.6999999999998</v>
      </c>
      <c r="R392" s="38" t="str">
        <f>IFERROR(VLOOKUP($A392,'Из Гугла'!$B:$G,6,0)*S392,VLOOKUP($A392,'Из Гугла'!$B:$G,6,0))</f>
        <v/>
      </c>
      <c r="S392" s="14">
        <v>1</v>
      </c>
      <c r="T392" s="83" t="str">
        <f>IFERROR(Q392/I392-1,"")</f>
        <v/>
      </c>
      <c r="U392" s="83" t="str">
        <f>IFERROR((W392-Q392)/W392,"")</f>
        <v/>
      </c>
      <c r="V392" s="83" t="str">
        <f>IFERROR(IF(W392="","",W392/I392-1),"")</f>
        <v/>
      </c>
      <c r="W392" s="94"/>
    </row>
    <row r="393" spans="1:24" ht="30.75" thickTop="1" x14ac:dyDescent="0.25">
      <c r="A393" s="80">
        <v>222851</v>
      </c>
      <c r="B393" s="80">
        <f>VLOOKUP($A393,'Выгр Кат'!$A:$R,B$1,0)</f>
        <v>4661</v>
      </c>
      <c r="C393" s="81" t="str">
        <f>VLOOKUP($A393,'Выгр Кат'!$A:$R,C$1,0)</f>
        <v>Тюнинг фары (чёрные) для Лада Гранта</v>
      </c>
      <c r="D393" s="80" t="str">
        <f>VLOOKUP($A393,'Выгр Кат'!$A:$R,D$1,0)</f>
        <v>Y</v>
      </c>
      <c r="E393" s="80" t="str">
        <f>VLOOKUP($A393,'Выгр Кат'!$A:$R,E$1,0)</f>
        <v>0</v>
      </c>
      <c r="F393" s="80">
        <f>VLOOKUP($A393,'Выгр Кат'!$A:$R,F$1,0)</f>
        <v>0</v>
      </c>
      <c r="G393" s="80">
        <f>VLOOKUP($A393,'Выгр Кат'!$A:$R,G$1,0)</f>
        <v>0</v>
      </c>
      <c r="H393" s="67" t="s">
        <v>3</v>
      </c>
      <c r="I393" s="82">
        <v>0</v>
      </c>
      <c r="J393" s="5" t="e">
        <f>VLOOKUP(I393,Наценка!$A$1:$G$8,2,1)</f>
        <v>#N/A</v>
      </c>
      <c r="K393" s="31">
        <f>N393</f>
        <v>7490</v>
      </c>
      <c r="L393" s="70">
        <f>IF(K393&lt;=1000,(ROUNDUP(K393,-1)-1),(ROUNDUP(K393,-2)-10))</f>
        <v>7490</v>
      </c>
      <c r="M393" s="80">
        <f>VLOOKUP($A393,'Выгр Кат'!$A:$R,M$1,0)</f>
        <v>0</v>
      </c>
      <c r="N393" s="80">
        <f>VLOOKUP($A393,'Выгр Кат'!$A:$R,N$1,0)</f>
        <v>7490</v>
      </c>
      <c r="O393" s="28">
        <f>M393-I393</f>
        <v>0</v>
      </c>
      <c r="P393" s="28">
        <f>N393-L393</f>
        <v>0</v>
      </c>
      <c r="Q393" s="36">
        <f>IFERROR(L393*(1-$Q$2),"")</f>
        <v>6965.7</v>
      </c>
      <c r="R393" s="38" t="str">
        <f>IFERROR(VLOOKUP($A393,'Из Гугла'!$B:$G,6,0)*S393,VLOOKUP($A393,'Из Гугла'!$B:$G,6,0))</f>
        <v/>
      </c>
      <c r="S393" s="14">
        <v>1</v>
      </c>
      <c r="T393" s="83" t="str">
        <f>IFERROR(Q393/I393-1,"")</f>
        <v/>
      </c>
      <c r="U393" s="83" t="str">
        <f>IFERROR((W393-Q393)/W393,"")</f>
        <v/>
      </c>
      <c r="V393" s="83" t="str">
        <f>IFERROR(IF(W393="","",W393/I393-1),"")</f>
        <v/>
      </c>
      <c r="W393" s="84"/>
    </row>
    <row r="394" spans="1:24" ht="30" x14ac:dyDescent="0.25">
      <c r="A394" s="80">
        <v>226470</v>
      </c>
      <c r="B394" s="80">
        <f>VLOOKUP($A394,'Выгр Кат'!$A:$R,B$1,0)</f>
        <v>4820</v>
      </c>
      <c r="C394" s="81" t="str">
        <f>VLOOKUP($A394,'Выгр Кат'!$A:$R,C$1,0)</f>
        <v>Штатные тюнингованные фонари (красные) для Лада Приора</v>
      </c>
      <c r="D394" s="80" t="str">
        <f>VLOOKUP($A394,'Выгр Кат'!$A:$R,D$1,0)</f>
        <v>Y</v>
      </c>
      <c r="E394" s="80" t="str">
        <f>VLOOKUP($A394,'Выгр Кат'!$A:$R,E$1,0)</f>
        <v>0</v>
      </c>
      <c r="F394" s="80">
        <f>VLOOKUP($A394,'Выгр Кат'!$A:$R,F$1,0)</f>
        <v>0</v>
      </c>
      <c r="G394" s="80">
        <f>VLOOKUP($A394,'Выгр Кат'!$A:$R,G$1,0)</f>
        <v>0</v>
      </c>
      <c r="H394" s="67" t="s">
        <v>3</v>
      </c>
      <c r="I394" s="82">
        <v>0</v>
      </c>
      <c r="J394" s="5" t="e">
        <f>VLOOKUP(I394,Наценка!$A$1:$G$8,2,1)</f>
        <v>#N/A</v>
      </c>
      <c r="K394" s="31">
        <f>N394</f>
        <v>2390</v>
      </c>
      <c r="L394" s="70">
        <f>IF(K394&lt;=1000,(ROUNDUP(K394,-1)-1),(ROUNDUP(K394,-2)-10))</f>
        <v>2390</v>
      </c>
      <c r="M394" s="80">
        <f>VLOOKUP($A394,'Выгр Кат'!$A:$R,M$1,0)</f>
        <v>0</v>
      </c>
      <c r="N394" s="80">
        <f>VLOOKUP($A394,'Выгр Кат'!$A:$R,N$1,0)</f>
        <v>2390</v>
      </c>
      <c r="O394" s="28">
        <f>M394-I394</f>
        <v>0</v>
      </c>
      <c r="P394" s="28">
        <f>N394-L394</f>
        <v>0</v>
      </c>
      <c r="Q394" s="36">
        <f>IFERROR(L394*(1-$Q$2),"")</f>
        <v>2222.6999999999998</v>
      </c>
      <c r="R394" s="38" t="str">
        <f>IFERROR(VLOOKUP($A394,'Из Гугла'!$B:$G,6,0)*S394,VLOOKUP($A394,'Из Гугла'!$B:$G,6,0))</f>
        <v/>
      </c>
      <c r="S394" s="14">
        <v>1</v>
      </c>
      <c r="T394" s="83" t="str">
        <f>IFERROR(Q394/I394-1,"")</f>
        <v/>
      </c>
      <c r="U394" s="83" t="str">
        <f>IFERROR((W394-Q394)/W394,"")</f>
        <v/>
      </c>
      <c r="V394" s="83" t="str">
        <f>IFERROR(IF(W394="","",W394/I394-1),"")</f>
        <v/>
      </c>
      <c r="W394" s="84"/>
    </row>
    <row r="395" spans="1:24" ht="30.75" thickBot="1" x14ac:dyDescent="0.3">
      <c r="A395" s="80">
        <v>223955</v>
      </c>
      <c r="B395" s="80">
        <f>VLOOKUP($A395,'Выгр Кат'!$A:$R,B$1,0)</f>
        <v>4852</v>
      </c>
      <c r="C395" s="81" t="str">
        <f>VLOOKUP($A395,'Выгр Кат'!$A:$R,C$1,0)</f>
        <v>Фары со встроенными ДХО (хром) для Лада Приора</v>
      </c>
      <c r="D395" s="80" t="str">
        <f>VLOOKUP($A395,'Выгр Кат'!$A:$R,D$1,0)</f>
        <v>Y</v>
      </c>
      <c r="E395" s="80" t="str">
        <f>VLOOKUP($A395,'Выгр Кат'!$A:$R,E$1,0)</f>
        <v>0</v>
      </c>
      <c r="F395" s="80">
        <f>VLOOKUP($A395,'Выгр Кат'!$A:$R,F$1,0)</f>
        <v>0</v>
      </c>
      <c r="G395" s="80">
        <f>VLOOKUP($A395,'Выгр Кат'!$A:$R,G$1,0)</f>
        <v>0</v>
      </c>
      <c r="H395" s="67" t="s">
        <v>3</v>
      </c>
      <c r="I395" s="82">
        <v>0</v>
      </c>
      <c r="J395" s="5" t="e">
        <f>VLOOKUP(I395,Наценка!$A$1:$G$8,2,1)</f>
        <v>#N/A</v>
      </c>
      <c r="K395" s="86">
        <f>N395</f>
        <v>8290</v>
      </c>
      <c r="L395" s="70">
        <f>IF(K395&lt;=1000,(ROUNDUP(K395,-1)-1),(ROUNDUP(K395,-2)-10))</f>
        <v>8290</v>
      </c>
      <c r="M395" s="80">
        <f>VLOOKUP($A395,'Выгр Кат'!$A:$R,M$1,0)</f>
        <v>0</v>
      </c>
      <c r="N395" s="80">
        <f>VLOOKUP($A395,'Выгр Кат'!$A:$R,N$1,0)</f>
        <v>8290</v>
      </c>
      <c r="O395" s="28">
        <f>M395-I395</f>
        <v>0</v>
      </c>
      <c r="P395" s="28">
        <f>N395-L395</f>
        <v>0</v>
      </c>
      <c r="Q395" s="36">
        <f>IFERROR(L395*(1-$Q$2),"")</f>
        <v>7709.7</v>
      </c>
      <c r="R395" s="38" t="str">
        <f>IFERROR(VLOOKUP($A395,'Из Гугла'!$B:$G,6,0)*S395,VLOOKUP($A395,'Из Гугла'!$B:$G,6,0))</f>
        <v/>
      </c>
      <c r="S395" s="14">
        <v>1</v>
      </c>
      <c r="T395" s="83" t="str">
        <f>IFERROR(Q395/I395-1,"")</f>
        <v/>
      </c>
      <c r="U395" s="83" t="str">
        <f>IFERROR((W395-Q395)/W395,"")</f>
        <v/>
      </c>
      <c r="V395" s="83" t="str">
        <f>IFERROR(IF(W395="","",W395/I395-1),"")</f>
        <v/>
      </c>
      <c r="W395" s="94"/>
    </row>
    <row r="396" spans="1:24" ht="46.5" thickTop="1" thickBot="1" x14ac:dyDescent="0.3">
      <c r="A396" s="80">
        <v>145577</v>
      </c>
      <c r="B396" s="80">
        <f>VLOOKUP($A396,'Выгр Кат'!$A:$R,B$1,0)</f>
        <v>4870</v>
      </c>
      <c r="C396" s="81" t="str">
        <f>VLOOKUP($A396,'Выгр Кат'!$A:$R,C$1,0)</f>
        <v>Задние фонари светодиодные (тонированный хром) для Лада Приора, Приора 2</v>
      </c>
      <c r="D396" s="80" t="str">
        <f>VLOOKUP($A396,'Выгр Кат'!$A:$R,D$1,0)</f>
        <v>Y</v>
      </c>
      <c r="E396" s="80" t="str">
        <f>VLOOKUP($A396,'Выгр Кат'!$A:$R,E$1,0)</f>
        <v>0</v>
      </c>
      <c r="F396" s="80">
        <f>VLOOKUP($A396,'Выгр Кат'!$A:$R,F$1,0)</f>
        <v>0</v>
      </c>
      <c r="G396" s="80">
        <f>VLOOKUP($A396,'Выгр Кат'!$A:$R,G$1,0)</f>
        <v>0</v>
      </c>
      <c r="H396" s="67" t="s">
        <v>3</v>
      </c>
      <c r="I396" s="82">
        <v>0</v>
      </c>
      <c r="J396" s="5" t="e">
        <f>VLOOKUP(I396,Наценка!$A$1:$G$8,2,1)</f>
        <v>#N/A</v>
      </c>
      <c r="K396" s="86">
        <f>N396</f>
        <v>3890</v>
      </c>
      <c r="L396" s="70">
        <f>IF(K396&lt;=1000,(ROUNDUP(K396,-1)-1),(ROUNDUP(K396,-2)-10))</f>
        <v>3890</v>
      </c>
      <c r="M396" s="80">
        <f>VLOOKUP($A396,'Выгр Кат'!$A:$R,M$1,0)</f>
        <v>0</v>
      </c>
      <c r="N396" s="80">
        <f>VLOOKUP($A396,'Выгр Кат'!$A:$R,N$1,0)</f>
        <v>3890</v>
      </c>
      <c r="O396" s="28">
        <f>M396-I396</f>
        <v>0</v>
      </c>
      <c r="P396" s="28">
        <f>N396-L396</f>
        <v>0</v>
      </c>
      <c r="Q396" s="36">
        <f>IFERROR(L396*(1-$Q$2),"")</f>
        <v>3617.7</v>
      </c>
      <c r="R396" s="38" t="str">
        <f>IFERROR(VLOOKUP($A396,'Из Гугла'!$B:$G,6,0)*S396,VLOOKUP($A396,'Из Гугла'!$B:$G,6,0))</f>
        <v/>
      </c>
      <c r="S396" s="14">
        <v>1</v>
      </c>
      <c r="T396" s="83" t="str">
        <f>IFERROR(Q396/I396-1,"")</f>
        <v/>
      </c>
      <c r="U396" s="83" t="str">
        <f>IFERROR((W396-Q396)/W396,"")</f>
        <v/>
      </c>
      <c r="V396" s="83" t="str">
        <f>IFERROR(IF(W396="","",W396/I396-1),"")</f>
        <v/>
      </c>
      <c r="W396" s="94"/>
    </row>
    <row r="397" spans="1:24" ht="46.5" thickTop="1" thickBot="1" x14ac:dyDescent="0.3">
      <c r="A397" s="80">
        <v>145522</v>
      </c>
      <c r="B397" s="80">
        <f>VLOOKUP($A397,'Выгр Кат'!$A:$R,B$1,0)</f>
        <v>4872</v>
      </c>
      <c r="C397" s="81" t="str">
        <f>VLOOKUP($A397,'Выгр Кат'!$A:$R,C$1,0)</f>
        <v>Задние фонари "Infiniti" светодиодные (чёрные) для Лада Приора, Приора 2</v>
      </c>
      <c r="D397" s="80" t="str">
        <f>VLOOKUP($A397,'Выгр Кат'!$A:$R,D$1,0)</f>
        <v>Y</v>
      </c>
      <c r="E397" s="80" t="str">
        <f>VLOOKUP($A397,'Выгр Кат'!$A:$R,E$1,0)</f>
        <v>0</v>
      </c>
      <c r="F397" s="80">
        <f>VLOOKUP($A397,'Выгр Кат'!$A:$R,F$1,0)</f>
        <v>0</v>
      </c>
      <c r="G397" s="80">
        <f>VLOOKUP($A397,'Выгр Кат'!$A:$R,G$1,0)</f>
        <v>0</v>
      </c>
      <c r="H397" s="67" t="s">
        <v>3</v>
      </c>
      <c r="I397" s="82">
        <v>0</v>
      </c>
      <c r="J397" s="5" t="e">
        <f>VLOOKUP(I397,Наценка!$A$1:$G$8,2,1)</f>
        <v>#N/A</v>
      </c>
      <c r="K397" s="86">
        <f>N397</f>
        <v>5790</v>
      </c>
      <c r="L397" s="70">
        <f>IF(K397&lt;=1000,(ROUNDUP(K397,-1)-1),(ROUNDUP(K397,-2)-10))</f>
        <v>5790</v>
      </c>
      <c r="M397" s="80">
        <f>VLOOKUP($A397,'Выгр Кат'!$A:$R,M$1,0)</f>
        <v>0</v>
      </c>
      <c r="N397" s="80">
        <f>VLOOKUP($A397,'Выгр Кат'!$A:$R,N$1,0)</f>
        <v>5790</v>
      </c>
      <c r="O397" s="28">
        <f>M397-I397</f>
        <v>0</v>
      </c>
      <c r="P397" s="28">
        <f>N397-L397</f>
        <v>0</v>
      </c>
      <c r="Q397" s="36">
        <f>IFERROR(L397*(1-$Q$2),"")</f>
        <v>5384.7</v>
      </c>
      <c r="R397" s="38" t="str">
        <f>IFERROR(VLOOKUP($A397,'Из Гугла'!$B:$G,6,0)*S397,VLOOKUP($A397,'Из Гугла'!$B:$G,6,0))</f>
        <v/>
      </c>
      <c r="S397" s="14">
        <v>1</v>
      </c>
      <c r="T397" s="83" t="str">
        <f>IFERROR(Q397/I397-1,"")</f>
        <v/>
      </c>
      <c r="U397" s="83" t="str">
        <f>IFERROR((W397-Q397)/W397,"")</f>
        <v/>
      </c>
      <c r="V397" s="83" t="str">
        <f>IFERROR(IF(W397="","",W397/I397-1),"")</f>
        <v/>
      </c>
      <c r="W397" s="94"/>
    </row>
    <row r="398" spans="1:24" ht="31.5" thickTop="1" thickBot="1" x14ac:dyDescent="0.3">
      <c r="A398" s="80">
        <v>187494</v>
      </c>
      <c r="B398" s="80">
        <f>VLOOKUP($A398,'Выгр Кат'!$A:$R,B$1,0)</f>
        <v>4931</v>
      </c>
      <c r="C398" s="81" t="str">
        <f>VLOOKUP($A398,'Выгр Кат'!$A:$R,C$1,0)</f>
        <v>Передние фары с ангельскими глазками, хром для ВАЗ 2108-21099</v>
      </c>
      <c r="D398" s="80" t="str">
        <f>VLOOKUP($A398,'Выгр Кат'!$A:$R,D$1,0)</f>
        <v>Y</v>
      </c>
      <c r="E398" s="80" t="str">
        <f>VLOOKUP($A398,'Выгр Кат'!$A:$R,E$1,0)</f>
        <v>0</v>
      </c>
      <c r="F398" s="80">
        <f>VLOOKUP($A398,'Выгр Кат'!$A:$R,F$1,0)</f>
        <v>0</v>
      </c>
      <c r="G398" s="80">
        <f>VLOOKUP($A398,'Выгр Кат'!$A:$R,G$1,0)</f>
        <v>0</v>
      </c>
      <c r="H398" s="67" t="s">
        <v>3</v>
      </c>
      <c r="I398" s="82">
        <v>0</v>
      </c>
      <c r="J398" s="5" t="e">
        <f>VLOOKUP(I398,Наценка!$A$1:$G$8,2,1)</f>
        <v>#N/A</v>
      </c>
      <c r="K398" s="86">
        <f>N398</f>
        <v>4890</v>
      </c>
      <c r="L398" s="70">
        <f>IF(K398&lt;=1000,(ROUNDUP(K398,-1)-1),(ROUNDUP(K398,-2)-10))</f>
        <v>4890</v>
      </c>
      <c r="M398" s="80">
        <f>VLOOKUP($A398,'Выгр Кат'!$A:$R,M$1,0)</f>
        <v>0</v>
      </c>
      <c r="N398" s="80">
        <f>VLOOKUP($A398,'Выгр Кат'!$A:$R,N$1,0)</f>
        <v>4890</v>
      </c>
      <c r="O398" s="28">
        <f>M398-I398</f>
        <v>0</v>
      </c>
      <c r="P398" s="28">
        <f>N398-L398</f>
        <v>0</v>
      </c>
      <c r="Q398" s="36">
        <f>IFERROR(L398*(1-$Q$2),"")</f>
        <v>4547.7</v>
      </c>
      <c r="R398" s="38" t="str">
        <f>IFERROR(VLOOKUP($A398,'Из Гугла'!$B:$G,6,0)*S398,VLOOKUP($A398,'Из Гугла'!$B:$G,6,0))</f>
        <v/>
      </c>
      <c r="S398" s="14">
        <v>1</v>
      </c>
      <c r="T398" s="83" t="str">
        <f>IFERROR(Q398/I398-1,"")</f>
        <v/>
      </c>
      <c r="U398" s="83" t="str">
        <f>IFERROR((W398-Q398)/W398,"")</f>
        <v/>
      </c>
      <c r="V398" s="83" t="str">
        <f>IFERROR(IF(W398="","",W398/I398-1),"")</f>
        <v/>
      </c>
      <c r="W398" s="94"/>
    </row>
    <row r="399" spans="1:24" ht="31.5" thickTop="1" thickBot="1" x14ac:dyDescent="0.3">
      <c r="A399" s="80">
        <v>187499</v>
      </c>
      <c r="B399" s="80">
        <f>VLOOKUP($A399,'Выгр Кат'!$A:$R,B$1,0)</f>
        <v>4942</v>
      </c>
      <c r="C399" s="81" t="str">
        <f>VLOOKUP($A399,'Выгр Кат'!$A:$R,C$1,0)</f>
        <v>Передние фары с ДХО, хром для ВАЗ 2108-21099</v>
      </c>
      <c r="D399" s="80" t="str">
        <f>VLOOKUP($A399,'Выгр Кат'!$A:$R,D$1,0)</f>
        <v>Y</v>
      </c>
      <c r="E399" s="80" t="str">
        <f>VLOOKUP($A399,'Выгр Кат'!$A:$R,E$1,0)</f>
        <v>0</v>
      </c>
      <c r="F399" s="80">
        <f>VLOOKUP($A399,'Выгр Кат'!$A:$R,F$1,0)</f>
        <v>0</v>
      </c>
      <c r="G399" s="80">
        <f>VLOOKUP($A399,'Выгр Кат'!$A:$R,G$1,0)</f>
        <v>0</v>
      </c>
      <c r="H399" s="67" t="s">
        <v>3</v>
      </c>
      <c r="I399" s="82">
        <v>0</v>
      </c>
      <c r="J399" s="5" t="e">
        <f>VLOOKUP(I399,Наценка!$A$1:$G$8,2,1)</f>
        <v>#N/A</v>
      </c>
      <c r="K399" s="86">
        <f>N399</f>
        <v>6390</v>
      </c>
      <c r="L399" s="70">
        <f>IF(K399&lt;=1000,(ROUNDUP(K399,-1)-1),(ROUNDUP(K399,-2)-10))</f>
        <v>6390</v>
      </c>
      <c r="M399" s="80">
        <f>VLOOKUP($A399,'Выгр Кат'!$A:$R,M$1,0)</f>
        <v>0</v>
      </c>
      <c r="N399" s="80">
        <f>VLOOKUP($A399,'Выгр Кат'!$A:$R,N$1,0)</f>
        <v>6390</v>
      </c>
      <c r="O399" s="28">
        <f>M399-I399</f>
        <v>0</v>
      </c>
      <c r="P399" s="28">
        <f>N399-L399</f>
        <v>0</v>
      </c>
      <c r="Q399" s="36">
        <f>IFERROR(L399*(1-$Q$2),"")</f>
        <v>5942.7</v>
      </c>
      <c r="R399" s="38" t="str">
        <f>IFERROR(VLOOKUP($A399,'Из Гугла'!$B:$G,6,0)*S399,VLOOKUP($A399,'Из Гугла'!$B:$G,6,0))</f>
        <v/>
      </c>
      <c r="S399" s="14">
        <v>1</v>
      </c>
      <c r="T399" s="83" t="str">
        <f>IFERROR(Q399/I399-1,"")</f>
        <v/>
      </c>
      <c r="U399" s="83" t="str">
        <f>IFERROR((W399-Q399)/W399,"")</f>
        <v/>
      </c>
      <c r="V399" s="83" t="str">
        <f>IFERROR(IF(W399="","",W399/I399-1),"")</f>
        <v/>
      </c>
      <c r="W399" s="94"/>
    </row>
    <row r="400" spans="1:24" ht="31.5" thickTop="1" thickBot="1" x14ac:dyDescent="0.3">
      <c r="A400" s="80">
        <v>145531</v>
      </c>
      <c r="B400" s="80">
        <f>VLOOKUP($A400,'Выгр Кат'!$A:$R,B$1,0)</f>
        <v>4948</v>
      </c>
      <c r="C400" s="81" t="str">
        <f>VLOOKUP($A400,'Выгр Кат'!$A:$R,C$1,0)</f>
        <v>Задние фонари "Волна" диодные для ВАЗ 2108-21099, 2113, 2114</v>
      </c>
      <c r="D400" s="80" t="str">
        <f>VLOOKUP($A400,'Выгр Кат'!$A:$R,D$1,0)</f>
        <v>Y</v>
      </c>
      <c r="E400" s="80" t="str">
        <f>VLOOKUP($A400,'Выгр Кат'!$A:$R,E$1,0)</f>
        <v>0</v>
      </c>
      <c r="F400" s="80" t="str">
        <f>VLOOKUP($A400,'Выгр Кат'!$A:$R,F$1,0)</f>
        <v>0013G</v>
      </c>
      <c r="G400" s="80">
        <f>VLOOKUP($A400,'Выгр Кат'!$A:$R,G$1,0)</f>
        <v>0</v>
      </c>
      <c r="H400" s="67" t="s">
        <v>3</v>
      </c>
      <c r="I400" s="82">
        <v>0</v>
      </c>
      <c r="J400" s="5" t="e">
        <f>VLOOKUP(I400,Наценка!$A$1:$G$8,2,1)</f>
        <v>#N/A</v>
      </c>
      <c r="K400" s="86">
        <f>N400</f>
        <v>5690</v>
      </c>
      <c r="L400" s="70">
        <f>IF(K400&lt;=1000,(ROUNDUP(K400,-1)-1),(ROUNDUP(K400,-2)-10))</f>
        <v>5690</v>
      </c>
      <c r="M400" s="80">
        <f>VLOOKUP($A400,'Выгр Кат'!$A:$R,M$1,0)</f>
        <v>0</v>
      </c>
      <c r="N400" s="80">
        <f>VLOOKUP($A400,'Выгр Кат'!$A:$R,N$1,0)</f>
        <v>5690</v>
      </c>
      <c r="O400" s="28">
        <f>M400-I400</f>
        <v>0</v>
      </c>
      <c r="P400" s="28">
        <f>N400-L400</f>
        <v>0</v>
      </c>
      <c r="Q400" s="36">
        <f>IFERROR(L400*(1-$Q$2),"")</f>
        <v>5291.7</v>
      </c>
      <c r="R400" s="38" t="str">
        <f>IFERROR(VLOOKUP($A400,'Из Гугла'!$B:$G,6,0)*S400,VLOOKUP($A400,'Из Гугла'!$B:$G,6,0))</f>
        <v/>
      </c>
      <c r="S400" s="14">
        <v>1</v>
      </c>
      <c r="T400" s="83" t="str">
        <f>IFERROR(Q400/I400-1,"")</f>
        <v/>
      </c>
      <c r="U400" s="83" t="str">
        <f>IFERROR((W400-Q400)/W400,"")</f>
        <v/>
      </c>
      <c r="V400" s="83" t="str">
        <f>IFERROR(IF(W400="","",W400/I400-1),"")</f>
        <v/>
      </c>
      <c r="W400" s="94"/>
    </row>
    <row r="401" spans="1:23" ht="31.5" thickTop="1" thickBot="1" x14ac:dyDescent="0.3">
      <c r="A401" s="80">
        <v>145533</v>
      </c>
      <c r="B401" s="80">
        <f>VLOOKUP($A401,'Выгр Кат'!$A:$R,B$1,0)</f>
        <v>4949</v>
      </c>
      <c r="C401" s="81" t="str">
        <f>VLOOKUP($A401,'Выгр Кат'!$A:$R,C$1,0)</f>
        <v>Задние фонари "Зигзаг" для ВАЗ 2108-21099, 2113, 2114</v>
      </c>
      <c r="D401" s="80" t="str">
        <f>VLOOKUP($A401,'Выгр Кат'!$A:$R,D$1,0)</f>
        <v>Y</v>
      </c>
      <c r="E401" s="80" t="str">
        <f>VLOOKUP($A401,'Выгр Кат'!$A:$R,E$1,0)</f>
        <v>0</v>
      </c>
      <c r="F401" s="80" t="str">
        <f>VLOOKUP($A401,'Выгр Кат'!$A:$R,F$1,0)</f>
        <v>0013L</v>
      </c>
      <c r="G401" s="80">
        <f>VLOOKUP($A401,'Выгр Кат'!$A:$R,G$1,0)</f>
        <v>0</v>
      </c>
      <c r="H401" s="67" t="s">
        <v>3</v>
      </c>
      <c r="I401" s="82">
        <v>0</v>
      </c>
      <c r="J401" s="5" t="e">
        <f>VLOOKUP(I401,Наценка!$A$1:$G$8,2,1)</f>
        <v>#N/A</v>
      </c>
      <c r="K401" s="86">
        <f>N401</f>
        <v>5490</v>
      </c>
      <c r="L401" s="70">
        <f>IF(K401&lt;=1000,(ROUNDUP(K401,-1)-1),(ROUNDUP(K401,-2)-10))</f>
        <v>5490</v>
      </c>
      <c r="M401" s="80">
        <f>VLOOKUP($A401,'Выгр Кат'!$A:$R,M$1,0)</f>
        <v>0</v>
      </c>
      <c r="N401" s="80">
        <f>VLOOKUP($A401,'Выгр Кат'!$A:$R,N$1,0)</f>
        <v>5490</v>
      </c>
      <c r="O401" s="28">
        <f>M401-I401</f>
        <v>0</v>
      </c>
      <c r="P401" s="28">
        <f>N401-L401</f>
        <v>0</v>
      </c>
      <c r="Q401" s="36">
        <f>IFERROR(L401*(1-$Q$2),"")</f>
        <v>5105.7</v>
      </c>
      <c r="R401" s="38" t="str">
        <f>IFERROR(VLOOKUP($A401,'Из Гугла'!$B:$G,6,0)*S401,VLOOKUP($A401,'Из Гугла'!$B:$G,6,0))</f>
        <v/>
      </c>
      <c r="S401" s="14">
        <v>1</v>
      </c>
      <c r="T401" s="83" t="str">
        <f>IFERROR(Q401/I401-1,"")</f>
        <v/>
      </c>
      <c r="U401" s="83" t="str">
        <f>IFERROR((W401-Q401)/W401,"")</f>
        <v/>
      </c>
      <c r="V401" s="83" t="str">
        <f>IFERROR(IF(W401="","",W401/I401-1),"")</f>
        <v/>
      </c>
      <c r="W401" s="94"/>
    </row>
    <row r="402" spans="1:23" ht="46.5" thickTop="1" thickBot="1" x14ac:dyDescent="0.3">
      <c r="A402" s="80">
        <v>145528</v>
      </c>
      <c r="B402" s="80">
        <f>VLOOKUP($A402,'Выгр Кат'!$A:$R,B$1,0)</f>
        <v>4962</v>
      </c>
      <c r="C402" s="81" t="str">
        <f>VLOOKUP($A402,'Выгр Кат'!$A:$R,C$1,0)</f>
        <v>Задние фонари "Torino" тонированные для ВАЗ 2108-21099, 2113, 2114</v>
      </c>
      <c r="D402" s="80" t="str">
        <f>VLOOKUP($A402,'Выгр Кат'!$A:$R,D$1,0)</f>
        <v>Y</v>
      </c>
      <c r="E402" s="80" t="str">
        <f>VLOOKUP($A402,'Выгр Кат'!$A:$R,E$1,0)</f>
        <v>0</v>
      </c>
      <c r="F402" s="80" t="str">
        <f>VLOOKUP($A402,'Выгр Кат'!$A:$R,F$1,0)</f>
        <v>HY-200</v>
      </c>
      <c r="G402" s="80">
        <f>VLOOKUP($A402,'Выгр Кат'!$A:$R,G$1,0)</f>
        <v>0</v>
      </c>
      <c r="H402" s="67" t="s">
        <v>3</v>
      </c>
      <c r="I402" s="82">
        <v>0</v>
      </c>
      <c r="J402" s="5" t="e">
        <f>VLOOKUP(I402,Наценка!$A$1:$G$8,2,1)</f>
        <v>#N/A</v>
      </c>
      <c r="K402" s="86">
        <f>N402</f>
        <v>2290</v>
      </c>
      <c r="L402" s="70">
        <f>IF(K402&lt;=1000,(ROUNDUP(K402,-1)-1),(ROUNDUP(K402,-2)-10))</f>
        <v>2290</v>
      </c>
      <c r="M402" s="80">
        <f>VLOOKUP($A402,'Выгр Кат'!$A:$R,M$1,0)</f>
        <v>0</v>
      </c>
      <c r="N402" s="80">
        <f>VLOOKUP($A402,'Выгр Кат'!$A:$R,N$1,0)</f>
        <v>2290</v>
      </c>
      <c r="O402" s="28">
        <f>M402-I402</f>
        <v>0</v>
      </c>
      <c r="P402" s="28">
        <f>N402-L402</f>
        <v>0</v>
      </c>
      <c r="Q402" s="36">
        <f>IFERROR(L402*(1-$Q$2),"")</f>
        <v>2129.6999999999998</v>
      </c>
      <c r="R402" s="38" t="str">
        <f>IFERROR(VLOOKUP($A402,'Из Гугла'!$B:$G,6,0)*S402,VLOOKUP($A402,'Из Гугла'!$B:$G,6,0))</f>
        <v/>
      </c>
      <c r="S402" s="14">
        <v>1</v>
      </c>
      <c r="T402" s="83" t="str">
        <f>IFERROR(Q402/I402-1,"")</f>
        <v/>
      </c>
      <c r="U402" s="83" t="str">
        <f>IFERROR((W402-Q402)/W402,"")</f>
        <v/>
      </c>
      <c r="V402" s="83" t="str">
        <f>IFERROR(IF(W402="","",W402/I402-1),"")</f>
        <v/>
      </c>
      <c r="W402" s="94"/>
    </row>
    <row r="403" spans="1:23" ht="31.5" thickTop="1" thickBot="1" x14ac:dyDescent="0.3">
      <c r="A403" s="80">
        <v>145561</v>
      </c>
      <c r="B403" s="80">
        <f>VLOOKUP($A403,'Выгр Кат'!$A:$R,B$1,0)</f>
        <v>4967</v>
      </c>
      <c r="C403" s="81" t="str">
        <f>VLOOKUP($A403,'Выгр Кат'!$A:$R,C$1,0)</f>
        <v>Задние фонари диодные для ВАЗ 2108-21099, 2113, 2114</v>
      </c>
      <c r="D403" s="80" t="str">
        <f>VLOOKUP($A403,'Выгр Кат'!$A:$R,D$1,0)</f>
        <v>Y</v>
      </c>
      <c r="E403" s="80" t="str">
        <f>VLOOKUP($A403,'Выгр Кат'!$A:$R,E$1,0)</f>
        <v>0</v>
      </c>
      <c r="F403" s="80" t="str">
        <f>VLOOKUP($A403,'Выгр Кат'!$A:$R,F$1,0)</f>
        <v>0013D</v>
      </c>
      <c r="G403" s="80">
        <f>VLOOKUP($A403,'Выгр Кат'!$A:$R,G$1,0)</f>
        <v>0</v>
      </c>
      <c r="H403" s="67" t="s">
        <v>3</v>
      </c>
      <c r="I403" s="82">
        <v>0</v>
      </c>
      <c r="J403" s="5" t="e">
        <f>VLOOKUP(I403,Наценка!$A$1:$G$8,2,1)</f>
        <v>#N/A</v>
      </c>
      <c r="K403" s="86">
        <f>N403</f>
        <v>5690</v>
      </c>
      <c r="L403" s="70">
        <f>IF(K403&lt;=1000,(ROUNDUP(K403,-1)-1),(ROUNDUP(K403,-2)-10))</f>
        <v>5690</v>
      </c>
      <c r="M403" s="80">
        <f>VLOOKUP($A403,'Выгр Кат'!$A:$R,M$1,0)</f>
        <v>0</v>
      </c>
      <c r="N403" s="80">
        <f>VLOOKUP($A403,'Выгр Кат'!$A:$R,N$1,0)</f>
        <v>5690</v>
      </c>
      <c r="O403" s="28">
        <f>M403-I403</f>
        <v>0</v>
      </c>
      <c r="P403" s="28">
        <f>N403-L403</f>
        <v>0</v>
      </c>
      <c r="Q403" s="36">
        <f>IFERROR(L403*(1-$Q$2),"")</f>
        <v>5291.7</v>
      </c>
      <c r="R403" s="38" t="str">
        <f>IFERROR(VLOOKUP($A403,'Из Гугла'!$B:$G,6,0)*S403,VLOOKUP($A403,'Из Гугла'!$B:$G,6,0))</f>
        <v/>
      </c>
      <c r="S403" s="14">
        <v>1</v>
      </c>
      <c r="T403" s="83" t="str">
        <f>IFERROR(Q403/I403-1,"")</f>
        <v/>
      </c>
      <c r="U403" s="83" t="str">
        <f>IFERROR((W403-Q403)/W403,"")</f>
        <v/>
      </c>
      <c r="V403" s="83" t="str">
        <f>IFERROR(IF(W403="","",W403/I403-1),"")</f>
        <v/>
      </c>
      <c r="W403" s="94"/>
    </row>
    <row r="404" spans="1:23" ht="31.5" thickTop="1" thickBot="1" x14ac:dyDescent="0.3">
      <c r="A404" s="80">
        <v>145574</v>
      </c>
      <c r="B404" s="80">
        <f>VLOOKUP($A404,'Выгр Кат'!$A:$R,B$1,0)</f>
        <v>4978</v>
      </c>
      <c r="C404" s="81" t="str">
        <f>VLOOKUP($A404,'Выгр Кат'!$A:$R,C$1,0)</f>
        <v>Задние фонари с чёрной полосой для ВАЗ 2108-21099, 2113, 2114</v>
      </c>
      <c r="D404" s="80" t="str">
        <f>VLOOKUP($A404,'Выгр Кат'!$A:$R,D$1,0)</f>
        <v>Y</v>
      </c>
      <c r="E404" s="80" t="str">
        <f>VLOOKUP($A404,'Выгр Кат'!$A:$R,E$1,0)</f>
        <v>0</v>
      </c>
      <c r="F404" s="80">
        <f>VLOOKUP($A404,'Выгр Кат'!$A:$R,F$1,0)</f>
        <v>0</v>
      </c>
      <c r="G404" s="80">
        <f>VLOOKUP($A404,'Выгр Кат'!$A:$R,G$1,0)</f>
        <v>0</v>
      </c>
      <c r="H404" s="67" t="s">
        <v>3</v>
      </c>
      <c r="I404" s="82">
        <v>0</v>
      </c>
      <c r="J404" s="5" t="e">
        <f>VLOOKUP(I404,Наценка!$A$1:$G$8,2,1)</f>
        <v>#N/A</v>
      </c>
      <c r="K404" s="31">
        <f>N404</f>
        <v>2290</v>
      </c>
      <c r="L404" s="70">
        <f>IF(K404&lt;=1000,(ROUNDUP(K404,-1)-1),(ROUNDUP(K404,-2)-10))</f>
        <v>2290</v>
      </c>
      <c r="M404" s="80">
        <f>VLOOKUP($A404,'Выгр Кат'!$A:$R,M$1,0)</f>
        <v>0</v>
      </c>
      <c r="N404" s="80">
        <f>VLOOKUP($A404,'Выгр Кат'!$A:$R,N$1,0)</f>
        <v>2290</v>
      </c>
      <c r="O404" s="28">
        <f>M404-I404</f>
        <v>0</v>
      </c>
      <c r="P404" s="28">
        <f>N404-L404</f>
        <v>0</v>
      </c>
      <c r="Q404" s="36">
        <f>IFERROR(L404*(1-$Q$2),"")</f>
        <v>2129.6999999999998</v>
      </c>
      <c r="R404" s="38" t="str">
        <f>IFERROR(VLOOKUP($A404,'Из Гугла'!$B:$G,6,0)*S404,VLOOKUP($A404,'Из Гугла'!$B:$G,6,0))</f>
        <v/>
      </c>
      <c r="S404" s="14">
        <v>1</v>
      </c>
      <c r="T404" s="83" t="str">
        <f>IFERROR(Q404/I404-1,"")</f>
        <v/>
      </c>
      <c r="U404" s="83" t="str">
        <f>IFERROR((W404-Q404)/W404,"")</f>
        <v/>
      </c>
      <c r="V404" s="83" t="str">
        <f>IFERROR(IF(W404="","",W404/I404-1),"")</f>
        <v/>
      </c>
      <c r="W404" s="94"/>
    </row>
    <row r="405" spans="1:23" ht="46.5" thickTop="1" thickBot="1" x14ac:dyDescent="0.3">
      <c r="A405" s="80">
        <v>187493</v>
      </c>
      <c r="B405" s="80">
        <f>VLOOKUP($A405,'Выгр Кат'!$A:$R,B$1,0)</f>
        <v>5097</v>
      </c>
      <c r="C405" s="81" t="str">
        <f>VLOOKUP($A405,'Выгр Кат'!$A:$R,C$1,0)</f>
        <v>Передние фары с ангельскими глазками (хром) для ВАЗ 2104, 2105, 2107</v>
      </c>
      <c r="D405" s="80" t="str">
        <f>VLOOKUP($A405,'Выгр Кат'!$A:$R,D$1,0)</f>
        <v>Y</v>
      </c>
      <c r="E405" s="80" t="str">
        <f>VLOOKUP($A405,'Выгр Кат'!$A:$R,E$1,0)</f>
        <v>0</v>
      </c>
      <c r="F405" s="80">
        <f>VLOOKUP($A405,'Выгр Кат'!$A:$R,F$1,0)</f>
        <v>0</v>
      </c>
      <c r="G405" s="80">
        <f>VLOOKUP($A405,'Выгр Кат'!$A:$R,G$1,0)</f>
        <v>0</v>
      </c>
      <c r="H405" s="67" t="s">
        <v>3</v>
      </c>
      <c r="I405" s="82">
        <v>0</v>
      </c>
      <c r="J405" s="5" t="e">
        <f>VLOOKUP(I405,Наценка!$A$1:$G$8,2,1)</f>
        <v>#N/A</v>
      </c>
      <c r="K405" s="86">
        <f>N405</f>
        <v>5190</v>
      </c>
      <c r="L405" s="70">
        <f>IF(K405&lt;=1000,(ROUNDUP(K405,-1)-1),(ROUNDUP(K405,-2)-10))</f>
        <v>5190</v>
      </c>
      <c r="M405" s="80">
        <f>VLOOKUP($A405,'Выгр Кат'!$A:$R,M$1,0)</f>
        <v>0</v>
      </c>
      <c r="N405" s="80">
        <f>VLOOKUP($A405,'Выгр Кат'!$A:$R,N$1,0)</f>
        <v>5190</v>
      </c>
      <c r="O405" s="28">
        <f>M405-I405</f>
        <v>0</v>
      </c>
      <c r="P405" s="28">
        <f>N405-L405</f>
        <v>0</v>
      </c>
      <c r="Q405" s="36">
        <f>IFERROR(L405*(1-$Q$2),"")</f>
        <v>4826.7</v>
      </c>
      <c r="R405" s="38" t="str">
        <f>IFERROR(VLOOKUP($A405,'Из Гугла'!$B:$G,6,0)*S405,VLOOKUP($A405,'Из Гугла'!$B:$G,6,0))</f>
        <v/>
      </c>
      <c r="S405" s="14">
        <v>1</v>
      </c>
      <c r="T405" s="83" t="str">
        <f>IFERROR(Q405/I405-1,"")</f>
        <v/>
      </c>
      <c r="U405" s="83" t="str">
        <f>IFERROR((W405-Q405)/W405,"")</f>
        <v/>
      </c>
      <c r="V405" s="83" t="str">
        <f>IFERROR(IF(W405="","",W405/I405-1),"")</f>
        <v/>
      </c>
      <c r="W405" s="94"/>
    </row>
    <row r="406" spans="1:23" ht="31.5" thickTop="1" thickBot="1" x14ac:dyDescent="0.3">
      <c r="A406" s="80">
        <v>145580</v>
      </c>
      <c r="B406" s="80">
        <f>VLOOKUP($A406,'Выгр Кат'!$A:$R,B$1,0)</f>
        <v>5107</v>
      </c>
      <c r="C406" s="81" t="str">
        <f>VLOOKUP($A406,'Выгр Кат'!$A:$R,C$1,0)</f>
        <v>Задние фонари светодиодные, тонированные для ВАЗ 2106</v>
      </c>
      <c r="D406" s="80" t="str">
        <f>VLOOKUP($A406,'Выгр Кат'!$A:$R,D$1,0)</f>
        <v>Y</v>
      </c>
      <c r="E406" s="80" t="str">
        <f>VLOOKUP($A406,'Выгр Кат'!$A:$R,E$1,0)</f>
        <v>0</v>
      </c>
      <c r="F406" s="80">
        <f>VLOOKUP($A406,'Выгр Кат'!$A:$R,F$1,0)</f>
        <v>0</v>
      </c>
      <c r="G406" s="80">
        <f>VLOOKUP($A406,'Выгр Кат'!$A:$R,G$1,0)</f>
        <v>0</v>
      </c>
      <c r="H406" s="67" t="s">
        <v>3</v>
      </c>
      <c r="I406" s="82">
        <v>0</v>
      </c>
      <c r="J406" s="5" t="e">
        <f>VLOOKUP(I406,Наценка!$A$1:$G$8,2,1)</f>
        <v>#N/A</v>
      </c>
      <c r="K406" s="31">
        <f>N406</f>
        <v>3390</v>
      </c>
      <c r="L406" s="70">
        <f>IF(K406&lt;=1000,(ROUNDUP(K406,-1)-1),(ROUNDUP(K406,-2)-10))</f>
        <v>3390</v>
      </c>
      <c r="M406" s="80">
        <f>VLOOKUP($A406,'Выгр Кат'!$A:$R,M$1,0)</f>
        <v>0</v>
      </c>
      <c r="N406" s="80">
        <f>VLOOKUP($A406,'Выгр Кат'!$A:$R,N$1,0)</f>
        <v>3390</v>
      </c>
      <c r="O406" s="28">
        <f>M406-I406</f>
        <v>0</v>
      </c>
      <c r="P406" s="28">
        <f>N406-L406</f>
        <v>0</v>
      </c>
      <c r="Q406" s="36">
        <f>IFERROR(L406*(1-$Q$2),"")</f>
        <v>3152.7</v>
      </c>
      <c r="R406" s="38" t="str">
        <f>IFERROR(VLOOKUP($A406,'Из Гугла'!$B:$G,6,0)*S406,VLOOKUP($A406,'Из Гугла'!$B:$G,6,0))</f>
        <v/>
      </c>
      <c r="S406" s="14">
        <v>1</v>
      </c>
      <c r="T406" s="83" t="str">
        <f>IFERROR(Q406/I406-1,"")</f>
        <v/>
      </c>
      <c r="U406" s="83" t="str">
        <f>IFERROR((W406-Q406)/W406,"")</f>
        <v/>
      </c>
      <c r="V406" s="83" t="str">
        <f>IFERROR(IF(W406="","",W406/I406-1),"")</f>
        <v/>
      </c>
      <c r="W406" s="94"/>
    </row>
    <row r="407" spans="1:23" ht="31.5" thickTop="1" thickBot="1" x14ac:dyDescent="0.3">
      <c r="A407" s="80">
        <v>162827</v>
      </c>
      <c r="B407" s="80">
        <f>VLOOKUP($A407,'Выгр Кат'!$A:$R,B$1,0)</f>
        <v>5119</v>
      </c>
      <c r="C407" s="81" t="str">
        <f>VLOOKUP($A407,'Выгр Кат'!$A:$R,C$1,0)</f>
        <v>Ксенон "MaxLight"</v>
      </c>
      <c r="D407" s="80" t="str">
        <f>VLOOKUP($A407,'Выгр Кат'!$A:$R,D$1,0)</f>
        <v>Y</v>
      </c>
      <c r="E407" s="80" t="str">
        <f>VLOOKUP($A407,'Выгр Кат'!$A:$R,E$1,0)</f>
        <v>0</v>
      </c>
      <c r="F407" s="80">
        <f>VLOOKUP($A407,'Выгр Кат'!$A:$R,F$1,0)</f>
        <v>0</v>
      </c>
      <c r="G407" s="80">
        <f>VLOOKUP($A407,'Выгр Кат'!$A:$R,G$1,0)</f>
        <v>0</v>
      </c>
      <c r="H407" s="67" t="s">
        <v>3</v>
      </c>
      <c r="I407" s="82">
        <v>0</v>
      </c>
      <c r="J407" s="5" t="e">
        <f>VLOOKUP(I407,Наценка!$A$1:$G$8,2,1)</f>
        <v>#N/A</v>
      </c>
      <c r="K407" s="86">
        <f>N407</f>
        <v>2290</v>
      </c>
      <c r="L407" s="70">
        <f>IF(K407&lt;=1000,(ROUNDUP(K407,-1)-1),(ROUNDUP(K407,-2)-10))</f>
        <v>2290</v>
      </c>
      <c r="M407" s="80">
        <f>VLOOKUP($A407,'Выгр Кат'!$A:$R,M$1,0)</f>
        <v>0</v>
      </c>
      <c r="N407" s="80">
        <f>VLOOKUP($A407,'Выгр Кат'!$A:$R,N$1,0)</f>
        <v>2290</v>
      </c>
      <c r="O407" s="28">
        <f>M407-I407</f>
        <v>0</v>
      </c>
      <c r="P407" s="28">
        <f>N407-L407</f>
        <v>0</v>
      </c>
      <c r="Q407" s="36">
        <f>IFERROR(L407*(1-$Q$2),"")</f>
        <v>2129.6999999999998</v>
      </c>
      <c r="R407" s="38" t="str">
        <f>IFERROR(VLOOKUP($A407,'Из Гугла'!$B:$G,6,0)*S407,VLOOKUP($A407,'Из Гугла'!$B:$G,6,0))</f>
        <v/>
      </c>
      <c r="S407" s="14">
        <v>1</v>
      </c>
      <c r="T407" s="83" t="str">
        <f>IFERROR(Q407/I407-1,"")</f>
        <v/>
      </c>
      <c r="U407" s="83" t="str">
        <f>IFERROR((W407-Q407)/W407,"")</f>
        <v/>
      </c>
      <c r="V407" s="83" t="str">
        <f>IFERROR(IF(W407="","",W407/I407-1),"")</f>
        <v/>
      </c>
      <c r="W407" s="94"/>
    </row>
    <row r="408" spans="1:23" ht="31.5" thickTop="1" thickBot="1" x14ac:dyDescent="0.3">
      <c r="A408" s="80">
        <v>223119</v>
      </c>
      <c r="B408" s="80">
        <f>VLOOKUP($A408,'Выгр Кат'!$A:$R,B$1,0)</f>
        <v>5506</v>
      </c>
      <c r="C408" s="81" t="str">
        <f>VLOOKUP($A408,'Выгр Кат'!$A:$R,C$1,0)</f>
        <v>Универсальный звуковой сигнал MrHorn MR-80-003</v>
      </c>
      <c r="D408" s="80" t="str">
        <f>VLOOKUP($A408,'Выгр Кат'!$A:$R,D$1,0)</f>
        <v>Y</v>
      </c>
      <c r="E408" s="80" t="str">
        <f>VLOOKUP($A408,'Выгр Кат'!$A:$R,E$1,0)</f>
        <v>0</v>
      </c>
      <c r="F408" s="80" t="str">
        <f>VLOOKUP($A408,'Выгр Кат'!$A:$R,F$1,0)</f>
        <v>MR-80-003</v>
      </c>
      <c r="G408" s="80">
        <f>VLOOKUP($A408,'Выгр Кат'!$A:$R,G$1,0)</f>
        <v>0</v>
      </c>
      <c r="H408" s="67" t="s">
        <v>3</v>
      </c>
      <c r="I408" s="82">
        <v>0</v>
      </c>
      <c r="J408" s="5" t="e">
        <f>VLOOKUP(I408,Наценка!$A$1:$G$8,2,1)</f>
        <v>#N/A</v>
      </c>
      <c r="K408" s="86">
        <f>N408</f>
        <v>689</v>
      </c>
      <c r="L408" s="70">
        <f>IF(K408&lt;=1000,(ROUNDUP(K408,-1)-1),(ROUNDUP(K408,-2)-10))</f>
        <v>689</v>
      </c>
      <c r="M408" s="80">
        <f>VLOOKUP($A408,'Выгр Кат'!$A:$R,M$1,0)</f>
        <v>0</v>
      </c>
      <c r="N408" s="80">
        <f>VLOOKUP($A408,'Выгр Кат'!$A:$R,N$1,0)</f>
        <v>689</v>
      </c>
      <c r="O408" s="28">
        <f>M408-I408</f>
        <v>0</v>
      </c>
      <c r="P408" s="28">
        <f>N408-L408</f>
        <v>0</v>
      </c>
      <c r="Q408" s="36">
        <f>IFERROR(L408*(1-$Q$2),"")</f>
        <v>640.77</v>
      </c>
      <c r="R408" s="38" t="str">
        <f>IFERROR(VLOOKUP($A408,'Из Гугла'!$B:$G,6,0)*S408,VLOOKUP($A408,'Из Гугла'!$B:$G,6,0))</f>
        <v/>
      </c>
      <c r="S408" s="14">
        <v>1</v>
      </c>
      <c r="T408" s="83" t="str">
        <f>IFERROR(Q408/I408-1,"")</f>
        <v/>
      </c>
      <c r="U408" s="83" t="str">
        <f>IFERROR((W408-Q408)/W408,"")</f>
        <v/>
      </c>
      <c r="V408" s="83" t="str">
        <f>IFERROR(IF(W408="","",W408/I408-1),"")</f>
        <v/>
      </c>
      <c r="W408" s="94" t="s">
        <v>1269</v>
      </c>
    </row>
    <row r="409" spans="1:23" ht="46.5" thickTop="1" thickBot="1" x14ac:dyDescent="0.3">
      <c r="A409" s="80">
        <v>138537</v>
      </c>
      <c r="B409" s="80">
        <f>VLOOKUP($A409,'Выгр Кат'!$A:$R,B$1,0)</f>
        <v>7449</v>
      </c>
      <c r="C409" s="81" t="str">
        <f>VLOOKUP($A409,'Выгр Кат'!$A:$R,C$1,0)</f>
        <v>Боковые зеркала (3286) карбон с повторителем для ВАЗ 2108-21099, 2113-2115</v>
      </c>
      <c r="D409" s="80" t="str">
        <f>VLOOKUP($A409,'Выгр Кат'!$A:$R,D$1,0)</f>
        <v>Y</v>
      </c>
      <c r="E409" s="80" t="str">
        <f>VLOOKUP($A409,'Выгр Кат'!$A:$R,E$1,0)</f>
        <v>0</v>
      </c>
      <c r="F409" s="80">
        <f>VLOOKUP($A409,'Выгр Кат'!$A:$R,F$1,0)</f>
        <v>0</v>
      </c>
      <c r="G409" s="80">
        <f>VLOOKUP($A409,'Выгр Кат'!$A:$R,G$1,0)</f>
        <v>0</v>
      </c>
      <c r="H409" s="67" t="s">
        <v>3</v>
      </c>
      <c r="I409" s="82">
        <v>0</v>
      </c>
      <c r="J409" s="5" t="e">
        <f>VLOOKUP(I409,Наценка!$A$1:$G$8,2,1)</f>
        <v>#N/A</v>
      </c>
      <c r="K409" s="86">
        <f>N409</f>
        <v>1490</v>
      </c>
      <c r="L409" s="70">
        <f>IF(K409&lt;=1000,(ROUNDUP(K409,-1)-1),(ROUNDUP(K409,-2)-10))</f>
        <v>1490</v>
      </c>
      <c r="M409" s="80">
        <f>VLOOKUP($A409,'Выгр Кат'!$A:$R,M$1,0)</f>
        <v>0</v>
      </c>
      <c r="N409" s="80">
        <f>VLOOKUP($A409,'Выгр Кат'!$A:$R,N$1,0)</f>
        <v>1490</v>
      </c>
      <c r="O409" s="28">
        <f>M409-I409</f>
        <v>0</v>
      </c>
      <c r="P409" s="28">
        <f>N409-L409</f>
        <v>0</v>
      </c>
      <c r="Q409" s="36">
        <f>IFERROR(L409*(1-$Q$2),"")</f>
        <v>1385.6999999999998</v>
      </c>
      <c r="R409" s="38" t="str">
        <f>IFERROR(VLOOKUP($A409,'Из Гугла'!$B:$G,6,0)*S409,VLOOKUP($A409,'Из Гугла'!$B:$G,6,0))</f>
        <v/>
      </c>
      <c r="S409" s="14">
        <v>1</v>
      </c>
      <c r="T409" s="83" t="str">
        <f>IFERROR(Q409/I409-1,"")</f>
        <v/>
      </c>
      <c r="U409" s="83" t="str">
        <f>IFERROR((W409-Q409)/W409,"")</f>
        <v/>
      </c>
      <c r="V409" s="83" t="str">
        <f>IFERROR(IF(W409="","",W409/I409-1),"")</f>
        <v/>
      </c>
      <c r="W409" s="94"/>
    </row>
    <row r="410" spans="1:23" ht="46.5" thickTop="1" thickBot="1" x14ac:dyDescent="0.3">
      <c r="A410" s="80">
        <v>138485</v>
      </c>
      <c r="B410" s="80">
        <f>VLOOKUP($A410,'Выгр Кат'!$A:$R,B$1,0)</f>
        <v>7458</v>
      </c>
      <c r="C410" s="81" t="str">
        <f>VLOOKUP($A410,'Выгр Кат'!$A:$R,C$1,0)</f>
        <v>Боковые зеркала «3245» (карбон, c повторителем) на ВАЗ 2108-21099, 2113-2115</v>
      </c>
      <c r="D410" s="80" t="str">
        <f>VLOOKUP($A410,'Выгр Кат'!$A:$R,D$1,0)</f>
        <v>Y</v>
      </c>
      <c r="E410" s="80" t="str">
        <f>VLOOKUP($A410,'Выгр Кат'!$A:$R,E$1,0)</f>
        <v>0</v>
      </c>
      <c r="F410" s="80">
        <f>VLOOKUP($A410,'Выгр Кат'!$A:$R,F$1,0)</f>
        <v>0</v>
      </c>
      <c r="G410" s="80">
        <f>VLOOKUP($A410,'Выгр Кат'!$A:$R,G$1,0)</f>
        <v>0</v>
      </c>
      <c r="H410" s="67" t="s">
        <v>3</v>
      </c>
      <c r="I410" s="82">
        <v>0</v>
      </c>
      <c r="J410" s="5" t="e">
        <f>VLOOKUP(I410,Наценка!$A$1:$G$8,2,1)</f>
        <v>#N/A</v>
      </c>
      <c r="K410" s="86">
        <f>N410</f>
        <v>1490</v>
      </c>
      <c r="L410" s="70">
        <f>IF(K410&lt;=1000,(ROUNDUP(K410,-1)-1),(ROUNDUP(K410,-2)-10))</f>
        <v>1490</v>
      </c>
      <c r="M410" s="80">
        <f>VLOOKUP($A410,'Выгр Кат'!$A:$R,M$1,0)</f>
        <v>0</v>
      </c>
      <c r="N410" s="80">
        <f>VLOOKUP($A410,'Выгр Кат'!$A:$R,N$1,0)</f>
        <v>1490</v>
      </c>
      <c r="O410" s="28">
        <f>M410-I410</f>
        <v>0</v>
      </c>
      <c r="P410" s="28">
        <f>N410-L410</f>
        <v>0</v>
      </c>
      <c r="Q410" s="36">
        <f>IFERROR(L410*(1-$Q$2),"")</f>
        <v>1385.6999999999998</v>
      </c>
      <c r="R410" s="38" t="str">
        <f>IFERROR(VLOOKUP($A410,'Из Гугла'!$B:$G,6,0)*S410,VLOOKUP($A410,'Из Гугла'!$B:$G,6,0))</f>
        <v/>
      </c>
      <c r="S410" s="14">
        <v>1</v>
      </c>
      <c r="T410" s="83" t="str">
        <f>IFERROR(Q410/I410-1,"")</f>
        <v/>
      </c>
      <c r="U410" s="83" t="str">
        <f>IFERROR((W410-Q410)/W410,"")</f>
        <v/>
      </c>
      <c r="V410" s="83" t="str">
        <f>IFERROR(IF(W410="","",W410/I410-1),"")</f>
        <v/>
      </c>
      <c r="W410" s="94"/>
    </row>
    <row r="411" spans="1:23" ht="46.5" thickTop="1" thickBot="1" x14ac:dyDescent="0.3">
      <c r="A411" s="80">
        <v>138489</v>
      </c>
      <c r="B411" s="80">
        <f>VLOOKUP($A411,'Выгр Кат'!$A:$R,B$1,0)</f>
        <v>7460</v>
      </c>
      <c r="C411" s="81" t="str">
        <f>VLOOKUP($A411,'Выгр Кат'!$A:$R,C$1,0)</f>
        <v>Боковые зеркала «3246» (чёрные, c повторителем) для ВАЗ 2108-21099, 2113-2115</v>
      </c>
      <c r="D411" s="80" t="str">
        <f>VLOOKUP($A411,'Выгр Кат'!$A:$R,D$1,0)</f>
        <v>Y</v>
      </c>
      <c r="E411" s="80" t="str">
        <f>VLOOKUP($A411,'Выгр Кат'!$A:$R,E$1,0)</f>
        <v>0</v>
      </c>
      <c r="F411" s="80">
        <f>VLOOKUP($A411,'Выгр Кат'!$A:$R,F$1,0)</f>
        <v>0</v>
      </c>
      <c r="G411" s="80">
        <f>VLOOKUP($A411,'Выгр Кат'!$A:$R,G$1,0)</f>
        <v>0</v>
      </c>
      <c r="H411" s="67" t="s">
        <v>3</v>
      </c>
      <c r="I411" s="82">
        <v>0</v>
      </c>
      <c r="J411" s="5" t="e">
        <f>VLOOKUP(I411,Наценка!$A$1:$G$8,2,1)</f>
        <v>#N/A</v>
      </c>
      <c r="K411" s="86">
        <f>N411</f>
        <v>1490</v>
      </c>
      <c r="L411" s="70">
        <f>IF(K411&lt;=1000,(ROUNDUP(K411,-1)-1),(ROUNDUP(K411,-2)-10))</f>
        <v>1490</v>
      </c>
      <c r="M411" s="80">
        <f>VLOOKUP($A411,'Выгр Кат'!$A:$R,M$1,0)</f>
        <v>0</v>
      </c>
      <c r="N411" s="80">
        <f>VLOOKUP($A411,'Выгр Кат'!$A:$R,N$1,0)</f>
        <v>1490</v>
      </c>
      <c r="O411" s="28">
        <f>M411-I411</f>
        <v>0</v>
      </c>
      <c r="P411" s="28">
        <f>N411-L411</f>
        <v>0</v>
      </c>
      <c r="Q411" s="36">
        <f>IFERROR(L411*(1-$Q$2),"")</f>
        <v>1385.6999999999998</v>
      </c>
      <c r="R411" s="38" t="str">
        <f>IFERROR(VLOOKUP($A411,'Из Гугла'!$B:$G,6,0)*S411,VLOOKUP($A411,'Из Гугла'!$B:$G,6,0))</f>
        <v/>
      </c>
      <c r="S411" s="14">
        <v>1</v>
      </c>
      <c r="T411" s="83" t="str">
        <f>IFERROR(Q411/I411-1,"")</f>
        <v/>
      </c>
      <c r="U411" s="83" t="str">
        <f>IFERROR((W411-Q411)/W411,"")</f>
        <v/>
      </c>
      <c r="V411" s="83" t="str">
        <f>IFERROR(IF(W411="","",W411/I411-1),"")</f>
        <v/>
      </c>
      <c r="W411" s="94"/>
    </row>
    <row r="412" spans="1:23" ht="45.75" thickTop="1" x14ac:dyDescent="0.25">
      <c r="A412" s="80">
        <v>138488</v>
      </c>
      <c r="B412" s="80">
        <f>VLOOKUP($A412,'Выгр Кат'!$A:$R,B$1,0)</f>
        <v>7462</v>
      </c>
      <c r="C412" s="81" t="str">
        <f>VLOOKUP($A412,'Выгр Кат'!$A:$R,C$1,0)</f>
        <v>Боковые зеркала «3246» (хром, c повторителем) для ВАЗ 2108-21099, 2113-2115</v>
      </c>
      <c r="D412" s="80" t="str">
        <f>VLOOKUP($A412,'Выгр Кат'!$A:$R,D$1,0)</f>
        <v>Y</v>
      </c>
      <c r="E412" s="80" t="str">
        <f>VLOOKUP($A412,'Выгр Кат'!$A:$R,E$1,0)</f>
        <v>0</v>
      </c>
      <c r="F412" s="80">
        <f>VLOOKUP($A412,'Выгр Кат'!$A:$R,F$1,0)</f>
        <v>0</v>
      </c>
      <c r="G412" s="80">
        <f>VLOOKUP($A412,'Выгр Кат'!$A:$R,G$1,0)</f>
        <v>0</v>
      </c>
      <c r="H412" s="67" t="s">
        <v>3</v>
      </c>
      <c r="I412" s="82">
        <v>0</v>
      </c>
      <c r="J412" s="5" t="e">
        <f>VLOOKUP(I412,Наценка!$A$1:$G$8,2,1)</f>
        <v>#N/A</v>
      </c>
      <c r="K412" s="86">
        <f>N412</f>
        <v>1490</v>
      </c>
      <c r="L412" s="70">
        <f>IF(K412&lt;=1000,(ROUNDUP(K412,-1)-1),(ROUNDUP(K412,-2)-10))</f>
        <v>1490</v>
      </c>
      <c r="M412" s="80">
        <f>VLOOKUP($A412,'Выгр Кат'!$A:$R,M$1,0)</f>
        <v>0</v>
      </c>
      <c r="N412" s="80">
        <f>VLOOKUP($A412,'Выгр Кат'!$A:$R,N$1,0)</f>
        <v>1490</v>
      </c>
      <c r="O412" s="28">
        <f>M412-I412</f>
        <v>0</v>
      </c>
      <c r="P412" s="28">
        <f>N412-L412</f>
        <v>0</v>
      </c>
      <c r="Q412" s="36">
        <f>IFERROR(L412*(1-$Q$2),"")</f>
        <v>1385.6999999999998</v>
      </c>
      <c r="R412" s="38" t="str">
        <f>IFERROR(VLOOKUP($A412,'Из Гугла'!$B:$G,6,0)*S412,VLOOKUP($A412,'Из Гугла'!$B:$G,6,0))</f>
        <v/>
      </c>
      <c r="S412" s="14">
        <v>1</v>
      </c>
      <c r="T412" s="83" t="str">
        <f>IFERROR(Q412/I412-1,"")</f>
        <v/>
      </c>
      <c r="U412" s="83" t="str">
        <f>IFERROR((W412-Q412)/W412,"")</f>
        <v/>
      </c>
      <c r="V412" s="83" t="str">
        <f>IFERROR(IF(W412="","",W412/I412-1),"")</f>
        <v/>
      </c>
      <c r="W412" s="84"/>
    </row>
    <row r="413" spans="1:23" ht="30" x14ac:dyDescent="0.25">
      <c r="A413" s="80">
        <v>138491</v>
      </c>
      <c r="B413" s="80">
        <f>VLOOKUP($A413,'Выгр Кат'!$A:$R,B$1,0)</f>
        <v>7464</v>
      </c>
      <c r="C413" s="81" t="str">
        <f>VLOOKUP($A413,'Выгр Кат'!$A:$R,C$1,0)</f>
        <v>Боковые зеркала «3301» чёрные для ВАЗ 2108-21099, 2113-2115</v>
      </c>
      <c r="D413" s="80" t="str">
        <f>VLOOKUP($A413,'Выгр Кат'!$A:$R,D$1,0)</f>
        <v>Y</v>
      </c>
      <c r="E413" s="80" t="str">
        <f>VLOOKUP($A413,'Выгр Кат'!$A:$R,E$1,0)</f>
        <v>0</v>
      </c>
      <c r="F413" s="80">
        <f>VLOOKUP($A413,'Выгр Кат'!$A:$R,F$1,0)</f>
        <v>0</v>
      </c>
      <c r="G413" s="80">
        <f>VLOOKUP($A413,'Выгр Кат'!$A:$R,G$1,0)</f>
        <v>0</v>
      </c>
      <c r="H413" s="67" t="s">
        <v>3</v>
      </c>
      <c r="I413" s="82">
        <v>0</v>
      </c>
      <c r="J413" s="5" t="e">
        <f>VLOOKUP(I413,Наценка!$A$1:$G$8,2,1)</f>
        <v>#N/A</v>
      </c>
      <c r="K413" s="86">
        <f>N413</f>
        <v>1790</v>
      </c>
      <c r="L413" s="70">
        <f>IF(K413&lt;=1000,(ROUNDUP(K413,-1)-1),(ROUNDUP(K413,-2)-10))</f>
        <v>1790</v>
      </c>
      <c r="M413" s="80">
        <f>VLOOKUP($A413,'Выгр Кат'!$A:$R,M$1,0)</f>
        <v>0</v>
      </c>
      <c r="N413" s="80">
        <f>VLOOKUP($A413,'Выгр Кат'!$A:$R,N$1,0)</f>
        <v>1790</v>
      </c>
      <c r="O413" s="28">
        <f>M413-I413</f>
        <v>0</v>
      </c>
      <c r="P413" s="28">
        <f>N413-L413</f>
        <v>0</v>
      </c>
      <c r="Q413" s="36">
        <f>IFERROR(L413*(1-$Q$2),"")</f>
        <v>1664.6999999999998</v>
      </c>
      <c r="R413" s="38" t="str">
        <f>IFERROR(VLOOKUP($A413,'Из Гугла'!$B:$G,6,0)*S413,VLOOKUP($A413,'Из Гугла'!$B:$G,6,0))</f>
        <v/>
      </c>
      <c r="S413" s="14">
        <v>1</v>
      </c>
      <c r="T413" s="83" t="str">
        <f>IFERROR(Q413/I413-1,"")</f>
        <v/>
      </c>
      <c r="U413" s="83" t="str">
        <f>IFERROR((W413-Q413)/W413,"")</f>
        <v/>
      </c>
      <c r="V413" s="83" t="str">
        <f>IFERROR(IF(W413="","",W413/I413-1),"")</f>
        <v/>
      </c>
      <c r="W413" s="84"/>
    </row>
    <row r="414" spans="1:23" ht="30" x14ac:dyDescent="0.25">
      <c r="A414" s="80">
        <v>143818</v>
      </c>
      <c r="B414" s="80">
        <f>VLOOKUP($A414,'Выгр Кат'!$A:$R,B$1,0)</f>
        <v>8048</v>
      </c>
      <c r="C414" s="81" t="str">
        <f>VLOOKUP($A414,'Выгр Кат'!$A:$R,C$1,0)</f>
        <v>Диодный фонарь на балку 5527R, круглый (9х3 Вт)</v>
      </c>
      <c r="D414" s="80" t="str">
        <f>VLOOKUP($A414,'Выгр Кат'!$A:$R,D$1,0)</f>
        <v>Y</v>
      </c>
      <c r="E414" s="80" t="str">
        <f>VLOOKUP($A414,'Выгр Кат'!$A:$R,E$1,0)</f>
        <v>0</v>
      </c>
      <c r="F414" s="80" t="str">
        <f>VLOOKUP($A414,'Выгр Кат'!$A:$R,F$1,0)</f>
        <v>5527R</v>
      </c>
      <c r="G414" s="80">
        <f>VLOOKUP($A414,'Выгр Кат'!$A:$R,G$1,0)</f>
        <v>0</v>
      </c>
      <c r="H414" s="67" t="s">
        <v>3</v>
      </c>
      <c r="I414" s="82">
        <v>0</v>
      </c>
      <c r="J414" s="5" t="e">
        <f>VLOOKUP(I414,Наценка!$A$1:$G$8,2,1)</f>
        <v>#N/A</v>
      </c>
      <c r="K414" s="31">
        <f>N414</f>
        <v>1490</v>
      </c>
      <c r="L414" s="70">
        <f>IF(K414&lt;=1000,(ROUNDUP(K414,-1)-1),(ROUNDUP(K414,-2)-10))</f>
        <v>1490</v>
      </c>
      <c r="M414" s="80">
        <f>VLOOKUP($A414,'Выгр Кат'!$A:$R,M$1,0)</f>
        <v>0</v>
      </c>
      <c r="N414" s="80">
        <f>VLOOKUP($A414,'Выгр Кат'!$A:$R,N$1,0)</f>
        <v>1490</v>
      </c>
      <c r="O414" s="28">
        <f>M414-I414</f>
        <v>0</v>
      </c>
      <c r="P414" s="28">
        <f>N414-L414</f>
        <v>0</v>
      </c>
      <c r="Q414" s="36">
        <f>IFERROR(L414*(1-$Q$2),"")</f>
        <v>1385.6999999999998</v>
      </c>
      <c r="R414" s="38" t="str">
        <f>IFERROR(VLOOKUP($A414,'Из Гугла'!$B:$G,6,0)*S414,VLOOKUP($A414,'Из Гугла'!$B:$G,6,0))</f>
        <v/>
      </c>
      <c r="S414" s="14">
        <v>1</v>
      </c>
      <c r="T414" s="83" t="str">
        <f>IFERROR(Q414/I414-1,"")</f>
        <v/>
      </c>
      <c r="U414" s="83" t="str">
        <f>IFERROR((W414-Q414)/W414,"")</f>
        <v/>
      </c>
      <c r="V414" s="83" t="str">
        <f>IFERROR(IF(W414="","",W414/I414-1),"")</f>
        <v/>
      </c>
      <c r="W414" s="84"/>
    </row>
    <row r="415" spans="1:23" ht="30" x14ac:dyDescent="0.25">
      <c r="A415" s="80">
        <v>133345</v>
      </c>
      <c r="B415" s="80">
        <f>VLOOKUP($A415,'Выгр Кат'!$A:$R,B$1,0)</f>
        <v>8052</v>
      </c>
      <c r="C415" s="81" t="str">
        <f>VLOOKUP($A415,'Выгр Кат'!$A:$R,C$1,0)</f>
        <v>Балки с диодами PL-1210 (4*3 Вт, 2 шт.)</v>
      </c>
      <c r="D415" s="80" t="str">
        <f>VLOOKUP($A415,'Выгр Кат'!$A:$R,D$1,0)</f>
        <v>Y</v>
      </c>
      <c r="E415" s="80" t="str">
        <f>VLOOKUP($A415,'Выгр Кат'!$A:$R,E$1,0)</f>
        <v>0</v>
      </c>
      <c r="F415" s="80" t="str">
        <f>VLOOKUP($A415,'Выгр Кат'!$A:$R,F$1,0)</f>
        <v>PL-1210</v>
      </c>
      <c r="G415" s="80">
        <f>VLOOKUP($A415,'Выгр Кат'!$A:$R,G$1,0)</f>
        <v>0</v>
      </c>
      <c r="H415" s="67" t="s">
        <v>3</v>
      </c>
      <c r="I415" s="82">
        <v>0</v>
      </c>
      <c r="J415" s="5" t="e">
        <f>VLOOKUP(I415,Наценка!$A$1:$G$8,2,1)</f>
        <v>#N/A</v>
      </c>
      <c r="K415" s="86">
        <f>N415</f>
        <v>5290</v>
      </c>
      <c r="L415" s="70">
        <f>IF(K415&lt;=1000,(ROUNDUP(K415,-1)-1),(ROUNDUP(K415,-2)-10))</f>
        <v>5290</v>
      </c>
      <c r="M415" s="80">
        <f>VLOOKUP($A415,'Выгр Кат'!$A:$R,M$1,0)</f>
        <v>0</v>
      </c>
      <c r="N415" s="80">
        <f>VLOOKUP($A415,'Выгр Кат'!$A:$R,N$1,0)</f>
        <v>5290</v>
      </c>
      <c r="O415" s="28">
        <f>M415-I415</f>
        <v>0</v>
      </c>
      <c r="P415" s="28">
        <f>N415-L415</f>
        <v>0</v>
      </c>
      <c r="Q415" s="36">
        <f>IFERROR(L415*(1-$Q$2),"")</f>
        <v>4919.7</v>
      </c>
      <c r="R415" s="38" t="str">
        <f>IFERROR(VLOOKUP($A415,'Из Гугла'!$B:$G,6,0)*S415,VLOOKUP($A415,'Из Гугла'!$B:$G,6,0))</f>
        <v/>
      </c>
      <c r="S415" s="14">
        <v>1</v>
      </c>
      <c r="T415" s="83" t="str">
        <f>IFERROR(Q415/I415-1,"")</f>
        <v/>
      </c>
      <c r="U415" s="83" t="str">
        <f>IFERROR((W415-Q415)/W415,"")</f>
        <v/>
      </c>
      <c r="V415" s="83" t="str">
        <f>IFERROR(IF(W415="","",W415/I415-1),"")</f>
        <v/>
      </c>
      <c r="W415" s="84"/>
    </row>
    <row r="416" spans="1:23" ht="30" x14ac:dyDescent="0.25">
      <c r="A416" s="80">
        <v>133346</v>
      </c>
      <c r="B416" s="80">
        <f>VLOOKUP($A416,'Выгр Кат'!$A:$R,B$1,0)</f>
        <v>8053</v>
      </c>
      <c r="C416" s="81" t="str">
        <f>VLOOKUP($A416,'Выгр Кат'!$A:$R,C$1,0)</f>
        <v>Балки с диодами PL-1211 (4*3 Вт, 2 шт.)</v>
      </c>
      <c r="D416" s="80" t="str">
        <f>VLOOKUP($A416,'Выгр Кат'!$A:$R,D$1,0)</f>
        <v>Y</v>
      </c>
      <c r="E416" s="80" t="str">
        <f>VLOOKUP($A416,'Выгр Кат'!$A:$R,E$1,0)</f>
        <v>0</v>
      </c>
      <c r="F416" s="80" t="str">
        <f>VLOOKUP($A416,'Выгр Кат'!$A:$R,F$1,0)</f>
        <v>PL-1211</v>
      </c>
      <c r="G416" s="80">
        <f>VLOOKUP($A416,'Выгр Кат'!$A:$R,G$1,0)</f>
        <v>0</v>
      </c>
      <c r="H416" s="67" t="s">
        <v>3</v>
      </c>
      <c r="I416" s="82">
        <v>0</v>
      </c>
      <c r="J416" s="5" t="e">
        <f>VLOOKUP(I416,Наценка!$A$1:$G$8,2,1)</f>
        <v>#N/A</v>
      </c>
      <c r="K416" s="31">
        <f>N416</f>
        <v>5290</v>
      </c>
      <c r="L416" s="70">
        <f>IF(K416&lt;=1000,(ROUNDUP(K416,-1)-1),(ROUNDUP(K416,-2)-10))</f>
        <v>5290</v>
      </c>
      <c r="M416" s="80">
        <f>VLOOKUP($A416,'Выгр Кат'!$A:$R,M$1,0)</f>
        <v>0</v>
      </c>
      <c r="N416" s="80">
        <f>VLOOKUP($A416,'Выгр Кат'!$A:$R,N$1,0)</f>
        <v>5290</v>
      </c>
      <c r="O416" s="28">
        <f>M416-I416</f>
        <v>0</v>
      </c>
      <c r="P416" s="28">
        <f>N416-L416</f>
        <v>0</v>
      </c>
      <c r="Q416" s="36">
        <f>IFERROR(L416*(1-$Q$2),"")</f>
        <v>4919.7</v>
      </c>
      <c r="R416" s="38" t="str">
        <f>IFERROR(VLOOKUP($A416,'Из Гугла'!$B:$G,6,0)*S416,VLOOKUP($A416,'Из Гугла'!$B:$G,6,0))</f>
        <v/>
      </c>
      <c r="S416" s="14">
        <v>1</v>
      </c>
      <c r="T416" s="83" t="str">
        <f>IFERROR(Q416/I416-1,"")</f>
        <v/>
      </c>
      <c r="U416" s="83" t="str">
        <f>IFERROR((W416-Q416)/W416,"")</f>
        <v/>
      </c>
      <c r="V416" s="83" t="str">
        <f>IFERROR(IF(W416="","",W416/I416-1),"")</f>
        <v/>
      </c>
      <c r="W416" s="84"/>
    </row>
    <row r="417" spans="1:23" ht="30" x14ac:dyDescent="0.25">
      <c r="A417" s="80">
        <v>223082</v>
      </c>
      <c r="B417" s="80">
        <f>VLOOKUP($A417,'Выгр Кат'!$A:$R,B$1,0)</f>
        <v>8269</v>
      </c>
      <c r="C417" s="81" t="str">
        <f>VLOOKUP($A417,'Выгр Кат'!$A:$R,C$1,0)</f>
        <v>Универсальные ПТФ "DLAA" LA8080EW белые</v>
      </c>
      <c r="D417" s="80" t="str">
        <f>VLOOKUP($A417,'Выгр Кат'!$A:$R,D$1,0)</f>
        <v>Y</v>
      </c>
      <c r="E417" s="80" t="str">
        <f>VLOOKUP($A417,'Выгр Кат'!$A:$R,E$1,0)</f>
        <v>0</v>
      </c>
      <c r="F417" s="80" t="str">
        <f>VLOOKUP($A417,'Выгр Кат'!$A:$R,F$1,0)</f>
        <v>LA8080EW</v>
      </c>
      <c r="G417" s="80">
        <f>VLOOKUP($A417,'Выгр Кат'!$A:$R,G$1,0)</f>
        <v>0</v>
      </c>
      <c r="H417" s="67" t="s">
        <v>3</v>
      </c>
      <c r="I417" s="82">
        <v>0</v>
      </c>
      <c r="J417" s="5" t="e">
        <f>VLOOKUP(I417,Наценка!$A$1:$G$8,2,1)</f>
        <v>#N/A</v>
      </c>
      <c r="K417" s="86">
        <f>N417</f>
        <v>799</v>
      </c>
      <c r="L417" s="70">
        <f>IF(K417&lt;=1000,(ROUNDUP(K417,-1)-1),(ROUNDUP(K417,-2)-10))</f>
        <v>799</v>
      </c>
      <c r="M417" s="80">
        <f>VLOOKUP($A417,'Выгр Кат'!$A:$R,M$1,0)</f>
        <v>0</v>
      </c>
      <c r="N417" s="80">
        <f>VLOOKUP($A417,'Выгр Кат'!$A:$R,N$1,0)</f>
        <v>799</v>
      </c>
      <c r="O417" s="28">
        <f>M417-I417</f>
        <v>0</v>
      </c>
      <c r="P417" s="28">
        <f>N417-L417</f>
        <v>0</v>
      </c>
      <c r="Q417" s="36">
        <f>IFERROR(L417*(1-$Q$2),"")</f>
        <v>743.06999999999994</v>
      </c>
      <c r="R417" s="38" t="str">
        <f>IFERROR(VLOOKUP($A417,'Из Гугла'!$B:$G,6,0)*S417,VLOOKUP($A417,'Из Гугла'!$B:$G,6,0))</f>
        <v/>
      </c>
      <c r="S417" s="14">
        <v>1</v>
      </c>
      <c r="T417" s="83" t="str">
        <f>IFERROR(Q417/I417-1,"")</f>
        <v/>
      </c>
      <c r="U417" s="83" t="str">
        <f>IFERROR((W417-Q417)/W417,"")</f>
        <v/>
      </c>
      <c r="V417" s="83" t="str">
        <f>IFERROR(IF(W417="","",W417/I417-1),"")</f>
        <v/>
      </c>
      <c r="W417" s="84" t="s">
        <v>1269</v>
      </c>
    </row>
    <row r="418" spans="1:23" ht="30" x14ac:dyDescent="0.25">
      <c r="A418" s="80">
        <v>223081</v>
      </c>
      <c r="B418" s="80">
        <f>VLOOKUP($A418,'Выгр Кат'!$A:$R,B$1,0)</f>
        <v>8270</v>
      </c>
      <c r="C418" s="81" t="str">
        <f>VLOOKUP($A418,'Выгр Кат'!$A:$R,C$1,0)</f>
        <v>Универсальные ПТФ "DLAA" LA8080ERY лазер</v>
      </c>
      <c r="D418" s="80" t="str">
        <f>VLOOKUP($A418,'Выгр Кат'!$A:$R,D$1,0)</f>
        <v>Y</v>
      </c>
      <c r="E418" s="80" t="str">
        <f>VLOOKUP($A418,'Выгр Кат'!$A:$R,E$1,0)</f>
        <v>0</v>
      </c>
      <c r="F418" s="80" t="str">
        <f>VLOOKUP($A418,'Выгр Кат'!$A:$R,F$1,0)</f>
        <v>LA8080ERY</v>
      </c>
      <c r="G418" s="80">
        <f>VLOOKUP($A418,'Выгр Кат'!$A:$R,G$1,0)</f>
        <v>0</v>
      </c>
      <c r="H418" s="67" t="s">
        <v>3</v>
      </c>
      <c r="I418" s="82">
        <v>0</v>
      </c>
      <c r="J418" s="5" t="e">
        <f>VLOOKUP(I418,Наценка!$A$1:$G$8,2,1)</f>
        <v>#N/A</v>
      </c>
      <c r="K418" s="86">
        <f>N418</f>
        <v>799</v>
      </c>
      <c r="L418" s="70">
        <f>IF(K418&lt;=1000,(ROUNDUP(K418,-1)-1),(ROUNDUP(K418,-2)-10))</f>
        <v>799</v>
      </c>
      <c r="M418" s="80">
        <f>VLOOKUP($A418,'Выгр Кат'!$A:$R,M$1,0)</f>
        <v>0</v>
      </c>
      <c r="N418" s="80">
        <f>VLOOKUP($A418,'Выгр Кат'!$A:$R,N$1,0)</f>
        <v>799</v>
      </c>
      <c r="O418" s="28">
        <f>M418-I418</f>
        <v>0</v>
      </c>
      <c r="P418" s="28">
        <f>N418-L418</f>
        <v>0</v>
      </c>
      <c r="Q418" s="36">
        <f>IFERROR(L418*(1-$Q$2),"")</f>
        <v>743.06999999999994</v>
      </c>
      <c r="R418" s="38" t="str">
        <f>IFERROR(VLOOKUP($A418,'Из Гугла'!$B:$G,6,0)*S418,VLOOKUP($A418,'Из Гугла'!$B:$G,6,0))</f>
        <v/>
      </c>
      <c r="S418" s="14">
        <v>1</v>
      </c>
      <c r="T418" s="83" t="str">
        <f>IFERROR(Q418/I418-1,"")</f>
        <v/>
      </c>
      <c r="U418" s="83" t="str">
        <f>IFERROR((W418-Q418)/W418,"")</f>
        <v/>
      </c>
      <c r="V418" s="83" t="str">
        <f>IFERROR(IF(W418="","",W418/I418-1),"")</f>
        <v/>
      </c>
      <c r="W418" s="84" t="s">
        <v>1269</v>
      </c>
    </row>
    <row r="419" spans="1:23" ht="30" x14ac:dyDescent="0.25">
      <c r="A419" s="80">
        <v>223084</v>
      </c>
      <c r="B419" s="80">
        <f>VLOOKUP($A419,'Выгр Кат'!$A:$R,B$1,0)</f>
        <v>8271</v>
      </c>
      <c r="C419" s="81" t="str">
        <f>VLOOKUP($A419,'Выгр Кат'!$A:$R,C$1,0)</f>
        <v>Универсальные ПТФ "DLAA" LA8813W белые</v>
      </c>
      <c r="D419" s="80" t="str">
        <f>VLOOKUP($A419,'Выгр Кат'!$A:$R,D$1,0)</f>
        <v>Y</v>
      </c>
      <c r="E419" s="80" t="str">
        <f>VLOOKUP($A419,'Выгр Кат'!$A:$R,E$1,0)</f>
        <v>0</v>
      </c>
      <c r="F419" s="80" t="str">
        <f>VLOOKUP($A419,'Выгр Кат'!$A:$R,F$1,0)</f>
        <v>LA8813W</v>
      </c>
      <c r="G419" s="80">
        <f>VLOOKUP($A419,'Выгр Кат'!$A:$R,G$1,0)</f>
        <v>0</v>
      </c>
      <c r="H419" s="67" t="s">
        <v>3</v>
      </c>
      <c r="I419" s="82">
        <v>0</v>
      </c>
      <c r="J419" s="5" t="e">
        <f>VLOOKUP(I419,Наценка!$A$1:$G$8,2,1)</f>
        <v>#N/A</v>
      </c>
      <c r="K419" s="86">
        <f>N419</f>
        <v>799</v>
      </c>
      <c r="L419" s="70">
        <f>IF(K419&lt;=1000,(ROUNDUP(K419,-1)-1),(ROUNDUP(K419,-2)-10))</f>
        <v>799</v>
      </c>
      <c r="M419" s="80">
        <f>VLOOKUP($A419,'Выгр Кат'!$A:$R,M$1,0)</f>
        <v>0</v>
      </c>
      <c r="N419" s="80">
        <f>VLOOKUP($A419,'Выгр Кат'!$A:$R,N$1,0)</f>
        <v>799</v>
      </c>
      <c r="O419" s="28">
        <f>M419-I419</f>
        <v>0</v>
      </c>
      <c r="P419" s="28">
        <f>N419-L419</f>
        <v>0</v>
      </c>
      <c r="Q419" s="36">
        <f>IFERROR(L419*(1-$Q$2),"")</f>
        <v>743.06999999999994</v>
      </c>
      <c r="R419" s="38" t="str">
        <f>IFERROR(VLOOKUP($A419,'Из Гугла'!$B:$G,6,0)*S419,VLOOKUP($A419,'Из Гугла'!$B:$G,6,0))</f>
        <v/>
      </c>
      <c r="S419" s="14">
        <v>1</v>
      </c>
      <c r="T419" s="83" t="str">
        <f>IFERROR(Q419/I419-1,"")</f>
        <v/>
      </c>
      <c r="U419" s="83" t="str">
        <f>IFERROR((W419-Q419)/W419,"")</f>
        <v/>
      </c>
      <c r="V419" s="83" t="str">
        <f>IFERROR(IF(W419="","",W419/I419-1),"")</f>
        <v/>
      </c>
      <c r="W419" s="84" t="s">
        <v>1269</v>
      </c>
    </row>
    <row r="420" spans="1:23" ht="30" x14ac:dyDescent="0.25">
      <c r="A420" s="80">
        <v>223071</v>
      </c>
      <c r="B420" s="80">
        <f>VLOOKUP($A420,'Выгр Кат'!$A:$R,B$1,0)</f>
        <v>8275</v>
      </c>
      <c r="C420" s="81" t="str">
        <f>VLOOKUP($A420,'Выгр Кат'!$A:$R,C$1,0)</f>
        <v>Универсальные ПТФ "DLAA" LA 8829W белые</v>
      </c>
      <c r="D420" s="80" t="str">
        <f>VLOOKUP($A420,'Выгр Кат'!$A:$R,D$1,0)</f>
        <v>Y</v>
      </c>
      <c r="E420" s="80" t="str">
        <f>VLOOKUP($A420,'Выгр Кат'!$A:$R,E$1,0)</f>
        <v>0</v>
      </c>
      <c r="F420" s="80" t="str">
        <f>VLOOKUP($A420,'Выгр Кат'!$A:$R,F$1,0)</f>
        <v>LA8829W</v>
      </c>
      <c r="G420" s="80">
        <f>VLOOKUP($A420,'Выгр Кат'!$A:$R,G$1,0)</f>
        <v>0</v>
      </c>
      <c r="H420" s="67" t="s">
        <v>3</v>
      </c>
      <c r="I420" s="82">
        <v>0</v>
      </c>
      <c r="J420" s="5" t="e">
        <f>VLOOKUP(I420,Наценка!$A$1:$G$8,2,1)</f>
        <v>#N/A</v>
      </c>
      <c r="K420" s="86">
        <f>N420</f>
        <v>1190</v>
      </c>
      <c r="L420" s="70">
        <f>IF(K420&lt;=1000,(ROUNDUP(K420,-1)-1),(ROUNDUP(K420,-2)-10))</f>
        <v>1190</v>
      </c>
      <c r="M420" s="80">
        <f>VLOOKUP($A420,'Выгр Кат'!$A:$R,M$1,0)</f>
        <v>0</v>
      </c>
      <c r="N420" s="80">
        <f>VLOOKUP($A420,'Выгр Кат'!$A:$R,N$1,0)</f>
        <v>1190</v>
      </c>
      <c r="O420" s="28">
        <f>M420-I420</f>
        <v>0</v>
      </c>
      <c r="P420" s="28">
        <f>N420-L420</f>
        <v>0</v>
      </c>
      <c r="Q420" s="36">
        <f>IFERROR(L420*(1-$Q$2),"")</f>
        <v>1106.6999999999998</v>
      </c>
      <c r="R420" s="38" t="str">
        <f>IFERROR(VLOOKUP($A420,'Из Гугла'!$B:$G,6,0)*S420,VLOOKUP($A420,'Из Гугла'!$B:$G,6,0))</f>
        <v/>
      </c>
      <c r="S420" s="14">
        <v>1</v>
      </c>
      <c r="T420" s="83" t="str">
        <f>IFERROR(Q420/I420-1,"")</f>
        <v/>
      </c>
      <c r="U420" s="83" t="str">
        <f>IFERROR((W420-Q420)/W420,"")</f>
        <v/>
      </c>
      <c r="V420" s="83" t="str">
        <f>IFERROR(IF(W420="","",W420/I420-1),"")</f>
        <v/>
      </c>
      <c r="W420" s="84" t="s">
        <v>1269</v>
      </c>
    </row>
    <row r="421" spans="1:23" ht="30" x14ac:dyDescent="0.25">
      <c r="A421" s="80">
        <v>223087</v>
      </c>
      <c r="B421" s="80">
        <f>VLOOKUP($A421,'Выгр Кат'!$A:$R,B$1,0)</f>
        <v>8279</v>
      </c>
      <c r="C421" s="81" t="str">
        <f>VLOOKUP($A421,'Выгр Кат'!$A:$R,C$1,0)</f>
        <v>Универсальные ПТФ "DLAA" LA910W белые</v>
      </c>
      <c r="D421" s="80" t="str">
        <f>VLOOKUP($A421,'Выгр Кат'!$A:$R,D$1,0)</f>
        <v>Y</v>
      </c>
      <c r="E421" s="80" t="str">
        <f>VLOOKUP($A421,'Выгр Кат'!$A:$R,E$1,0)</f>
        <v>0</v>
      </c>
      <c r="F421" s="80" t="str">
        <f>VLOOKUP($A421,'Выгр Кат'!$A:$R,F$1,0)</f>
        <v>LA910W</v>
      </c>
      <c r="G421" s="80">
        <f>VLOOKUP($A421,'Выгр Кат'!$A:$R,G$1,0)</f>
        <v>0</v>
      </c>
      <c r="H421" s="67" t="s">
        <v>3</v>
      </c>
      <c r="I421" s="82">
        <v>0</v>
      </c>
      <c r="J421" s="5" t="e">
        <f>VLOOKUP(I421,Наценка!$A$1:$G$8,2,1)</f>
        <v>#N/A</v>
      </c>
      <c r="K421" s="86">
        <f>N421</f>
        <v>689</v>
      </c>
      <c r="L421" s="70">
        <f>IF(K421&lt;=1000,(ROUNDUP(K421,-1)-1),(ROUNDUP(K421,-2)-10))</f>
        <v>689</v>
      </c>
      <c r="M421" s="80">
        <f>VLOOKUP($A421,'Выгр Кат'!$A:$R,M$1,0)</f>
        <v>0</v>
      </c>
      <c r="N421" s="80">
        <f>VLOOKUP($A421,'Выгр Кат'!$A:$R,N$1,0)</f>
        <v>689</v>
      </c>
      <c r="O421" s="28">
        <f>M421-I421</f>
        <v>0</v>
      </c>
      <c r="P421" s="28">
        <f>N421-L421</f>
        <v>0</v>
      </c>
      <c r="Q421" s="36">
        <f>IFERROR(L421*(1-$Q$2),"")</f>
        <v>640.77</v>
      </c>
      <c r="R421" s="38" t="str">
        <f>IFERROR(VLOOKUP($A421,'Из Гугла'!$B:$G,6,0)*S421,VLOOKUP($A421,'Из Гугла'!$B:$G,6,0))</f>
        <v/>
      </c>
      <c r="S421" s="14">
        <v>1</v>
      </c>
      <c r="T421" s="83" t="str">
        <f>IFERROR(Q421/I421-1,"")</f>
        <v/>
      </c>
      <c r="U421" s="83" t="str">
        <f>IFERROR((W421-Q421)/W421,"")</f>
        <v/>
      </c>
      <c r="V421" s="83" t="str">
        <f>IFERROR(IF(W421="","",W421/I421-1),"")</f>
        <v/>
      </c>
      <c r="W421" s="84" t="s">
        <v>1269</v>
      </c>
    </row>
    <row r="422" spans="1:23" ht="30" x14ac:dyDescent="0.25">
      <c r="A422" s="80">
        <v>223092</v>
      </c>
      <c r="B422" s="80">
        <f>VLOOKUP($A422,'Выгр Кат'!$A:$R,B$1,0)</f>
        <v>8286</v>
      </c>
      <c r="C422" s="81" t="str">
        <f>VLOOKUP($A422,'Выгр Кат'!$A:$R,C$1,0)</f>
        <v>Универсальные ПТФ "DLAA" LA9888E белые</v>
      </c>
      <c r="D422" s="80" t="str">
        <f>VLOOKUP($A422,'Выгр Кат'!$A:$R,D$1,0)</f>
        <v>Y</v>
      </c>
      <c r="E422" s="80" t="str">
        <f>VLOOKUP($A422,'Выгр Кат'!$A:$R,E$1,0)</f>
        <v>0</v>
      </c>
      <c r="F422" s="80" t="str">
        <f>VLOOKUP($A422,'Выгр Кат'!$A:$R,F$1,0)</f>
        <v>LA9888E</v>
      </c>
      <c r="G422" s="80">
        <f>VLOOKUP($A422,'Выгр Кат'!$A:$R,G$1,0)</f>
        <v>0</v>
      </c>
      <c r="H422" s="67" t="s">
        <v>3</v>
      </c>
      <c r="I422" s="82">
        <v>0</v>
      </c>
      <c r="J422" s="5" t="e">
        <f>VLOOKUP(I422,Наценка!$A$1:$G$8,2,1)</f>
        <v>#N/A</v>
      </c>
      <c r="K422" s="86">
        <f>N422</f>
        <v>3290</v>
      </c>
      <c r="L422" s="70">
        <f>IF(K422&lt;=1000,(ROUNDUP(K422,-1)-1),(ROUNDUP(K422,-2)-10))</f>
        <v>3290</v>
      </c>
      <c r="M422" s="80">
        <f>VLOOKUP($A422,'Выгр Кат'!$A:$R,M$1,0)</f>
        <v>0</v>
      </c>
      <c r="N422" s="80">
        <f>VLOOKUP($A422,'Выгр Кат'!$A:$R,N$1,0)</f>
        <v>3290</v>
      </c>
      <c r="O422" s="28">
        <f>M422-I422</f>
        <v>0</v>
      </c>
      <c r="P422" s="28">
        <f>N422-L422</f>
        <v>0</v>
      </c>
      <c r="Q422" s="36">
        <f>IFERROR(L422*(1-$Q$2),"")</f>
        <v>3059.7</v>
      </c>
      <c r="R422" s="38" t="str">
        <f>IFERROR(VLOOKUP($A422,'Из Гугла'!$B:$G,6,0)*S422,VLOOKUP($A422,'Из Гугла'!$B:$G,6,0))</f>
        <v/>
      </c>
      <c r="S422" s="14">
        <v>1</v>
      </c>
      <c r="T422" s="83" t="str">
        <f>IFERROR(Q422/I422-1,"")</f>
        <v/>
      </c>
      <c r="U422" s="83" t="str">
        <f>IFERROR((W422-Q422)/W422,"")</f>
        <v/>
      </c>
      <c r="V422" s="83" t="str">
        <f>IFERROR(IF(W422="","",W422/I422-1),"")</f>
        <v/>
      </c>
      <c r="W422" s="84" t="s">
        <v>1269</v>
      </c>
    </row>
    <row r="423" spans="1:23" ht="30" x14ac:dyDescent="0.25">
      <c r="A423" s="80">
        <v>223097</v>
      </c>
      <c r="B423" s="80">
        <f>VLOOKUP($A423,'Выгр Кат'!$A:$R,B$1,0)</f>
        <v>8290</v>
      </c>
      <c r="C423" s="81" t="str">
        <f>VLOOKUP($A423,'Выгр Кат'!$A:$R,C$1,0)</f>
        <v>Универсальные ПТФ "DLAA" LA992RY лазер</v>
      </c>
      <c r="D423" s="80" t="str">
        <f>VLOOKUP($A423,'Выгр Кат'!$A:$R,D$1,0)</f>
        <v>Y</v>
      </c>
      <c r="E423" s="80" t="str">
        <f>VLOOKUP($A423,'Выгр Кат'!$A:$R,E$1,0)</f>
        <v>0</v>
      </c>
      <c r="F423" s="80" t="str">
        <f>VLOOKUP($A423,'Выгр Кат'!$A:$R,F$1,0)</f>
        <v>LA992RY</v>
      </c>
      <c r="G423" s="80">
        <f>VLOOKUP($A423,'Выгр Кат'!$A:$R,G$1,0)</f>
        <v>0</v>
      </c>
      <c r="H423" s="67" t="s">
        <v>3</v>
      </c>
      <c r="I423" s="82">
        <v>0</v>
      </c>
      <c r="J423" s="5" t="e">
        <f>VLOOKUP(I423,Наценка!$A$1:$G$8,2,1)</f>
        <v>#N/A</v>
      </c>
      <c r="K423" s="86">
        <f>N423</f>
        <v>749</v>
      </c>
      <c r="L423" s="70">
        <f>IF(K423&lt;=1000,(ROUNDUP(K423,-1)-1),(ROUNDUP(K423,-2)-10))</f>
        <v>749</v>
      </c>
      <c r="M423" s="80">
        <f>VLOOKUP($A423,'Выгр Кат'!$A:$R,M$1,0)</f>
        <v>0</v>
      </c>
      <c r="N423" s="80">
        <f>VLOOKUP($A423,'Выгр Кат'!$A:$R,N$1,0)</f>
        <v>749</v>
      </c>
      <c r="O423" s="28">
        <f>M423-I423</f>
        <v>0</v>
      </c>
      <c r="P423" s="28">
        <f>N423-L423</f>
        <v>0</v>
      </c>
      <c r="Q423" s="36">
        <f>IFERROR(L423*(1-$Q$2),"")</f>
        <v>696.56999999999994</v>
      </c>
      <c r="R423" s="38" t="str">
        <f>IFERROR(VLOOKUP($A423,'Из Гугла'!$B:$G,6,0)*S423,VLOOKUP($A423,'Из Гугла'!$B:$G,6,0))</f>
        <v/>
      </c>
      <c r="S423" s="14">
        <v>1</v>
      </c>
      <c r="T423" s="83" t="str">
        <f>IFERROR(Q423/I423-1,"")</f>
        <v/>
      </c>
      <c r="U423" s="83" t="str">
        <f>IFERROR((W423-Q423)/W423,"")</f>
        <v/>
      </c>
      <c r="V423" s="83" t="str">
        <f>IFERROR(IF(W423="","",W423/I423-1),"")</f>
        <v/>
      </c>
      <c r="W423" s="84" t="s">
        <v>1269</v>
      </c>
    </row>
    <row r="424" spans="1:23" ht="30" x14ac:dyDescent="0.25">
      <c r="A424" s="80">
        <v>223098</v>
      </c>
      <c r="B424" s="80">
        <f>VLOOKUP($A424,'Выгр Кат'!$A:$R,B$1,0)</f>
        <v>8291</v>
      </c>
      <c r="C424" s="81" t="str">
        <f>VLOOKUP($A424,'Выгр Кат'!$A:$R,C$1,0)</f>
        <v>Универсальные ПТФ "DLAA" LA992W белые</v>
      </c>
      <c r="D424" s="80" t="str">
        <f>VLOOKUP($A424,'Выгр Кат'!$A:$R,D$1,0)</f>
        <v>Y</v>
      </c>
      <c r="E424" s="80" t="str">
        <f>VLOOKUP($A424,'Выгр Кат'!$A:$R,E$1,0)</f>
        <v>0</v>
      </c>
      <c r="F424" s="80" t="str">
        <f>VLOOKUP($A424,'Выгр Кат'!$A:$R,F$1,0)</f>
        <v>LA992W</v>
      </c>
      <c r="G424" s="80">
        <f>VLOOKUP($A424,'Выгр Кат'!$A:$R,G$1,0)</f>
        <v>0</v>
      </c>
      <c r="H424" s="67" t="s">
        <v>3</v>
      </c>
      <c r="I424" s="82">
        <v>0</v>
      </c>
      <c r="J424" s="5" t="e">
        <f>VLOOKUP(I424,Наценка!$A$1:$G$8,2,1)</f>
        <v>#N/A</v>
      </c>
      <c r="K424" s="86">
        <f>N424</f>
        <v>689</v>
      </c>
      <c r="L424" s="70">
        <f>IF(K424&lt;=1000,(ROUNDUP(K424,-1)-1),(ROUNDUP(K424,-2)-10))</f>
        <v>689</v>
      </c>
      <c r="M424" s="80">
        <f>VLOOKUP($A424,'Выгр Кат'!$A:$R,M$1,0)</f>
        <v>0</v>
      </c>
      <c r="N424" s="80">
        <f>VLOOKUP($A424,'Выгр Кат'!$A:$R,N$1,0)</f>
        <v>689</v>
      </c>
      <c r="O424" s="28">
        <f>M424-I424</f>
        <v>0</v>
      </c>
      <c r="P424" s="28">
        <f>N424-L424</f>
        <v>0</v>
      </c>
      <c r="Q424" s="36">
        <f>IFERROR(L424*(1-$Q$2),"")</f>
        <v>640.77</v>
      </c>
      <c r="R424" s="38" t="str">
        <f>IFERROR(VLOOKUP($A424,'Из Гугла'!$B:$G,6,0)*S424,VLOOKUP($A424,'Из Гугла'!$B:$G,6,0))</f>
        <v/>
      </c>
      <c r="S424" s="14">
        <v>1</v>
      </c>
      <c r="T424" s="83" t="str">
        <f>IFERROR(Q424/I424-1,"")</f>
        <v/>
      </c>
      <c r="U424" s="83" t="str">
        <f>IFERROR((W424-Q424)/W424,"")</f>
        <v/>
      </c>
      <c r="V424" s="83" t="str">
        <f>IFERROR(IF(W424="","",W424/I424-1),"")</f>
        <v/>
      </c>
      <c r="W424" s="84" t="s">
        <v>1269</v>
      </c>
    </row>
    <row r="425" spans="1:23" ht="30" x14ac:dyDescent="0.25">
      <c r="A425" s="80">
        <v>223107</v>
      </c>
      <c r="B425" s="80">
        <f>VLOOKUP($A425,'Выгр Кат'!$A:$R,B$1,0)</f>
        <v>8296</v>
      </c>
      <c r="C425" s="81" t="str">
        <f>VLOOKUP($A425,'Выгр Кат'!$A:$R,C$1,0)</f>
        <v>Универсальные ПТФ LA 996 RY лазер</v>
      </c>
      <c r="D425" s="80" t="str">
        <f>VLOOKUP($A425,'Выгр Кат'!$A:$R,D$1,0)</f>
        <v>Y</v>
      </c>
      <c r="E425" s="80" t="str">
        <f>VLOOKUP($A425,'Выгр Кат'!$A:$R,E$1,0)</f>
        <v>0</v>
      </c>
      <c r="F425" s="80" t="str">
        <f>VLOOKUP($A425,'Выгр Кат'!$A:$R,F$1,0)</f>
        <v>LA 996 RY</v>
      </c>
      <c r="G425" s="80">
        <f>VLOOKUP($A425,'Выгр Кат'!$A:$R,G$1,0)</f>
        <v>0</v>
      </c>
      <c r="H425" s="67" t="s">
        <v>3</v>
      </c>
      <c r="I425" s="82">
        <v>0</v>
      </c>
      <c r="J425" s="5" t="e">
        <f>VLOOKUP(I425,Наценка!$A$1:$G$8,2,1)</f>
        <v>#N/A</v>
      </c>
      <c r="K425" s="31">
        <f>N425</f>
        <v>749</v>
      </c>
      <c r="L425" s="70">
        <f>IF(K425&lt;=1000,(ROUNDUP(K425,-1)-1),(ROUNDUP(K425,-2)-10))</f>
        <v>749</v>
      </c>
      <c r="M425" s="80">
        <f>VLOOKUP($A425,'Выгр Кат'!$A:$R,M$1,0)</f>
        <v>0</v>
      </c>
      <c r="N425" s="80">
        <f>VLOOKUP($A425,'Выгр Кат'!$A:$R,N$1,0)</f>
        <v>749</v>
      </c>
      <c r="O425" s="28">
        <f>M425-I425</f>
        <v>0</v>
      </c>
      <c r="P425" s="28">
        <f>N425-L425</f>
        <v>0</v>
      </c>
      <c r="Q425" s="36">
        <f>IFERROR(L425*(1-$Q$2),"")</f>
        <v>696.56999999999994</v>
      </c>
      <c r="R425" s="38" t="str">
        <f>IFERROR(VLOOKUP($A425,'Из Гугла'!$B:$G,6,0)*S425,VLOOKUP($A425,'Из Гугла'!$B:$G,6,0))</f>
        <v/>
      </c>
      <c r="S425" s="14">
        <v>1</v>
      </c>
      <c r="T425" s="83" t="str">
        <f>IFERROR(Q425/I425-1,"")</f>
        <v/>
      </c>
      <c r="U425" s="83" t="str">
        <f>IFERROR((W425-Q425)/W425,"")</f>
        <v/>
      </c>
      <c r="V425" s="83" t="str">
        <f>IFERROR(IF(W425="","",W425/I425-1),"")</f>
        <v/>
      </c>
      <c r="W425" s="84" t="s">
        <v>1269</v>
      </c>
    </row>
    <row r="426" spans="1:23" ht="30" x14ac:dyDescent="0.25">
      <c r="A426" s="80">
        <v>213482</v>
      </c>
      <c r="B426" s="80">
        <f>VLOOKUP($A426,'Выгр Кат'!$A:$R,B$1,0)</f>
        <v>10025</v>
      </c>
      <c r="C426" s="81" t="str">
        <f>VLOOKUP($A426,'Выгр Кат'!$A:$R,C$1,0)</f>
        <v>Самоклеющаяся силиконовая белая диодная лента</v>
      </c>
      <c r="D426" s="80" t="str">
        <f>VLOOKUP($A426,'Выгр Кат'!$A:$R,D$1,0)</f>
        <v>Y</v>
      </c>
      <c r="E426" s="80" t="str">
        <f>VLOOKUP($A426,'Выгр Кат'!$A:$R,E$1,0)</f>
        <v>0</v>
      </c>
      <c r="F426" s="80">
        <f>VLOOKUP($A426,'Выгр Кат'!$A:$R,F$1,0)</f>
        <v>0</v>
      </c>
      <c r="G426" s="80">
        <f>VLOOKUP($A426,'Выгр Кат'!$A:$R,G$1,0)</f>
        <v>0</v>
      </c>
      <c r="H426" s="67" t="s">
        <v>3</v>
      </c>
      <c r="I426" s="82">
        <v>0</v>
      </c>
      <c r="J426" s="5" t="e">
        <f>VLOOKUP(I426,Наценка!$A$1:$G$8,2,1)</f>
        <v>#N/A</v>
      </c>
      <c r="K426" s="31">
        <f>N426</f>
        <v>1390</v>
      </c>
      <c r="L426" s="70">
        <f>IF(K426&lt;=1000,(ROUNDUP(K426,-1)-1),(ROUNDUP(K426,-2)-10))</f>
        <v>1390</v>
      </c>
      <c r="M426" s="80">
        <f>VLOOKUP($A426,'Выгр Кат'!$A:$R,M$1,0)</f>
        <v>0</v>
      </c>
      <c r="N426" s="80">
        <f>VLOOKUP($A426,'Выгр Кат'!$A:$R,N$1,0)</f>
        <v>1390</v>
      </c>
      <c r="O426" s="28">
        <f>M426-I426</f>
        <v>0</v>
      </c>
      <c r="P426" s="28">
        <f>N426-L426</f>
        <v>0</v>
      </c>
      <c r="Q426" s="36">
        <f>IFERROR(L426*(1-$Q$2),"")</f>
        <v>1292.6999999999998</v>
      </c>
      <c r="R426" s="38" t="str">
        <f>IFERROR(VLOOKUP($A426,'Из Гугла'!$B:$G,6,0)*S426,VLOOKUP($A426,'Из Гугла'!$B:$G,6,0))</f>
        <v/>
      </c>
      <c r="S426" s="14">
        <v>1</v>
      </c>
      <c r="T426" s="83" t="str">
        <f>IFERROR(Q426/I426-1,"")</f>
        <v/>
      </c>
      <c r="U426" s="83" t="str">
        <f>IFERROR((W426-Q426)/W426,"")</f>
        <v/>
      </c>
      <c r="V426" s="83" t="str">
        <f>IFERROR(IF(W426="","",W426/I426-1),"")</f>
        <v/>
      </c>
      <c r="W426" s="84"/>
    </row>
    <row r="427" spans="1:23" ht="30" x14ac:dyDescent="0.25">
      <c r="A427" s="80">
        <v>164911</v>
      </c>
      <c r="B427" s="80">
        <f>VLOOKUP($A427,'Выгр Кат'!$A:$R,B$1,0)</f>
        <v>10711</v>
      </c>
      <c r="C427" s="81" t="str">
        <f>VLOOKUP($A427,'Выгр Кат'!$A:$R,C$1,0)</f>
        <v>Набор автоинструмента «AEROFORCE» 94PCS</v>
      </c>
      <c r="D427" s="80" t="str">
        <f>VLOOKUP($A427,'Выгр Кат'!$A:$R,D$1,0)</f>
        <v>N</v>
      </c>
      <c r="E427" s="80" t="str">
        <f>VLOOKUP($A427,'Выгр Кат'!$A:$R,E$1,0)</f>
        <v>0</v>
      </c>
      <c r="F427" s="80">
        <f>VLOOKUP($A427,'Выгр Кат'!$A:$R,F$1,0)</f>
        <v>0</v>
      </c>
      <c r="G427" s="80">
        <f>VLOOKUP($A427,'Выгр Кат'!$A:$R,G$1,0)</f>
        <v>0</v>
      </c>
      <c r="H427" s="67" t="s">
        <v>3</v>
      </c>
      <c r="I427" s="82">
        <v>0</v>
      </c>
      <c r="J427" s="5" t="e">
        <f>VLOOKUP(I427,Наценка!$A$1:$G$8,2,1)</f>
        <v>#N/A</v>
      </c>
      <c r="K427" s="31">
        <f>N427</f>
        <v>5190</v>
      </c>
      <c r="L427" s="70">
        <f>IF(K427&lt;=1000,(ROUNDUP(K427,-1)-1),(ROUNDUP(K427,-2)-10))</f>
        <v>5190</v>
      </c>
      <c r="M427" s="80">
        <f>VLOOKUP($A427,'Выгр Кат'!$A:$R,M$1,0)</f>
        <v>0</v>
      </c>
      <c r="N427" s="80">
        <f>VLOOKUP($A427,'Выгр Кат'!$A:$R,N$1,0)</f>
        <v>5190</v>
      </c>
      <c r="O427" s="28">
        <f>M427-I427</f>
        <v>0</v>
      </c>
      <c r="P427" s="28">
        <f>N427-L427</f>
        <v>0</v>
      </c>
      <c r="Q427" s="36">
        <f>IFERROR(L427*(1-$Q$2),"")</f>
        <v>4826.7</v>
      </c>
      <c r="R427" s="38" t="str">
        <f>IFERROR(VLOOKUP($A427,'Из Гугла'!$B:$G,6,0)*S427,VLOOKUP($A427,'Из Гугла'!$B:$G,6,0))</f>
        <v/>
      </c>
      <c r="S427" s="14">
        <v>1</v>
      </c>
      <c r="T427" s="83" t="str">
        <f>IFERROR(Q427/I427-1,"")</f>
        <v/>
      </c>
      <c r="U427" s="83" t="str">
        <f>IFERROR((W427-Q427)/W427,"")</f>
        <v/>
      </c>
      <c r="V427" s="83" t="str">
        <f>IFERROR(IF(W427="","",W427/I427-1),"")</f>
        <v/>
      </c>
      <c r="W427" s="84"/>
    </row>
    <row r="428" spans="1:23" ht="30" x14ac:dyDescent="0.25">
      <c r="A428" s="80">
        <v>145530</v>
      </c>
      <c r="B428" s="80">
        <f>VLOOKUP($A428,'Выгр Кат'!$A:$R,B$1,0)</f>
        <v>11432</v>
      </c>
      <c r="C428" s="81" t="str">
        <f>VLOOKUP($A428,'Выгр Кат'!$A:$R,C$1,0)</f>
        <v>Задние фонари "XX" светодиодные для ВАЗ 2105, 2107</v>
      </c>
      <c r="D428" s="80" t="str">
        <f>VLOOKUP($A428,'Выгр Кат'!$A:$R,D$1,0)</f>
        <v>Y</v>
      </c>
      <c r="E428" s="80" t="str">
        <f>VLOOKUP($A428,'Выгр Кат'!$A:$R,E$1,0)</f>
        <v>0</v>
      </c>
      <c r="F428" s="80">
        <f>VLOOKUP($A428,'Выгр Кат'!$A:$R,F$1,0)</f>
        <v>0</v>
      </c>
      <c r="G428" s="80">
        <f>VLOOKUP($A428,'Выгр Кат'!$A:$R,G$1,0)</f>
        <v>0</v>
      </c>
      <c r="H428" s="67" t="s">
        <v>3</v>
      </c>
      <c r="I428" s="82">
        <v>0</v>
      </c>
      <c r="J428" s="5" t="e">
        <f>VLOOKUP(I428,Наценка!$A$1:$G$8,2,1)</f>
        <v>#N/A</v>
      </c>
      <c r="K428" s="31">
        <f>N428</f>
        <v>3790</v>
      </c>
      <c r="L428" s="70">
        <f>IF(K428&lt;=1000,(ROUNDUP(K428,-1)-1),(ROUNDUP(K428,-2)-10))</f>
        <v>3790</v>
      </c>
      <c r="M428" s="80">
        <f>VLOOKUP($A428,'Выгр Кат'!$A:$R,M$1,0)</f>
        <v>0</v>
      </c>
      <c r="N428" s="80">
        <f>VLOOKUP($A428,'Выгр Кат'!$A:$R,N$1,0)</f>
        <v>3790</v>
      </c>
      <c r="O428" s="28">
        <f>M428-I428</f>
        <v>0</v>
      </c>
      <c r="P428" s="28">
        <f>N428-L428</f>
        <v>0</v>
      </c>
      <c r="Q428" s="36">
        <f>IFERROR(L428*(1-$Q$2),"")</f>
        <v>3524.7</v>
      </c>
      <c r="R428" s="38" t="str">
        <f>IFERROR(VLOOKUP($A428,'Из Гугла'!$B:$G,6,0)*S428,VLOOKUP($A428,'Из Гугла'!$B:$G,6,0))</f>
        <v/>
      </c>
      <c r="S428" s="14">
        <v>1</v>
      </c>
      <c r="T428" s="83" t="str">
        <f>IFERROR(Q428/I428-1,"")</f>
        <v/>
      </c>
      <c r="U428" s="83" t="str">
        <f>IFERROR((W428-Q428)/W428,"")</f>
        <v/>
      </c>
      <c r="V428" s="83" t="str">
        <f>IFERROR(IF(W428="","",W428/I428-1),"")</f>
        <v/>
      </c>
      <c r="W428" s="84"/>
    </row>
    <row r="429" spans="1:23" ht="30" x14ac:dyDescent="0.25">
      <c r="A429" s="80">
        <v>132854</v>
      </c>
      <c r="B429" s="80">
        <f>VLOOKUP($A429,'Выгр Кат'!$A:$R,B$1,0)</f>
        <v>11442</v>
      </c>
      <c r="C429" s="81" t="str">
        <f>VLOOKUP($A429,'Выгр Кат'!$A:$R,C$1,0)</f>
        <v>Ангельские глазки белые (d 110 мм) на автомобили ВАЗ и Лада</v>
      </c>
      <c r="D429" s="80" t="str">
        <f>VLOOKUP($A429,'Выгр Кат'!$A:$R,D$1,0)</f>
        <v>Y</v>
      </c>
      <c r="E429" s="80" t="str">
        <f>VLOOKUP($A429,'Выгр Кат'!$A:$R,E$1,0)</f>
        <v>0</v>
      </c>
      <c r="F429" s="80">
        <f>VLOOKUP($A429,'Выгр Кат'!$A:$R,F$1,0)</f>
        <v>0</v>
      </c>
      <c r="G429" s="80">
        <f>VLOOKUP($A429,'Выгр Кат'!$A:$R,G$1,0)</f>
        <v>0</v>
      </c>
      <c r="H429" s="67" t="s">
        <v>3</v>
      </c>
      <c r="I429" s="82">
        <v>0</v>
      </c>
      <c r="J429" s="5" t="e">
        <f>VLOOKUP(I429,Наценка!$A$1:$G$8,2,1)</f>
        <v>#N/A</v>
      </c>
      <c r="K429" s="31">
        <f>N429</f>
        <v>849</v>
      </c>
      <c r="L429" s="70">
        <f>IF(K429&lt;=1000,(ROUNDUP(K429,-1)-1),(ROUNDUP(K429,-2)-10))</f>
        <v>849</v>
      </c>
      <c r="M429" s="80">
        <f>VLOOKUP($A429,'Выгр Кат'!$A:$R,M$1,0)</f>
        <v>0</v>
      </c>
      <c r="N429" s="80">
        <f>VLOOKUP($A429,'Выгр Кат'!$A:$R,N$1,0)</f>
        <v>849</v>
      </c>
      <c r="O429" s="28">
        <f>M429-I429</f>
        <v>0</v>
      </c>
      <c r="P429" s="28">
        <f>N429-L429</f>
        <v>0</v>
      </c>
      <c r="Q429" s="36">
        <f>IFERROR(L429*(1-$Q$2),"")</f>
        <v>789.56999999999994</v>
      </c>
      <c r="R429" s="38" t="str">
        <f>IFERROR(VLOOKUP($A429,'Из Гугла'!$B:$G,6,0)*S429,VLOOKUP($A429,'Из Гугла'!$B:$G,6,0))</f>
        <v/>
      </c>
      <c r="S429" s="14">
        <v>1</v>
      </c>
      <c r="T429" s="83" t="str">
        <f>IFERROR(Q429/I429-1,"")</f>
        <v/>
      </c>
      <c r="U429" s="83" t="str">
        <f>IFERROR((W429-Q429)/W429,"")</f>
        <v/>
      </c>
      <c r="V429" s="83" t="str">
        <f>IFERROR(IF(W429="","",W429/I429-1),"")</f>
        <v/>
      </c>
      <c r="W429" s="84"/>
    </row>
    <row r="430" spans="1:23" ht="30" x14ac:dyDescent="0.25">
      <c r="A430" s="80">
        <v>132855</v>
      </c>
      <c r="B430" s="80">
        <f>VLOOKUP($A430,'Выгр Кат'!$A:$R,B$1,0)</f>
        <v>11444</v>
      </c>
      <c r="C430" s="81" t="str">
        <f>VLOOKUP($A430,'Выгр Кат'!$A:$R,C$1,0)</f>
        <v>Ангельские глазки белые (d 120 мм) на автомобили ВАЗ и Лада</v>
      </c>
      <c r="D430" s="80" t="str">
        <f>VLOOKUP($A430,'Выгр Кат'!$A:$R,D$1,0)</f>
        <v>Y</v>
      </c>
      <c r="E430" s="80" t="str">
        <f>VLOOKUP($A430,'Выгр Кат'!$A:$R,E$1,0)</f>
        <v>0</v>
      </c>
      <c r="F430" s="80">
        <f>VLOOKUP($A430,'Выгр Кат'!$A:$R,F$1,0)</f>
        <v>0</v>
      </c>
      <c r="G430" s="80">
        <f>VLOOKUP($A430,'Выгр Кат'!$A:$R,G$1,0)</f>
        <v>0</v>
      </c>
      <c r="H430" s="67" t="s">
        <v>3</v>
      </c>
      <c r="I430" s="82">
        <v>0</v>
      </c>
      <c r="J430" s="5" t="e">
        <f>VLOOKUP(I430,Наценка!$A$1:$G$8,2,1)</f>
        <v>#N/A</v>
      </c>
      <c r="K430" s="31">
        <f>N430</f>
        <v>909</v>
      </c>
      <c r="L430" s="70">
        <f>IF(K430&lt;=1000,(ROUNDUP(K430,-1)-1),(ROUNDUP(K430,-2)-10))</f>
        <v>909</v>
      </c>
      <c r="M430" s="80">
        <f>VLOOKUP($A430,'Выгр Кат'!$A:$R,M$1,0)</f>
        <v>0</v>
      </c>
      <c r="N430" s="80">
        <f>VLOOKUP($A430,'Выгр Кат'!$A:$R,N$1,0)</f>
        <v>909</v>
      </c>
      <c r="O430" s="28">
        <f>M430-I430</f>
        <v>0</v>
      </c>
      <c r="P430" s="28">
        <f>N430-L430</f>
        <v>0</v>
      </c>
      <c r="Q430" s="36">
        <f>IFERROR(L430*(1-$Q$2),"")</f>
        <v>845.36999999999989</v>
      </c>
      <c r="R430" s="38" t="str">
        <f>IFERROR(VLOOKUP($A430,'Из Гугла'!$B:$G,6,0)*S430,VLOOKUP($A430,'Из Гугла'!$B:$G,6,0))</f>
        <v/>
      </c>
      <c r="S430" s="14">
        <v>1</v>
      </c>
      <c r="T430" s="83" t="str">
        <f>IFERROR(Q430/I430-1,"")</f>
        <v/>
      </c>
      <c r="U430" s="83" t="str">
        <f>IFERROR((W430-Q430)/W430,"")</f>
        <v/>
      </c>
      <c r="V430" s="83" t="str">
        <f>IFERROR(IF(W430="","",W430/I430-1),"")</f>
        <v/>
      </c>
      <c r="W430" s="84"/>
    </row>
    <row r="431" spans="1:23" ht="45" x14ac:dyDescent="0.25">
      <c r="A431" s="80">
        <v>187500</v>
      </c>
      <c r="B431" s="80">
        <f>VLOOKUP($A431,'Выгр Кат'!$A:$R,B$1,0)</f>
        <v>11666</v>
      </c>
      <c r="C431" s="81" t="str">
        <f>VLOOKUP($A431,'Выгр Кат'!$A:$R,C$1,0)</f>
        <v>Передние фары хромированные с ангельскими глазками для ВАЗ 2113-2115</v>
      </c>
      <c r="D431" s="80" t="str">
        <f>VLOOKUP($A431,'Выгр Кат'!$A:$R,D$1,0)</f>
        <v>Y</v>
      </c>
      <c r="E431" s="80" t="str">
        <f>VLOOKUP($A431,'Выгр Кат'!$A:$R,E$1,0)</f>
        <v>0</v>
      </c>
      <c r="F431" s="80" t="str">
        <f>VLOOKUP($A431,'Выгр Кат'!$A:$R,F$1,0)</f>
        <v>TF1404H</v>
      </c>
      <c r="G431" s="80">
        <f>VLOOKUP($A431,'Выгр Кат'!$A:$R,G$1,0)</f>
        <v>0</v>
      </c>
      <c r="H431" s="67" t="s">
        <v>3</v>
      </c>
      <c r="I431" s="82">
        <v>0</v>
      </c>
      <c r="J431" s="5" t="e">
        <f>VLOOKUP(I431,Наценка!$A$1:$G$8,2,1)</f>
        <v>#N/A</v>
      </c>
      <c r="K431" s="31">
        <f>N431</f>
        <v>6890</v>
      </c>
      <c r="L431" s="70">
        <f>IF(K431&lt;=1000,(ROUNDUP(K431,-1)-1),(ROUNDUP(K431,-2)-10))</f>
        <v>6890</v>
      </c>
      <c r="M431" s="80">
        <f>VLOOKUP($A431,'Выгр Кат'!$A:$R,M$1,0)</f>
        <v>0</v>
      </c>
      <c r="N431" s="80">
        <f>VLOOKUP($A431,'Выгр Кат'!$A:$R,N$1,0)</f>
        <v>6890</v>
      </c>
      <c r="O431" s="28">
        <f>M431-I431</f>
        <v>0</v>
      </c>
      <c r="P431" s="28">
        <f>N431-L431</f>
        <v>0</v>
      </c>
      <c r="Q431" s="36">
        <f>IFERROR(L431*(1-$Q$2),"")</f>
        <v>6407.7</v>
      </c>
      <c r="R431" s="38" t="str">
        <f>IFERROR(VLOOKUP($A431,'Из Гугла'!$B:$G,6,0)*S431,VLOOKUP($A431,'Из Гугла'!$B:$G,6,0))</f>
        <v/>
      </c>
      <c r="S431" s="14">
        <v>1</v>
      </c>
      <c r="T431" s="83" t="str">
        <f>IFERROR(Q431/I431-1,"")</f>
        <v/>
      </c>
      <c r="U431" s="83" t="str">
        <f>IFERROR((W431-Q431)/W431,"")</f>
        <v/>
      </c>
      <c r="V431" s="83" t="str">
        <f>IFERROR(IF(W431="","",W431/I431-1),"")</f>
        <v/>
      </c>
      <c r="W431" s="84"/>
    </row>
    <row r="432" spans="1:23" ht="30" x14ac:dyDescent="0.25">
      <c r="A432" s="80">
        <v>141915</v>
      </c>
      <c r="B432" s="80">
        <f>VLOOKUP($A432,'Выгр Кат'!$A:$R,B$1,0)</f>
        <v>12125</v>
      </c>
      <c r="C432" s="81" t="str">
        <f>VLOOKUP($A432,'Выгр Кат'!$A:$R,C$1,0)</f>
        <v>Дальний свет "Люкс" для Лада Нива 4х4</v>
      </c>
      <c r="D432" s="80" t="str">
        <f>VLOOKUP($A432,'Выгр Кат'!$A:$R,D$1,0)</f>
        <v>Y</v>
      </c>
      <c r="E432" s="80" t="str">
        <f>VLOOKUP($A432,'Выгр Кат'!$A:$R,E$1,0)</f>
        <v>0</v>
      </c>
      <c r="F432" s="80">
        <f>VLOOKUP($A432,'Выгр Кат'!$A:$R,F$1,0)</f>
        <v>0</v>
      </c>
      <c r="G432" s="80">
        <f>VLOOKUP($A432,'Выгр Кат'!$A:$R,G$1,0)</f>
        <v>0</v>
      </c>
      <c r="H432" s="67" t="s">
        <v>3</v>
      </c>
      <c r="I432" s="82">
        <v>0</v>
      </c>
      <c r="J432" s="5" t="e">
        <f>VLOOKUP(I432,Наценка!$A$1:$G$8,2,1)</f>
        <v>#N/A</v>
      </c>
      <c r="K432" s="31">
        <f>N432</f>
        <v>1790</v>
      </c>
      <c r="L432" s="70">
        <f>IF(K432&lt;=1000,(ROUNDUP(K432,-1)-1),(ROUNDUP(K432,-2)-10))</f>
        <v>1790</v>
      </c>
      <c r="M432" s="80">
        <f>VLOOKUP($A432,'Выгр Кат'!$A:$R,M$1,0)</f>
        <v>0</v>
      </c>
      <c r="N432" s="80">
        <f>VLOOKUP($A432,'Выгр Кат'!$A:$R,N$1,0)</f>
        <v>1790</v>
      </c>
      <c r="O432" s="28">
        <f>M432-I432</f>
        <v>0</v>
      </c>
      <c r="P432" s="28">
        <f>N432-L432</f>
        <v>0</v>
      </c>
      <c r="Q432" s="36">
        <f>IFERROR(L432*(1-$Q$2),"")</f>
        <v>1664.6999999999998</v>
      </c>
      <c r="R432" s="38" t="str">
        <f>IFERROR(VLOOKUP($A432,'Из Гугла'!$B:$G,6,0)*S432,VLOOKUP($A432,'Из Гугла'!$B:$G,6,0))</f>
        <v/>
      </c>
      <c r="S432" s="14">
        <v>1</v>
      </c>
      <c r="T432" s="83" t="str">
        <f>IFERROR(Q432/I432-1,"")</f>
        <v/>
      </c>
      <c r="U432" s="83" t="str">
        <f>IFERROR((W432-Q432)/W432,"")</f>
        <v/>
      </c>
      <c r="V432" s="83" t="str">
        <f>IFERROR(IF(W432="","",W432/I432-1),"")</f>
        <v/>
      </c>
      <c r="W432" s="84"/>
    </row>
    <row r="433" spans="1:24" ht="45" x14ac:dyDescent="0.25">
      <c r="A433" s="80">
        <v>213595</v>
      </c>
      <c r="B433" s="80">
        <f>VLOOKUP($A433,'Выгр Кат'!$A:$R,B$1,0)</f>
        <v>13696</v>
      </c>
      <c r="C433" s="81" t="str">
        <f>VLOOKUP($A433,'Выгр Кат'!$A:$R,C$1,0)</f>
        <v>Светодиодные лампы "LED" Light G5 с вентилятором охлаждения (пара, H1, 6000К)</v>
      </c>
      <c r="D433" s="80" t="str">
        <f>VLOOKUP($A433,'Выгр Кат'!$A:$R,D$1,0)</f>
        <v>Y</v>
      </c>
      <c r="E433" s="80" t="str">
        <f>VLOOKUP($A433,'Выгр Кат'!$A:$R,E$1,0)</f>
        <v>0</v>
      </c>
      <c r="F433" s="80">
        <f>VLOOKUP($A433,'Выгр Кат'!$A:$R,F$1,0)</f>
        <v>0</v>
      </c>
      <c r="G433" s="80">
        <f>VLOOKUP($A433,'Выгр Кат'!$A:$R,G$1,0)</f>
        <v>0</v>
      </c>
      <c r="H433" s="67" t="s">
        <v>3</v>
      </c>
      <c r="I433" s="82">
        <v>0</v>
      </c>
      <c r="J433" s="5" t="e">
        <f>VLOOKUP(I433,Наценка!$A$1:$G$8,2,1)</f>
        <v>#N/A</v>
      </c>
      <c r="K433" s="31">
        <f>N433</f>
        <v>0</v>
      </c>
      <c r="L433" s="86">
        <f>N433</f>
        <v>0</v>
      </c>
      <c r="M433" s="80">
        <f>VLOOKUP($A433,'Выгр Кат'!$A:$R,M$1,0)</f>
        <v>0</v>
      </c>
      <c r="N433" s="80">
        <f>VLOOKUP($A433,'Выгр Кат'!$A:$R,N$1,0)</f>
        <v>0</v>
      </c>
      <c r="O433" s="28">
        <f>M433-I433</f>
        <v>0</v>
      </c>
      <c r="P433" s="28">
        <f>N433-L433</f>
        <v>0</v>
      </c>
      <c r="Q433" s="36">
        <f>IFERROR(L433*(1-$Q$2),"")</f>
        <v>0</v>
      </c>
      <c r="R433" s="38" t="str">
        <f>IFERROR(VLOOKUP($A433,'Из Гугла'!$B:$G,6,0)*S433,VLOOKUP($A433,'Из Гугла'!$B:$G,6,0))</f>
        <v/>
      </c>
      <c r="S433" s="14">
        <v>1</v>
      </c>
      <c r="T433" s="83" t="str">
        <f>IFERROR(Q433/I433-1,"")</f>
        <v/>
      </c>
      <c r="U433" s="83" t="str">
        <f>IFERROR((W433-Q433)/W433,"")</f>
        <v/>
      </c>
      <c r="V433" s="83" t="str">
        <f>IFERROR(IF(W433="","",W433/I433-1),"")</f>
        <v/>
      </c>
      <c r="W433" s="84"/>
    </row>
    <row r="434" spans="1:24" ht="45" x14ac:dyDescent="0.25">
      <c r="A434" s="80">
        <v>213596</v>
      </c>
      <c r="B434" s="80">
        <f>VLOOKUP($A434,'Выгр Кат'!$A:$R,B$1,0)</f>
        <v>13697</v>
      </c>
      <c r="C434" s="81" t="str">
        <f>VLOOKUP($A434,'Выгр Кат'!$A:$R,C$1,0)</f>
        <v>Светодиодные лампы "LED" Light G5 с вентилятором охлаждения (пара, H4, 6000К)</v>
      </c>
      <c r="D434" s="80" t="str">
        <f>VLOOKUP($A434,'Выгр Кат'!$A:$R,D$1,0)</f>
        <v>Y</v>
      </c>
      <c r="E434" s="80" t="str">
        <f>VLOOKUP($A434,'Выгр Кат'!$A:$R,E$1,0)</f>
        <v>0</v>
      </c>
      <c r="F434" s="80">
        <f>VLOOKUP($A434,'Выгр Кат'!$A:$R,F$1,0)</f>
        <v>0</v>
      </c>
      <c r="G434" s="80">
        <f>VLOOKUP($A434,'Выгр Кат'!$A:$R,G$1,0)</f>
        <v>0</v>
      </c>
      <c r="H434" s="67" t="s">
        <v>3</v>
      </c>
      <c r="I434" s="82">
        <v>0</v>
      </c>
      <c r="J434" s="5" t="e">
        <f>VLOOKUP(I434,Наценка!$A$1:$G$8,2,1)</f>
        <v>#N/A</v>
      </c>
      <c r="K434" s="31">
        <f>N434</f>
        <v>0</v>
      </c>
      <c r="L434" s="86">
        <f>N434</f>
        <v>0</v>
      </c>
      <c r="M434" s="80">
        <f>VLOOKUP($A434,'Выгр Кат'!$A:$R,M$1,0)</f>
        <v>0</v>
      </c>
      <c r="N434" s="80">
        <f>VLOOKUP($A434,'Выгр Кат'!$A:$R,N$1,0)</f>
        <v>0</v>
      </c>
      <c r="O434" s="28">
        <f>M434-I434</f>
        <v>0</v>
      </c>
      <c r="P434" s="28">
        <f>N434-L434</f>
        <v>0</v>
      </c>
      <c r="Q434" s="36">
        <f>IFERROR(L434*(1-$Q$2),"")</f>
        <v>0</v>
      </c>
      <c r="R434" s="38" t="str">
        <f>IFERROR(VLOOKUP($A434,'Из Гугла'!$B:$G,6,0)*S434,VLOOKUP($A434,'Из Гугла'!$B:$G,6,0))</f>
        <v/>
      </c>
      <c r="S434" s="14">
        <v>1</v>
      </c>
      <c r="T434" s="83" t="str">
        <f>IFERROR(Q434/I434-1,"")</f>
        <v/>
      </c>
      <c r="U434" s="83" t="str">
        <f>IFERROR((W434-Q434)/W434,"")</f>
        <v/>
      </c>
      <c r="V434" s="83" t="str">
        <f>IFERROR(IF(W434="","",W434/I434-1),"")</f>
        <v/>
      </c>
      <c r="W434" s="84"/>
    </row>
    <row r="435" spans="1:24" ht="45" x14ac:dyDescent="0.25">
      <c r="A435" s="80">
        <v>202704</v>
      </c>
      <c r="B435" s="80">
        <f>VLOOKUP($A435,'Выгр Кат'!$A:$R,B$1,0)</f>
        <v>13734</v>
      </c>
      <c r="C435" s="81" t="str">
        <f>VLOOKUP($A435,'Выгр Кат'!$A:$R,C$1,0)</f>
        <v>Рамки противотуманных фар с диодными ДХО (матовые) для Лада Калина 2</v>
      </c>
      <c r="D435" s="80" t="str">
        <f>VLOOKUP($A435,'Выгр Кат'!$A:$R,D$1,0)</f>
        <v>Y</v>
      </c>
      <c r="E435" s="80" t="str">
        <f>VLOOKUP($A435,'Выгр Кат'!$A:$R,E$1,0)</f>
        <v>0</v>
      </c>
      <c r="F435" s="80">
        <f>VLOOKUP($A435,'Выгр Кат'!$A:$R,F$1,0)</f>
        <v>0</v>
      </c>
      <c r="G435" s="80">
        <f>VLOOKUP($A435,'Выгр Кат'!$A:$R,G$1,0)</f>
        <v>0</v>
      </c>
      <c r="H435" s="67" t="s">
        <v>3</v>
      </c>
      <c r="I435" s="82">
        <v>0</v>
      </c>
      <c r="J435" s="5" t="e">
        <f>VLOOKUP(I435,Наценка!$A$1:$G$8,2,1)</f>
        <v>#N/A</v>
      </c>
      <c r="K435" s="31">
        <f>N435</f>
        <v>2690</v>
      </c>
      <c r="L435" s="70">
        <f>IF(K435&lt;=1000,(ROUNDUP(K435,-1)-1),(ROUNDUP(K435,-2)-10))</f>
        <v>2690</v>
      </c>
      <c r="M435" s="80">
        <f>VLOOKUP($A435,'Выгр Кат'!$A:$R,M$1,0)</f>
        <v>0</v>
      </c>
      <c r="N435" s="80">
        <f>VLOOKUP($A435,'Выгр Кат'!$A:$R,N$1,0)</f>
        <v>2690</v>
      </c>
      <c r="O435" s="28">
        <f>M435-I435</f>
        <v>0</v>
      </c>
      <c r="P435" s="28">
        <f>N435-L435</f>
        <v>0</v>
      </c>
      <c r="Q435" s="36">
        <f>IFERROR(L435*(1-$Q$2),"")</f>
        <v>2501.6999999999998</v>
      </c>
      <c r="R435" s="38" t="str">
        <f>IFERROR(VLOOKUP($A435,'Из Гугла'!$B:$G,6,0)*S435,VLOOKUP($A435,'Из Гугла'!$B:$G,6,0))</f>
        <v/>
      </c>
      <c r="S435" s="14">
        <v>1</v>
      </c>
      <c r="T435" s="83" t="str">
        <f>IFERROR(Q435/I435-1,"")</f>
        <v/>
      </c>
      <c r="U435" s="83" t="str">
        <f>IFERROR((W435-Q435)/W435,"")</f>
        <v/>
      </c>
      <c r="V435" s="83" t="str">
        <f>IFERROR(IF(W435="","",W435/I435-1),"")</f>
        <v/>
      </c>
      <c r="W435" s="84"/>
    </row>
    <row r="436" spans="1:24" ht="30" x14ac:dyDescent="0.25">
      <c r="A436" s="80">
        <v>145481</v>
      </c>
      <c r="B436" s="80">
        <f>VLOOKUP($A436,'Выгр Кат'!$A:$R,B$1,0)</f>
        <v>14161</v>
      </c>
      <c r="C436" s="81" t="str">
        <f>VLOOKUP($A436,'Выгр Кат'!$A:$R,C$1,0)</f>
        <v>Задние светодиодные фонари 2110-А для ВАЗ 2110</v>
      </c>
      <c r="D436" s="80" t="str">
        <f>VLOOKUP($A436,'Выгр Кат'!$A:$R,D$1,0)</f>
        <v>Y</v>
      </c>
      <c r="E436" s="80" t="str">
        <f>VLOOKUP($A436,'Выгр Кат'!$A:$R,E$1,0)</f>
        <v>0</v>
      </c>
      <c r="F436" s="80">
        <f>VLOOKUP($A436,'Выгр Кат'!$A:$R,F$1,0)</f>
        <v>0</v>
      </c>
      <c r="G436" s="80">
        <f>VLOOKUP($A436,'Выгр Кат'!$A:$R,G$1,0)</f>
        <v>0</v>
      </c>
      <c r="H436" s="67" t="s">
        <v>3</v>
      </c>
      <c r="I436" s="82">
        <v>0</v>
      </c>
      <c r="J436" s="5" t="e">
        <f>VLOOKUP(I436,Наценка!$A$1:$G$8,2,1)</f>
        <v>#N/A</v>
      </c>
      <c r="K436" s="31">
        <f>N436</f>
        <v>0</v>
      </c>
      <c r="L436" s="86">
        <v>0</v>
      </c>
      <c r="M436" s="80">
        <f>VLOOKUP($A436,'Выгр Кат'!$A:$R,M$1,0)</f>
        <v>0</v>
      </c>
      <c r="N436" s="80">
        <f>VLOOKUP($A436,'Выгр Кат'!$A:$R,N$1,0)</f>
        <v>0</v>
      </c>
      <c r="O436" s="28">
        <f>M436-I436</f>
        <v>0</v>
      </c>
      <c r="P436" s="28">
        <f>N436-L436</f>
        <v>0</v>
      </c>
      <c r="Q436" s="36">
        <f>IFERROR(L436*(1-$Q$2),"")</f>
        <v>0</v>
      </c>
      <c r="R436" s="38" t="str">
        <f>IFERROR(VLOOKUP($A436,'Из Гугла'!$B:$G,6,0)*S436,VLOOKUP($A436,'Из Гугла'!$B:$G,6,0))</f>
        <v/>
      </c>
      <c r="S436" s="14">
        <v>1</v>
      </c>
      <c r="T436" s="83" t="str">
        <f>IFERROR(Q436/I436-1,"")</f>
        <v/>
      </c>
      <c r="U436" s="83" t="str">
        <f>IFERROR((W436-Q436)/W436,"")</f>
        <v/>
      </c>
      <c r="V436" s="83" t="str">
        <f>IFERROR(IF(W436="","",W436/I436-1),"")</f>
        <v/>
      </c>
      <c r="W436" s="84"/>
    </row>
    <row r="437" spans="1:24" ht="30" x14ac:dyDescent="0.25">
      <c r="A437" s="80">
        <v>145482</v>
      </c>
      <c r="B437" s="80">
        <f>VLOOKUP($A437,'Выгр Кат'!$A:$R,B$1,0)</f>
        <v>14162</v>
      </c>
      <c r="C437" s="81" t="str">
        <f>VLOOKUP($A437,'Выгр Кат'!$A:$R,C$1,0)</f>
        <v>Задние светодиодные фонари 2110-В для ВАЗ 2110</v>
      </c>
      <c r="D437" s="80" t="str">
        <f>VLOOKUP($A437,'Выгр Кат'!$A:$R,D$1,0)</f>
        <v>Y</v>
      </c>
      <c r="E437" s="80" t="str">
        <f>VLOOKUP($A437,'Выгр Кат'!$A:$R,E$1,0)</f>
        <v>0</v>
      </c>
      <c r="F437" s="80">
        <f>VLOOKUP($A437,'Выгр Кат'!$A:$R,F$1,0)</f>
        <v>0</v>
      </c>
      <c r="G437" s="80">
        <f>VLOOKUP($A437,'Выгр Кат'!$A:$R,G$1,0)</f>
        <v>0</v>
      </c>
      <c r="H437" s="67" t="s">
        <v>3</v>
      </c>
      <c r="I437" s="82">
        <v>0</v>
      </c>
      <c r="J437" s="5" t="e">
        <f>VLOOKUP(I437,Наценка!$A$1:$G$8,2,1)</f>
        <v>#N/A</v>
      </c>
      <c r="K437" s="31">
        <f>N437</f>
        <v>0</v>
      </c>
      <c r="L437" s="86">
        <v>0</v>
      </c>
      <c r="M437" s="80">
        <f>VLOOKUP($A437,'Выгр Кат'!$A:$R,M$1,0)</f>
        <v>0</v>
      </c>
      <c r="N437" s="80">
        <f>VLOOKUP($A437,'Выгр Кат'!$A:$R,N$1,0)</f>
        <v>0</v>
      </c>
      <c r="O437" s="28">
        <f>M437-I437</f>
        <v>0</v>
      </c>
      <c r="P437" s="28">
        <f>N437-L437</f>
        <v>0</v>
      </c>
      <c r="Q437" s="36">
        <f>IFERROR(L437*(1-$Q$2),"")</f>
        <v>0</v>
      </c>
      <c r="R437" s="38" t="str">
        <f>IFERROR(VLOOKUP($A437,'Из Гугла'!$B:$G,6,0)*S437,VLOOKUP($A437,'Из Гугла'!$B:$G,6,0))</f>
        <v/>
      </c>
      <c r="S437" s="14">
        <v>1</v>
      </c>
      <c r="T437" s="83" t="str">
        <f>IFERROR(Q437/I437-1,"")</f>
        <v/>
      </c>
      <c r="U437" s="83" t="str">
        <f>IFERROR((W437-Q437)/W437,"")</f>
        <v/>
      </c>
      <c r="V437" s="83" t="str">
        <f>IFERROR(IF(W437="","",W437/I437-1),"")</f>
        <v/>
      </c>
      <c r="W437" s="84"/>
    </row>
    <row r="438" spans="1:24" ht="30" x14ac:dyDescent="0.25">
      <c r="A438" s="80">
        <v>145579</v>
      </c>
      <c r="B438" s="80">
        <f>VLOOKUP($A438,'Выгр Кат'!$A:$R,B$1,0)</f>
        <v>17748</v>
      </c>
      <c r="C438" s="81" t="str">
        <f>VLOOKUP($A438,'Выгр Кат'!$A:$R,C$1,0)</f>
        <v>Задние фонари светодиодные (хром) для Лада Приора, Приора 2</v>
      </c>
      <c r="D438" s="80" t="str">
        <f>VLOOKUP($A438,'Выгр Кат'!$A:$R,D$1,0)</f>
        <v>Y</v>
      </c>
      <c r="E438" s="80" t="str">
        <f>VLOOKUP($A438,'Выгр Кат'!$A:$R,E$1,0)</f>
        <v>0</v>
      </c>
      <c r="F438" s="80">
        <f>VLOOKUP($A438,'Выгр Кат'!$A:$R,F$1,0)</f>
        <v>0</v>
      </c>
      <c r="G438" s="80">
        <f>VLOOKUP($A438,'Выгр Кат'!$A:$R,G$1,0)</f>
        <v>0</v>
      </c>
      <c r="H438" s="67" t="s">
        <v>3</v>
      </c>
      <c r="I438" s="82">
        <v>0</v>
      </c>
      <c r="J438" s="5" t="e">
        <f>VLOOKUP(I438,Наценка!$A$1:$G$8,2,1)</f>
        <v>#N/A</v>
      </c>
      <c r="K438" s="31">
        <f>N438</f>
        <v>3290</v>
      </c>
      <c r="L438" s="70">
        <f>IF(K438&lt;=1000,(ROUNDUP(K438,-1)-1),(ROUNDUP(K438,-2)-10))</f>
        <v>3290</v>
      </c>
      <c r="M438" s="80">
        <f>VLOOKUP($A438,'Выгр Кат'!$A:$R,M$1,0)</f>
        <v>0</v>
      </c>
      <c r="N438" s="80">
        <f>VLOOKUP($A438,'Выгр Кат'!$A:$R,N$1,0)</f>
        <v>3290</v>
      </c>
      <c r="O438" s="28">
        <f>M438-I438</f>
        <v>0</v>
      </c>
      <c r="P438" s="28">
        <f>N438-L438</f>
        <v>0</v>
      </c>
      <c r="Q438" s="36">
        <f>IFERROR(L438*(1-$Q$2),"")</f>
        <v>3059.7</v>
      </c>
      <c r="R438" s="38" t="str">
        <f>IFERROR(VLOOKUP($A438,'Из Гугла'!$B:$G,6,0)*S438,VLOOKUP($A438,'Из Гугла'!$B:$G,6,0))</f>
        <v/>
      </c>
      <c r="S438" s="14">
        <v>1</v>
      </c>
      <c r="T438" s="83" t="str">
        <f>IFERROR(Q438/I438-1,"")</f>
        <v/>
      </c>
      <c r="U438" s="83" t="str">
        <f>IFERROR((W438-Q438)/W438,"")</f>
        <v/>
      </c>
      <c r="V438" s="83" t="str">
        <f>IFERROR(IF(W438="","",W438/I438-1),"")</f>
        <v/>
      </c>
      <c r="W438" s="84"/>
    </row>
    <row r="439" spans="1:24" ht="45" x14ac:dyDescent="0.25">
      <c r="A439" s="80">
        <v>165551</v>
      </c>
      <c r="B439" s="80">
        <f>VLOOKUP($A439,'Выгр Кат'!$A:$R,B$1,0)</f>
        <v>18876</v>
      </c>
      <c r="C439" s="81" t="str">
        <f>VLOOKUP($A439,'Выгр Кат'!$A:$R,C$1,0)</f>
        <v>Накладка (сабля) заднего номера "LADA NIVA 4x4" с красной подсветкой для Лада Нива 4x4</v>
      </c>
      <c r="D439" s="80" t="str">
        <f>VLOOKUP($A439,'Выгр Кат'!$A:$R,D$1,0)</f>
        <v>Y</v>
      </c>
      <c r="E439" s="80" t="str">
        <f>VLOOKUP($A439,'Выгр Кат'!$A:$R,E$1,0)</f>
        <v>0</v>
      </c>
      <c r="F439" s="80">
        <f>VLOOKUP($A439,'Выгр Кат'!$A:$R,F$1,0)</f>
        <v>0</v>
      </c>
      <c r="G439" s="80">
        <f>VLOOKUP($A439,'Выгр Кат'!$A:$R,G$1,0)</f>
        <v>0</v>
      </c>
      <c r="H439" s="67" t="s">
        <v>3</v>
      </c>
      <c r="I439" s="82">
        <v>0</v>
      </c>
      <c r="J439" s="5" t="e">
        <f>VLOOKUP(I439,Наценка!$A$1:$G$8,2,1)</f>
        <v>#N/A</v>
      </c>
      <c r="K439" s="31">
        <f>N439</f>
        <v>2590</v>
      </c>
      <c r="L439" s="70">
        <f>IF(K439&lt;=1000,(ROUNDUP(K439,-1)-1),(ROUNDUP(K439,-2)-10))</f>
        <v>2590</v>
      </c>
      <c r="M439" s="80">
        <f>VLOOKUP($A439,'Выгр Кат'!$A:$R,M$1,0)</f>
        <v>0</v>
      </c>
      <c r="N439" s="80">
        <f>VLOOKUP($A439,'Выгр Кат'!$A:$R,N$1,0)</f>
        <v>2590</v>
      </c>
      <c r="O439" s="28">
        <f>M439-I439</f>
        <v>0</v>
      </c>
      <c r="P439" s="28">
        <f>N439-L439</f>
        <v>0</v>
      </c>
      <c r="Q439" s="36">
        <f>IFERROR(L439*(1-$Q$2),"")</f>
        <v>2408.6999999999998</v>
      </c>
      <c r="R439" s="38" t="str">
        <f>IFERROR(VLOOKUP($A439,'Из Гугла'!$B:$G,6,0)*S439,VLOOKUP($A439,'Из Гугла'!$B:$G,6,0))</f>
        <v/>
      </c>
      <c r="S439" s="14">
        <v>1</v>
      </c>
      <c r="T439" s="83" t="str">
        <f>IFERROR(Q439/I439-1,"")</f>
        <v/>
      </c>
      <c r="U439" s="83" t="str">
        <f>IFERROR((W439-Q439)/W439,"")</f>
        <v/>
      </c>
      <c r="V439" s="83" t="str">
        <f>IFERROR(IF(W439="","",W439/I439-1),"")</f>
        <v/>
      </c>
      <c r="W439" s="84"/>
    </row>
    <row r="440" spans="1:24" ht="30" x14ac:dyDescent="0.25">
      <c r="A440" s="80">
        <v>211414</v>
      </c>
      <c r="B440" s="80">
        <f>VLOOKUP($A440,'Выгр Кат'!$A:$R,B$1,0)</f>
        <v>19222</v>
      </c>
      <c r="C440" s="81" t="str">
        <f>VLOOKUP($A440,'Выгр Кат'!$A:$R,C$1,0)</f>
        <v>Руль "F-1" CANADA красный карбоновый (средний вылета)</v>
      </c>
      <c r="D440" s="80" t="str">
        <f>VLOOKUP($A440,'Выгр Кат'!$A:$R,D$1,0)</f>
        <v>Y</v>
      </c>
      <c r="E440" s="80" t="str">
        <f>VLOOKUP($A440,'Выгр Кат'!$A:$R,E$1,0)</f>
        <v>0</v>
      </c>
      <c r="F440" s="80" t="str">
        <f>VLOOKUP($A440,'Выгр Кат'!$A:$R,F$1,0)</f>
        <v>PT+4125+PVC</v>
      </c>
      <c r="G440" s="80">
        <f>VLOOKUP($A440,'Выгр Кат'!$A:$R,G$1,0)</f>
        <v>0</v>
      </c>
      <c r="H440" s="67" t="s">
        <v>3</v>
      </c>
      <c r="I440" s="82">
        <v>0</v>
      </c>
      <c r="J440" s="5" t="e">
        <f>VLOOKUP(I440,Наценка!$A$1:$G$8,2,1)</f>
        <v>#N/A</v>
      </c>
      <c r="K440" s="31">
        <f>N440</f>
        <v>1790</v>
      </c>
      <c r="L440" s="70">
        <f>IF(K440&lt;=1000,(ROUNDUP(K440,-1)-1),(ROUNDUP(K440,-2)-10))</f>
        <v>1790</v>
      </c>
      <c r="M440" s="80">
        <f>VLOOKUP($A440,'Выгр Кат'!$A:$R,M$1,0)</f>
        <v>0</v>
      </c>
      <c r="N440" s="80">
        <f>VLOOKUP($A440,'Выгр Кат'!$A:$R,N$1,0)</f>
        <v>1790</v>
      </c>
      <c r="O440" s="28">
        <f>M440-I440</f>
        <v>0</v>
      </c>
      <c r="P440" s="28">
        <f>N440-L440</f>
        <v>0</v>
      </c>
      <c r="Q440" s="36">
        <f>IFERROR(L440*(1-$Q$2),"")</f>
        <v>1664.6999999999998</v>
      </c>
      <c r="R440" s="38" t="str">
        <f>IFERROR(VLOOKUP($A440,'Из Гугла'!$B:$G,6,0)*S440,VLOOKUP($A440,'Из Гугла'!$B:$G,6,0))</f>
        <v/>
      </c>
      <c r="S440" s="14">
        <v>1</v>
      </c>
      <c r="T440" s="83" t="str">
        <f>IFERROR(Q440/I440-1,"")</f>
        <v/>
      </c>
      <c r="U440" s="83" t="str">
        <f>IFERROR((W440-Q440)/W440,"")</f>
        <v/>
      </c>
      <c r="V440" s="83" t="str">
        <f>IFERROR(IF(W440="","",W440/I440-1),"")</f>
        <v/>
      </c>
      <c r="W440" s="84"/>
    </row>
    <row r="441" spans="1:24" ht="30" x14ac:dyDescent="0.25">
      <c r="A441" s="80">
        <v>131448</v>
      </c>
      <c r="B441" s="80">
        <f>VLOOKUP($A441,'Выгр Кат'!$A:$R,B$1,0)</f>
        <v>19358</v>
      </c>
      <c r="C441" s="81" t="str">
        <f>VLOOKUP($A441,'Выгр Кат'!$A:$R,C$1,0)</f>
        <v>Автолампы светодиодные LED V3 MINI H7</v>
      </c>
      <c r="D441" s="80" t="str">
        <f>VLOOKUP($A441,'Выгр Кат'!$A:$R,D$1,0)</f>
        <v>Y</v>
      </c>
      <c r="E441" s="80" t="str">
        <f>VLOOKUP($A441,'Выгр Кат'!$A:$R,E$1,0)</f>
        <v>0</v>
      </c>
      <c r="F441" s="80">
        <f>VLOOKUP($A441,'Выгр Кат'!$A:$R,F$1,0)</f>
        <v>0</v>
      </c>
      <c r="G441" s="80">
        <f>VLOOKUP($A441,'Выгр Кат'!$A:$R,G$1,0)</f>
        <v>0</v>
      </c>
      <c r="H441" s="67" t="s">
        <v>3</v>
      </c>
      <c r="I441" s="82">
        <v>0</v>
      </c>
      <c r="J441" s="5" t="e">
        <f>VLOOKUP(I441,Наценка!$A$1:$G$8,2,1)</f>
        <v>#N/A</v>
      </c>
      <c r="K441" s="31">
        <f>N441</f>
        <v>1790</v>
      </c>
      <c r="L441" s="70">
        <f>IF(K441&lt;=1000,(ROUNDUP(K441,-1)-1),(ROUNDUP(K441,-2)-10))</f>
        <v>1790</v>
      </c>
      <c r="M441" s="80">
        <f>VLOOKUP($A441,'Выгр Кат'!$A:$R,M$1,0)</f>
        <v>0</v>
      </c>
      <c r="N441" s="80">
        <f>VLOOKUP($A441,'Выгр Кат'!$A:$R,N$1,0)</f>
        <v>1790</v>
      </c>
      <c r="O441" s="28">
        <f>M441-I441</f>
        <v>0</v>
      </c>
      <c r="P441" s="28">
        <f>N441-L441</f>
        <v>0</v>
      </c>
      <c r="Q441" s="36">
        <f>IFERROR(L441*(1-$Q$2),"")</f>
        <v>1664.6999999999998</v>
      </c>
      <c r="R441" s="38" t="str">
        <f>IFERROR(VLOOKUP($A441,'Из Гугла'!$B:$G,6,0)*S441,VLOOKUP($A441,'Из Гугла'!$B:$G,6,0))</f>
        <v/>
      </c>
      <c r="S441" s="14">
        <v>1</v>
      </c>
      <c r="T441" s="83" t="str">
        <f>IFERROR(Q441/I441-1,"")</f>
        <v/>
      </c>
      <c r="U441" s="83" t="str">
        <f>IFERROR((W441-Q441)/W441,"")</f>
        <v/>
      </c>
      <c r="V441" s="83" t="str">
        <f>IFERROR(IF(W441="","",W441/I441-1),"")</f>
        <v/>
      </c>
      <c r="W441" s="84"/>
    </row>
    <row r="442" spans="1:24" ht="30" x14ac:dyDescent="0.25">
      <c r="A442" s="80">
        <v>187503</v>
      </c>
      <c r="B442" s="80">
        <f>VLOOKUP($A442,'Выгр Кат'!$A:$R,B$1,0)</f>
        <v>21592</v>
      </c>
      <c r="C442" s="81" t="str">
        <f>VLOOKUP($A442,'Выгр Кат'!$A:$R,C$1,0)</f>
        <v>Передние черные фары с линзой на ВАЗ 2110-2112</v>
      </c>
      <c r="D442" s="80" t="str">
        <f>VLOOKUP($A442,'Выгр Кат'!$A:$R,D$1,0)</f>
        <v>Y</v>
      </c>
      <c r="E442" s="80" t="str">
        <f>VLOOKUP($A442,'Выгр Кат'!$A:$R,E$1,0)</f>
        <v>0</v>
      </c>
      <c r="F442" s="80">
        <f>VLOOKUP($A442,'Выгр Кат'!$A:$R,F$1,0)</f>
        <v>0</v>
      </c>
      <c r="G442" s="80">
        <f>VLOOKUP($A442,'Выгр Кат'!$A:$R,G$1,0)</f>
        <v>0</v>
      </c>
      <c r="H442" s="67" t="s">
        <v>3</v>
      </c>
      <c r="I442" s="82">
        <v>0</v>
      </c>
      <c r="J442" s="5" t="e">
        <f>VLOOKUP(I442,Наценка!$A$1:$G$8,2,1)</f>
        <v>#N/A</v>
      </c>
      <c r="K442" s="31">
        <f>N442</f>
        <v>4890</v>
      </c>
      <c r="L442" s="70">
        <f>IF(K442&lt;=1000,(ROUNDUP(K442,-1)-1),(ROUNDUP(K442,-2)-10))</f>
        <v>4890</v>
      </c>
      <c r="M442" s="80">
        <f>VLOOKUP($A442,'Выгр Кат'!$A:$R,M$1,0)</f>
        <v>0</v>
      </c>
      <c r="N442" s="80">
        <f>VLOOKUP($A442,'Выгр Кат'!$A:$R,N$1,0)</f>
        <v>4890</v>
      </c>
      <c r="O442" s="28">
        <f>M442-I442</f>
        <v>0</v>
      </c>
      <c r="P442" s="28">
        <f>N442-L442</f>
        <v>0</v>
      </c>
      <c r="Q442" s="36">
        <f>IFERROR(L442*(1-$Q$2),"")</f>
        <v>4547.7</v>
      </c>
      <c r="R442" s="38" t="str">
        <f>IFERROR(VLOOKUP($A442,'Из Гугла'!$B:$G,6,0)*S442,VLOOKUP($A442,'Из Гугла'!$B:$G,6,0))</f>
        <v/>
      </c>
      <c r="S442" s="14">
        <v>1</v>
      </c>
      <c r="T442" s="83" t="str">
        <f>IFERROR(Q442/I442-1,"")</f>
        <v/>
      </c>
      <c r="U442" s="83" t="str">
        <f>IFERROR((W442-Q442)/W442,"")</f>
        <v/>
      </c>
      <c r="V442" s="83" t="str">
        <f>IFERROR(IF(W442="","",W442/I442-1),"")</f>
        <v/>
      </c>
      <c r="W442" s="84"/>
    </row>
    <row r="443" spans="1:24" ht="45" x14ac:dyDescent="0.25">
      <c r="A443" s="80">
        <v>117282</v>
      </c>
      <c r="B443" s="80">
        <f>VLOOKUP($A443,'Выгр Кат'!$A:$R,B$1,0)</f>
        <v>134733</v>
      </c>
      <c r="C443" s="81" t="str">
        <f>VLOOKUP($A443,'Выгр Кат'!$A:$R,C$1,0)</f>
        <v>LED (диодные) надфарники с дневными ходовыми огнями (надпись "BOSS")</v>
      </c>
      <c r="D443" s="80" t="str">
        <f>VLOOKUP($A443,'Выгр Кат'!$A:$R,D$1,0)</f>
        <v>Y</v>
      </c>
      <c r="E443" s="80" t="str">
        <f>VLOOKUP($A443,'Выгр Кат'!$A:$R,E$1,0)</f>
        <v>0</v>
      </c>
      <c r="F443" s="80" t="str">
        <f>VLOOKUP($A443,'Выгр Кат'!$A:$R,F$1,0)</f>
        <v>HP-GZD-313-01</v>
      </c>
      <c r="G443" s="80">
        <f>VLOOKUP($A443,'Выгр Кат'!$A:$R,G$1,0)</f>
        <v>0</v>
      </c>
      <c r="H443" s="67" t="s">
        <v>3</v>
      </c>
      <c r="I443" s="82">
        <v>0</v>
      </c>
      <c r="J443" s="5" t="e">
        <f>VLOOKUP(I443,Наценка!$A$1:$G$8,2,1)</f>
        <v>#N/A</v>
      </c>
      <c r="K443" s="31">
        <f>N443</f>
        <v>0</v>
      </c>
      <c r="L443" s="86">
        <f>N443</f>
        <v>0</v>
      </c>
      <c r="M443" s="80">
        <f>VLOOKUP($A443,'Выгр Кат'!$A:$R,M$1,0)</f>
        <v>0</v>
      </c>
      <c r="N443" s="80">
        <f>VLOOKUP($A443,'Выгр Кат'!$A:$R,N$1,0)</f>
        <v>0</v>
      </c>
      <c r="O443" s="28">
        <f>M443-I443</f>
        <v>0</v>
      </c>
      <c r="P443" s="28">
        <f>N443-L443</f>
        <v>0</v>
      </c>
      <c r="Q443" s="36">
        <f>IFERROR(L443*(1-$Q$2),"")</f>
        <v>0</v>
      </c>
      <c r="R443" s="38" t="str">
        <f>IFERROR(VLOOKUP($A443,'Из Гугла'!$B:$G,6,0)*S443,VLOOKUP($A443,'Из Гугла'!$B:$G,6,0))</f>
        <v/>
      </c>
      <c r="S443" s="14">
        <v>1</v>
      </c>
      <c r="T443" s="83" t="str">
        <f>IFERROR(Q443/I443-1,"")</f>
        <v/>
      </c>
      <c r="U443" s="83" t="str">
        <f>IFERROR((W443-Q443)/W443,"")</f>
        <v/>
      </c>
      <c r="V443" s="83" t="str">
        <f>IFERROR(IF(W443="","",W443/I443-1),"")</f>
        <v/>
      </c>
      <c r="W443" s="84"/>
    </row>
    <row r="444" spans="1:24" ht="45" x14ac:dyDescent="0.25">
      <c r="A444" s="80">
        <v>143529</v>
      </c>
      <c r="B444" s="80">
        <f>VLOOKUP($A444,'Выгр Кат'!$A:$R,B$1,0)</f>
        <v>10038</v>
      </c>
      <c r="C444" s="81" t="str">
        <f>VLOOKUP($A444,'Выгр Кат'!$A:$R,C$1,0)</f>
        <v>(дубль) Декоративные накладки «Жабры» 0395 на кузов автомобиля, красные</v>
      </c>
      <c r="D444" s="80" t="str">
        <f>VLOOKUP($A444,'Выгр Кат'!$A:$R,D$1,0)</f>
        <v>N</v>
      </c>
      <c r="E444" s="80" t="str">
        <f>VLOOKUP($A444,'Выгр Кат'!$A:$R,E$1,0)</f>
        <v>1</v>
      </c>
      <c r="F444" s="80">
        <f>VLOOKUP($A444,'Выгр Кат'!$A:$R,F$1,0)</f>
        <v>0</v>
      </c>
      <c r="G444" s="80" t="str">
        <f>VLOOKUP($A444,'Выгр Кат'!$A:$R,G$1,0)</f>
        <v>https://motorring.ru/product/11867-dekorativnye-nakladki-ghabry-0395-kuzov-avtomobilya-krasnye</v>
      </c>
      <c r="H444" s="67" t="s">
        <v>3</v>
      </c>
      <c r="I444" s="82">
        <v>100</v>
      </c>
      <c r="J444" s="5">
        <f>VLOOKUP(I444,Наценка!$A$1:$G$8,2,1)</f>
        <v>3.2</v>
      </c>
      <c r="K444" s="87">
        <f>W444*1.06</f>
        <v>338.14000000000004</v>
      </c>
      <c r="L444" s="70">
        <f>IF(K444&lt;=1000,(ROUNDUP(K444,-1)-1),(ROUNDUP(K444,-2)-10))</f>
        <v>339</v>
      </c>
      <c r="M444" s="80">
        <f>VLOOKUP($A444,'Выгр Кат'!$A:$R,M$1,0)</f>
        <v>100</v>
      </c>
      <c r="N444" s="80">
        <f>VLOOKUP($A444,'Выгр Кат'!$A:$R,N$1,0)</f>
        <v>339</v>
      </c>
      <c r="O444" s="28">
        <f>M444-I444</f>
        <v>0</v>
      </c>
      <c r="P444" s="28">
        <f>N444-L444</f>
        <v>0</v>
      </c>
      <c r="Q444" s="36">
        <f>IFERROR(L444*(1-$Q$2),"")</f>
        <v>315.27</v>
      </c>
      <c r="R444" s="38">
        <f>IFERROR(VLOOKUP($A444,'Из Гугла'!$B:$G,6,0)*S444,VLOOKUP($A444,'Из Гугла'!$B:$G,6,0))</f>
        <v>319</v>
      </c>
      <c r="S444" s="14">
        <v>1</v>
      </c>
      <c r="T444" s="83">
        <f>IFERROR(Q444/I444-1,"")</f>
        <v>2.1526999999999998</v>
      </c>
      <c r="U444" s="83">
        <f>IFERROR((W444-Q444)/W444,"")</f>
        <v>1.1692789968652095E-2</v>
      </c>
      <c r="V444" s="83">
        <f>IFERROR(IF(W444="","",W444/I444-1),"")</f>
        <v>2.19</v>
      </c>
      <c r="W444" s="93">
        <v>319</v>
      </c>
      <c r="X444" s="71" t="s">
        <v>904</v>
      </c>
    </row>
    <row r="445" spans="1:24" ht="30" x14ac:dyDescent="0.25">
      <c r="A445" s="80">
        <v>217222</v>
      </c>
      <c r="B445" s="80">
        <f>VLOOKUP($A445,'Выгр Кат'!$A:$R,B$1,0)</f>
        <v>10039</v>
      </c>
      <c r="C445" s="81" t="str">
        <f>VLOOKUP($A445,'Выгр Кат'!$A:$R,C$1,0)</f>
        <v>Спойлеры с диодом на дворники, карбон</v>
      </c>
      <c r="D445" s="80" t="str">
        <f>VLOOKUP($A445,'Выгр Кат'!$A:$R,D$1,0)</f>
        <v>N</v>
      </c>
      <c r="E445" s="80" t="str">
        <f>VLOOKUP($A445,'Выгр Кат'!$A:$R,E$1,0)</f>
        <v>1</v>
      </c>
      <c r="F445" s="80">
        <f>VLOOKUP($A445,'Выгр Кат'!$A:$R,F$1,0)</f>
        <v>0</v>
      </c>
      <c r="G445" s="80" t="str">
        <f>VLOOKUP($A445,'Выгр Кат'!$A:$R,G$1,0)</f>
        <v>https://motorring.ru/product/11869-spoylery-diodom-dvorniki-karbon</v>
      </c>
      <c r="H445" s="67" t="s">
        <v>3</v>
      </c>
      <c r="I445" s="82">
        <v>100</v>
      </c>
      <c r="J445" s="5">
        <f>VLOOKUP(I445,Наценка!$A$1:$G$8,2,1)</f>
        <v>3.2</v>
      </c>
      <c r="K445" s="87">
        <f>W445*1.06</f>
        <v>338.14000000000004</v>
      </c>
      <c r="L445" s="70">
        <f>IF(K445&lt;=1000,(ROUNDUP(K445,-1)-1),(ROUNDUP(K445,-2)-10))</f>
        <v>339</v>
      </c>
      <c r="M445" s="80">
        <f>VLOOKUP($A445,'Выгр Кат'!$A:$R,M$1,0)</f>
        <v>100</v>
      </c>
      <c r="N445" s="80">
        <f>VLOOKUP($A445,'Выгр Кат'!$A:$R,N$1,0)</f>
        <v>339</v>
      </c>
      <c r="O445" s="28">
        <f>M445-I445</f>
        <v>0</v>
      </c>
      <c r="P445" s="28">
        <f>N445-L445</f>
        <v>0</v>
      </c>
      <c r="Q445" s="36">
        <f>IFERROR(L445*(1-$Q$2),"")</f>
        <v>315.27</v>
      </c>
      <c r="R445" s="38">
        <f>IFERROR(VLOOKUP($A445,'Из Гугла'!$B:$G,6,0)*S445,VLOOKUP($A445,'Из Гугла'!$B:$G,6,0))</f>
        <v>319</v>
      </c>
      <c r="S445" s="14">
        <v>1</v>
      </c>
      <c r="T445" s="83">
        <f>IFERROR(Q445/I445-1,"")</f>
        <v>2.1526999999999998</v>
      </c>
      <c r="U445" s="83">
        <f>IFERROR((W445-Q445)/W445,"")</f>
        <v>1.1692789968652095E-2</v>
      </c>
      <c r="V445" s="83">
        <f>IFERROR(IF(W445="","",W445/I445-1),"")</f>
        <v>2.19</v>
      </c>
      <c r="W445" s="93">
        <v>319</v>
      </c>
      <c r="X445" s="71" t="s">
        <v>738</v>
      </c>
    </row>
    <row r="446" spans="1:24" ht="30.75" thickBot="1" x14ac:dyDescent="0.3">
      <c r="A446" s="80">
        <v>217225</v>
      </c>
      <c r="B446" s="80">
        <f>VLOOKUP($A446,'Выгр Кат'!$A:$R,B$1,0)</f>
        <v>10041</v>
      </c>
      <c r="C446" s="81" t="str">
        <f>VLOOKUP($A446,'Выгр Кат'!$A:$R,C$1,0)</f>
        <v>Спойлеры с диодом на дворники, снежка</v>
      </c>
      <c r="D446" s="80" t="str">
        <f>VLOOKUP($A446,'Выгр Кат'!$A:$R,D$1,0)</f>
        <v>N</v>
      </c>
      <c r="E446" s="80" t="str">
        <f>VLOOKUP($A446,'Выгр Кат'!$A:$R,E$1,0)</f>
        <v>1</v>
      </c>
      <c r="F446" s="80">
        <f>VLOOKUP($A446,'Выгр Кат'!$A:$R,F$1,0)</f>
        <v>0</v>
      </c>
      <c r="G446" s="80">
        <f>VLOOKUP($A446,'Выгр Кат'!$A:$R,G$1,0)</f>
        <v>0</v>
      </c>
      <c r="H446" s="67" t="s">
        <v>3</v>
      </c>
      <c r="I446" s="82">
        <v>100</v>
      </c>
      <c r="J446" s="5">
        <f>VLOOKUP(I446,Наценка!$A$1:$G$8,2,1)</f>
        <v>3.2</v>
      </c>
      <c r="K446" s="88">
        <f>I446*J446</f>
        <v>320</v>
      </c>
      <c r="L446" s="70">
        <f>IF(K446&lt;=1000,(ROUNDUP(K446,-1)-1),(ROUNDUP(K446,-2)-10))</f>
        <v>319</v>
      </c>
      <c r="M446" s="80">
        <f>VLOOKUP($A446,'Выгр Кат'!$A:$R,M$1,0)</f>
        <v>100</v>
      </c>
      <c r="N446" s="80">
        <f>VLOOKUP($A446,'Выгр Кат'!$A:$R,N$1,0)</f>
        <v>319</v>
      </c>
      <c r="O446" s="28">
        <f>M446-I446</f>
        <v>0</v>
      </c>
      <c r="P446" s="28">
        <f>N446-L446</f>
        <v>0</v>
      </c>
      <c r="Q446" s="36">
        <f>IFERROR(L446*(1-$Q$2),"")</f>
        <v>296.66999999999996</v>
      </c>
      <c r="R446" s="38" t="str">
        <f>IFERROR(VLOOKUP($A446,'Из Гугла'!$B:$G,6,0)*S446,VLOOKUP($A446,'Из Гугла'!$B:$G,6,0))</f>
        <v/>
      </c>
      <c r="S446" s="14">
        <v>1</v>
      </c>
      <c r="T446" s="83">
        <f>IFERROR(Q446/I446-1,"")</f>
        <v>1.9666999999999994</v>
      </c>
      <c r="U446" s="83" t="str">
        <f>IFERROR((W446-Q446)/W446,"")</f>
        <v/>
      </c>
      <c r="V446" s="83" t="str">
        <f>IFERROR(IF(W446="","",W446/I446-1),"")</f>
        <v/>
      </c>
      <c r="W446" s="94" t="s">
        <v>1428</v>
      </c>
    </row>
    <row r="447" spans="1:24" ht="30.75" thickTop="1" x14ac:dyDescent="0.25">
      <c r="A447" s="80">
        <v>217226</v>
      </c>
      <c r="B447" s="80">
        <f>VLOOKUP($A447,'Выгр Кат'!$A:$R,B$1,0)</f>
        <v>10043</v>
      </c>
      <c r="C447" s="81" t="str">
        <f>VLOOKUP($A447,'Выгр Кат'!$A:$R,C$1,0)</f>
        <v>Спойлеры с диодом на дворники, хром</v>
      </c>
      <c r="D447" s="80" t="str">
        <f>VLOOKUP($A447,'Выгр Кат'!$A:$R,D$1,0)</f>
        <v>N</v>
      </c>
      <c r="E447" s="80" t="str">
        <f>VLOOKUP($A447,'Выгр Кат'!$A:$R,E$1,0)</f>
        <v>1</v>
      </c>
      <c r="F447" s="80">
        <f>VLOOKUP($A447,'Выгр Кат'!$A:$R,F$1,0)</f>
        <v>0</v>
      </c>
      <c r="G447" s="80" t="str">
        <f>VLOOKUP($A447,'Выгр Кат'!$A:$R,G$1,0)</f>
        <v>https://motorring.ru/product/11873-spoylery-diodom-dvorniki-hrom</v>
      </c>
      <c r="H447" s="67" t="s">
        <v>3</v>
      </c>
      <c r="I447" s="82">
        <v>100</v>
      </c>
      <c r="J447" s="5">
        <f>VLOOKUP(I447,Наценка!$A$1:$G$8,2,1)</f>
        <v>3.2</v>
      </c>
      <c r="K447" s="87">
        <f>W447*1.06</f>
        <v>338.14000000000004</v>
      </c>
      <c r="L447" s="70">
        <f>IF(K447&lt;=1000,(ROUNDUP(K447,-1)-1),(ROUNDUP(K447,-2)-10))</f>
        <v>339</v>
      </c>
      <c r="M447" s="80">
        <f>VLOOKUP($A447,'Выгр Кат'!$A:$R,M$1,0)</f>
        <v>100</v>
      </c>
      <c r="N447" s="80">
        <f>VLOOKUP($A447,'Выгр Кат'!$A:$R,N$1,0)</f>
        <v>339</v>
      </c>
      <c r="O447" s="28">
        <f>M447-I447</f>
        <v>0</v>
      </c>
      <c r="P447" s="28">
        <f>N447-L447</f>
        <v>0</v>
      </c>
      <c r="Q447" s="36">
        <f>IFERROR(L447*(1-$Q$2),"")</f>
        <v>315.27</v>
      </c>
      <c r="R447" s="38">
        <f>IFERROR(VLOOKUP($A447,'Из Гугла'!$B:$G,6,0)*S447,VLOOKUP($A447,'Из Гугла'!$B:$G,6,0))</f>
        <v>319</v>
      </c>
      <c r="S447" s="14">
        <v>1</v>
      </c>
      <c r="T447" s="83">
        <f>IFERROR(Q447/I447-1,"")</f>
        <v>2.1526999999999998</v>
      </c>
      <c r="U447" s="83">
        <f>IFERROR((W447-Q447)/W447,"")</f>
        <v>1.1692789968652095E-2</v>
      </c>
      <c r="V447" s="83">
        <f>IFERROR(IF(W447="","",W447/I447-1),"")</f>
        <v>2.19</v>
      </c>
      <c r="W447" s="93">
        <v>319</v>
      </c>
      <c r="X447" s="71" t="s">
        <v>906</v>
      </c>
    </row>
    <row r="448" spans="1:24" ht="30" x14ac:dyDescent="0.25">
      <c r="A448" s="80">
        <v>143527</v>
      </c>
      <c r="B448" s="80">
        <f>VLOOKUP($A448,'Выгр Кат'!$A:$R,B$1,0)</f>
        <v>36917</v>
      </c>
      <c r="C448" s="81" t="str">
        <f>VLOOKUP($A448,'Выгр Кат'!$A:$R,C$1,0)</f>
        <v>Декоративные накладки "Жабры" на кузов автомобиля (серебро)</v>
      </c>
      <c r="D448" s="80" t="str">
        <f>VLOOKUP($A448,'Выгр Кат'!$A:$R,D$1,0)</f>
        <v>N</v>
      </c>
      <c r="E448" s="80" t="str">
        <f>VLOOKUP($A448,'Выгр Кат'!$A:$R,E$1,0)</f>
        <v>1</v>
      </c>
      <c r="F448" s="80" t="str">
        <f>VLOOKUP($A448,'Выгр Кат'!$A:$R,F$1,0)</f>
        <v>0395</v>
      </c>
      <c r="G448" s="80">
        <f>VLOOKUP($A448,'Выгр Кат'!$A:$R,G$1,0)</f>
        <v>0</v>
      </c>
      <c r="H448" s="67" t="s">
        <v>3</v>
      </c>
      <c r="I448" s="82">
        <v>100</v>
      </c>
      <c r="J448" s="5">
        <f>VLOOKUP(I448,Наценка!$A$1:$G$8,2,1)</f>
        <v>3.2</v>
      </c>
      <c r="K448" s="34">
        <f>I448*J448</f>
        <v>320</v>
      </c>
      <c r="L448" s="70">
        <f>IF(K448&lt;=1000,(ROUNDUP(K448,-1)-1),(ROUNDUP(K448,-2)-10))</f>
        <v>319</v>
      </c>
      <c r="M448" s="80">
        <f>VLOOKUP($A448,'Выгр Кат'!$A:$R,M$1,0)</f>
        <v>100</v>
      </c>
      <c r="N448" s="80">
        <f>VLOOKUP($A448,'Выгр Кат'!$A:$R,N$1,0)</f>
        <v>319</v>
      </c>
      <c r="O448" s="28">
        <f>M448-I448</f>
        <v>0</v>
      </c>
      <c r="P448" s="28">
        <f>N448-L448</f>
        <v>0</v>
      </c>
      <c r="Q448" s="36">
        <f>IFERROR(L448*(1-$Q$2),"")</f>
        <v>296.66999999999996</v>
      </c>
      <c r="R448" s="38" t="str">
        <f>IFERROR(VLOOKUP($A448,'Из Гугла'!$B:$G,6,0)*S448,VLOOKUP($A448,'Из Гугла'!$B:$G,6,0))</f>
        <v/>
      </c>
      <c r="S448" s="14">
        <v>1</v>
      </c>
      <c r="T448" s="83">
        <f>IFERROR(Q448/I448-1,"")</f>
        <v>1.9666999999999994</v>
      </c>
      <c r="U448" s="83" t="str">
        <f>IFERROR((W448-Q448)/W448,"")</f>
        <v/>
      </c>
      <c r="V448" s="83" t="str">
        <f>IFERROR(IF(W448="","",W448/I448-1),"")</f>
        <v/>
      </c>
      <c r="W448" s="84" t="s">
        <v>1428</v>
      </c>
    </row>
    <row r="449" spans="1:24" ht="30" x14ac:dyDescent="0.25">
      <c r="A449" s="80">
        <v>169759</v>
      </c>
      <c r="B449" s="80">
        <f>VLOOKUP($A449,'Выгр Кат'!$A:$R,B$1,0)</f>
        <v>9958</v>
      </c>
      <c r="C449" s="81" t="str">
        <f>VLOOKUP($A449,'Выгр Кат'!$A:$R,C$1,0)</f>
        <v>Накладки на педали (черные)</v>
      </c>
      <c r="D449" s="80" t="str">
        <f>VLOOKUP($A449,'Выгр Кат'!$A:$R,D$1,0)</f>
        <v>Y</v>
      </c>
      <c r="E449" s="80" t="str">
        <f>VLOOKUP($A449,'Выгр Кат'!$A:$R,E$1,0)</f>
        <v>0</v>
      </c>
      <c r="F449" s="80" t="str">
        <f>VLOOKUP($A449,'Выгр Кат'!$A:$R,F$1,0)</f>
        <v>1045</v>
      </c>
      <c r="G449" s="80">
        <f>VLOOKUP($A449,'Выгр Кат'!$A:$R,G$1,0)</f>
        <v>0</v>
      </c>
      <c r="H449" s="67" t="s">
        <v>3</v>
      </c>
      <c r="I449" s="82">
        <v>100</v>
      </c>
      <c r="J449" s="5">
        <f>VLOOKUP(I449,Наценка!$A$1:$G$8,2,1)</f>
        <v>3.2</v>
      </c>
      <c r="K449" s="34">
        <f>I449*J449</f>
        <v>320</v>
      </c>
      <c r="L449" s="70">
        <f>IF(K449&lt;=1000,(ROUNDUP(K449,-1)-1),(ROUNDUP(K449,-2)-10))</f>
        <v>319</v>
      </c>
      <c r="M449" s="80">
        <f>VLOOKUP($A449,'Выгр Кат'!$A:$R,M$1,0)</f>
        <v>100</v>
      </c>
      <c r="N449" s="80">
        <f>VLOOKUP($A449,'Выгр Кат'!$A:$R,N$1,0)</f>
        <v>319</v>
      </c>
      <c r="O449" s="28">
        <f>M449-I449</f>
        <v>0</v>
      </c>
      <c r="P449" s="28">
        <f>N449-L449</f>
        <v>0</v>
      </c>
      <c r="Q449" s="36">
        <f>IFERROR(L449*(1-$Q$2),"")</f>
        <v>296.66999999999996</v>
      </c>
      <c r="R449" s="38" t="str">
        <f>IFERROR(VLOOKUP($A449,'Из Гугла'!$B:$G,6,0)*S449,VLOOKUP($A449,'Из Гугла'!$B:$G,6,0))</f>
        <v/>
      </c>
      <c r="S449" s="14">
        <v>1</v>
      </c>
      <c r="T449" s="83">
        <f>IFERROR(Q449/I449-1,"")</f>
        <v>1.9666999999999994</v>
      </c>
      <c r="U449" s="83" t="str">
        <f>IFERROR((W449-Q449)/W449,"")</f>
        <v/>
      </c>
      <c r="V449" s="83" t="str">
        <f>IFERROR(IF(W449="","",W449/I449-1),"")</f>
        <v/>
      </c>
      <c r="W449" s="84"/>
    </row>
    <row r="450" spans="1:24" ht="30" x14ac:dyDescent="0.25">
      <c r="A450" s="80">
        <v>224464</v>
      </c>
      <c r="B450" s="80">
        <f>VLOOKUP($A450,'Выгр Кат'!$A:$R,B$1,0)</f>
        <v>8134</v>
      </c>
      <c r="C450" s="81" t="str">
        <f>VLOOKUP($A450,'Выгр Кат'!$A:$R,C$1,0)</f>
        <v>Ходовые огни 017 (L 17)</v>
      </c>
      <c r="D450" s="80" t="str">
        <f>VLOOKUP($A450,'Выгр Кат'!$A:$R,D$1,0)</f>
        <v>Y</v>
      </c>
      <c r="E450" s="80" t="str">
        <f>VLOOKUP($A450,'Выгр Кат'!$A:$R,E$1,0)</f>
        <v>0</v>
      </c>
      <c r="F450" s="80" t="str">
        <f>VLOOKUP($A450,'Выгр Кат'!$A:$R,F$1,0)</f>
        <v>017</v>
      </c>
      <c r="G450" s="80">
        <f>VLOOKUP($A450,'Выгр Кат'!$A:$R,G$1,0)</f>
        <v>0</v>
      </c>
      <c r="H450" s="67" t="s">
        <v>3</v>
      </c>
      <c r="I450" s="82">
        <v>150</v>
      </c>
      <c r="J450" s="5">
        <f>VLOOKUP(I450,Наценка!$A$1:$G$8,2,1)</f>
        <v>2.1</v>
      </c>
      <c r="K450" s="34">
        <f>I450*J450</f>
        <v>315</v>
      </c>
      <c r="L450" s="70">
        <f>IF(K450&lt;=1000,(ROUNDUP(K450,-1)-1),(ROUNDUP(K450,-2)-10))</f>
        <v>319</v>
      </c>
      <c r="M450" s="80">
        <f>VLOOKUP($A450,'Выгр Кат'!$A:$R,M$1,0)</f>
        <v>150</v>
      </c>
      <c r="N450" s="80">
        <f>VLOOKUP($A450,'Выгр Кат'!$A:$R,N$1,0)</f>
        <v>319</v>
      </c>
      <c r="O450" s="28">
        <f>M450-I450</f>
        <v>0</v>
      </c>
      <c r="P450" s="28">
        <f>N450-L450</f>
        <v>0</v>
      </c>
      <c r="Q450" s="36">
        <f>IFERROR(L450*(1-$Q$2),"")</f>
        <v>296.66999999999996</v>
      </c>
      <c r="R450" s="38" t="str">
        <f>IFERROR(VLOOKUP($A450,'Из Гугла'!$B:$G,6,0)*S450,VLOOKUP($A450,'Из Гугла'!$B:$G,6,0))</f>
        <v/>
      </c>
      <c r="S450" s="14">
        <v>1</v>
      </c>
      <c r="T450" s="83">
        <f>IFERROR(Q450/I450-1,"")</f>
        <v>0.97779999999999978</v>
      </c>
      <c r="U450" s="83" t="str">
        <f>IFERROR((W450-Q450)/W450,"")</f>
        <v/>
      </c>
      <c r="V450" s="83" t="str">
        <f>IFERROR(IF(W450="","",W450/I450-1),"")</f>
        <v/>
      </c>
      <c r="W450" s="84"/>
    </row>
    <row r="451" spans="1:24" ht="30" x14ac:dyDescent="0.25">
      <c r="A451" s="80">
        <v>217223</v>
      </c>
      <c r="B451" s="80">
        <f>VLOOKUP($A451,'Выгр Кат'!$A:$R,B$1,0)</f>
        <v>10040</v>
      </c>
      <c r="C451" s="81" t="str">
        <f>VLOOKUP($A451,'Выгр Кат'!$A:$R,C$1,0)</f>
        <v>Спойлеры с диодом на дворники, красные</v>
      </c>
      <c r="D451" s="80" t="str">
        <f>VLOOKUP($A451,'Выгр Кат'!$A:$R,D$1,0)</f>
        <v>N</v>
      </c>
      <c r="E451" s="80" t="str">
        <f>VLOOKUP($A451,'Выгр Кат'!$A:$R,E$1,0)</f>
        <v>1</v>
      </c>
      <c r="F451" s="80">
        <f>VLOOKUP($A451,'Выгр Кат'!$A:$R,F$1,0)</f>
        <v>0</v>
      </c>
      <c r="G451" s="80" t="str">
        <f>VLOOKUP($A451,'Выгр Кат'!$A:$R,G$1,0)</f>
        <v>https://motorring.ru/product/11870-spoylery-diodom-dvorniki-krasnye</v>
      </c>
      <c r="H451" s="67" t="s">
        <v>3</v>
      </c>
      <c r="I451" s="82">
        <v>200</v>
      </c>
      <c r="J451" s="5">
        <f>VLOOKUP(I451,Наценка!$A$1:$G$8,2,1)</f>
        <v>2.1</v>
      </c>
      <c r="K451" s="87">
        <f>W451*1.06</f>
        <v>338.14000000000004</v>
      </c>
      <c r="L451" s="70">
        <f>IF(K451&lt;=1000,(ROUNDUP(K451,-1)-1),(ROUNDUP(K451,-2)-10))</f>
        <v>339</v>
      </c>
      <c r="M451" s="80">
        <f>VLOOKUP($A451,'Выгр Кат'!$A:$R,M$1,0)</f>
        <v>200</v>
      </c>
      <c r="N451" s="80">
        <f>VLOOKUP($A451,'Выгр Кат'!$A:$R,N$1,0)</f>
        <v>339</v>
      </c>
      <c r="O451" s="28">
        <f>M451-I451</f>
        <v>0</v>
      </c>
      <c r="P451" s="28">
        <f>N451-L451</f>
        <v>0</v>
      </c>
      <c r="Q451" s="36">
        <f>IFERROR(L451*(1-$Q$2),"")</f>
        <v>315.27</v>
      </c>
      <c r="R451" s="38">
        <f>IFERROR(VLOOKUP($A451,'Из Гугла'!$B:$G,6,0)*S451,VLOOKUP($A451,'Из Гугла'!$B:$G,6,0))</f>
        <v>319</v>
      </c>
      <c r="S451" s="14">
        <v>1</v>
      </c>
      <c r="T451" s="83">
        <f>IFERROR(Q451/I451-1,"")</f>
        <v>0.57634999999999992</v>
      </c>
      <c r="U451" s="83">
        <f>IFERROR((W451-Q451)/W451,"")</f>
        <v>1.1692789968652095E-2</v>
      </c>
      <c r="V451" s="83">
        <f>IFERROR(IF(W451="","",W451/I451-1),"")</f>
        <v>0.59499999999999997</v>
      </c>
      <c r="W451" s="84">
        <v>319</v>
      </c>
      <c r="X451" s="71" t="s">
        <v>1457</v>
      </c>
    </row>
    <row r="452" spans="1:24" ht="30" x14ac:dyDescent="0.25">
      <c r="A452" s="80">
        <v>133225</v>
      </c>
      <c r="B452" s="80">
        <f>VLOOKUP($A452,'Выгр Кат'!$A:$R,B$1,0)</f>
        <v>37936</v>
      </c>
      <c r="C452" s="81" t="str">
        <f>VLOOKUP($A452,'Выгр Кат'!$A:$R,C$1,0)</f>
        <v>Балка дополнительного освещения "27R mini" (LED)</v>
      </c>
      <c r="D452" s="80" t="str">
        <f>VLOOKUP($A452,'Выгр Кат'!$A:$R,D$1,0)</f>
        <v>N</v>
      </c>
      <c r="E452" s="80" t="str">
        <f>VLOOKUP($A452,'Выгр Кат'!$A:$R,E$1,0)</f>
        <v>1</v>
      </c>
      <c r="F452" s="80" t="str">
        <f>VLOOKUP($A452,'Выгр Кат'!$A:$R,F$1,0)</f>
        <v>HP-GZD-009/W</v>
      </c>
      <c r="G452" s="80" t="str">
        <f>VLOOKUP($A452,'Выгр Кат'!$A:$R,G$1,0)</f>
        <v>https://motorring.ru/product/11746-diodnaya-balka-27w-b-dalyniy-3vt</v>
      </c>
      <c r="H452" s="67" t="s">
        <v>3</v>
      </c>
      <c r="I452" s="82">
        <v>200</v>
      </c>
      <c r="J452" s="5">
        <f>VLOOKUP(I452,Наценка!$A$1:$G$8,2,1)</f>
        <v>2.1</v>
      </c>
      <c r="K452" s="87">
        <f>W452*1.06</f>
        <v>793.94</v>
      </c>
      <c r="L452" s="70">
        <f>IF(K452&lt;=1000,(ROUNDUP(K452,-1)-1),(ROUNDUP(K452,-2)-10))</f>
        <v>799</v>
      </c>
      <c r="M452" s="80">
        <f>VLOOKUP($A452,'Выгр Кат'!$A:$R,M$1,0)</f>
        <v>200</v>
      </c>
      <c r="N452" s="80">
        <f>VLOOKUP($A452,'Выгр Кат'!$A:$R,N$1,0)</f>
        <v>799</v>
      </c>
      <c r="O452" s="28">
        <f>M452-I452</f>
        <v>0</v>
      </c>
      <c r="P452" s="28">
        <f>N452-L452</f>
        <v>0</v>
      </c>
      <c r="Q452" s="36">
        <f>IFERROR(L452*(1-$Q$2),"")</f>
        <v>743.06999999999994</v>
      </c>
      <c r="R452" s="38">
        <f>IFERROR(VLOOKUP($A452,'Из Гугла'!$B:$G,6,0)*S452,VLOOKUP($A452,'Из Гугла'!$B:$G,6,0))</f>
        <v>749</v>
      </c>
      <c r="S452" s="14">
        <v>1</v>
      </c>
      <c r="T452" s="83">
        <f>IFERROR(Q452/I452-1,"")</f>
        <v>2.7153499999999995</v>
      </c>
      <c r="U452" s="83">
        <f>IFERROR((W452-Q452)/W452,"")</f>
        <v>7.9172229639520204E-3</v>
      </c>
      <c r="V452" s="83">
        <f>IFERROR(IF(W452="","",W452/I452-1),"")</f>
        <v>2.7450000000000001</v>
      </c>
      <c r="W452" s="84">
        <v>749</v>
      </c>
      <c r="X452" s="71" t="s">
        <v>919</v>
      </c>
    </row>
    <row r="453" spans="1:24" ht="30" x14ac:dyDescent="0.25">
      <c r="A453" s="80">
        <v>133228</v>
      </c>
      <c r="B453" s="80">
        <f>VLOOKUP($A453,'Выгр Кат'!$A:$R,B$1,0)</f>
        <v>37935</v>
      </c>
      <c r="C453" s="81" t="str">
        <f>VLOOKUP($A453,'Выгр Кат'!$A:$R,C$1,0)</f>
        <v>Балка дополнительного освещения "27S mini" (LED)</v>
      </c>
      <c r="D453" s="80" t="str">
        <f>VLOOKUP($A453,'Выгр Кат'!$A:$R,D$1,0)</f>
        <v>N</v>
      </c>
      <c r="E453" s="80" t="str">
        <f>VLOOKUP($A453,'Выгр Кат'!$A:$R,E$1,0)</f>
        <v>1</v>
      </c>
      <c r="F453" s="80" t="str">
        <f>VLOOKUP($A453,'Выгр Кат'!$A:$R,F$1,0)</f>
        <v>27S mini</v>
      </c>
      <c r="G453" s="80" t="str">
        <f>VLOOKUP($A453,'Выгр Кат'!$A:$R,G$1,0)</f>
        <v>https://motorring.ru/product/11748-vspyshki-fso-27w-svetodiod</v>
      </c>
      <c r="H453" s="67" t="s">
        <v>3</v>
      </c>
      <c r="I453" s="82">
        <v>200</v>
      </c>
      <c r="J453" s="5">
        <f>VLOOKUP(I453,Наценка!$A$1:$G$8,2,1)</f>
        <v>2.1</v>
      </c>
      <c r="K453" s="87">
        <f>W453*1.06</f>
        <v>687.94</v>
      </c>
      <c r="L453" s="70">
        <f>IF(K453&lt;=1000,(ROUNDUP(K453,-1)-1),(ROUNDUP(K453,-2)-10))</f>
        <v>689</v>
      </c>
      <c r="M453" s="80">
        <f>VLOOKUP($A453,'Выгр Кат'!$A:$R,M$1,0)</f>
        <v>200</v>
      </c>
      <c r="N453" s="80">
        <f>VLOOKUP($A453,'Выгр Кат'!$A:$R,N$1,0)</f>
        <v>689</v>
      </c>
      <c r="O453" s="28">
        <f>M453-I453</f>
        <v>0</v>
      </c>
      <c r="P453" s="28">
        <f>N453-L453</f>
        <v>0</v>
      </c>
      <c r="Q453" s="36">
        <f>IFERROR(L453*(1-$Q$2),"")</f>
        <v>640.77</v>
      </c>
      <c r="R453" s="38">
        <f>IFERROR(VLOOKUP($A453,'Из Гугла'!$B:$G,6,0)*S453,VLOOKUP($A453,'Из Гугла'!$B:$G,6,0))</f>
        <v>649</v>
      </c>
      <c r="S453" s="14">
        <v>1</v>
      </c>
      <c r="T453" s="83">
        <f>IFERROR(Q453/I453-1,"")</f>
        <v>2.2038500000000001</v>
      </c>
      <c r="U453" s="83">
        <f>IFERROR((W453-Q453)/W453,"")</f>
        <v>1.2681047765793556E-2</v>
      </c>
      <c r="V453" s="83">
        <f>IFERROR(IF(W453="","",W453/I453-1),"")</f>
        <v>2.2450000000000001</v>
      </c>
      <c r="W453" s="84">
        <v>649</v>
      </c>
      <c r="X453" s="71" t="s">
        <v>911</v>
      </c>
    </row>
    <row r="454" spans="1:24" ht="30" x14ac:dyDescent="0.25">
      <c r="A454" s="80">
        <v>169756</v>
      </c>
      <c r="B454" s="80">
        <f>VLOOKUP($A454,'Выгр Кат'!$A:$R,B$1,0)</f>
        <v>9956</v>
      </c>
      <c r="C454" s="81" t="str">
        <f>VLOOKUP($A454,'Выгр Кат'!$A:$R,C$1,0)</f>
        <v>Накладки на педали (синие)</v>
      </c>
      <c r="D454" s="80" t="str">
        <f>VLOOKUP($A454,'Выгр Кат'!$A:$R,D$1,0)</f>
        <v>Y</v>
      </c>
      <c r="E454" s="80" t="str">
        <f>VLOOKUP($A454,'Выгр Кат'!$A:$R,E$1,0)</f>
        <v>0</v>
      </c>
      <c r="F454" s="80" t="str">
        <f>VLOOKUP($A454,'Выгр Кат'!$A:$R,F$1,0)</f>
        <v>1045</v>
      </c>
      <c r="G454" s="80">
        <f>VLOOKUP($A454,'Выгр Кат'!$A:$R,G$1,0)</f>
        <v>0</v>
      </c>
      <c r="H454" s="67" t="s">
        <v>3</v>
      </c>
      <c r="I454" s="82">
        <v>200</v>
      </c>
      <c r="J454" s="5">
        <f>VLOOKUP(I454,Наценка!$A$1:$G$8,2,1)</f>
        <v>2.1</v>
      </c>
      <c r="K454" s="34">
        <f>I454*J454</f>
        <v>420</v>
      </c>
      <c r="L454" s="70">
        <f>IF(K454&lt;=1000,(ROUNDUP(K454,-1)-1),(ROUNDUP(K454,-2)-10))</f>
        <v>419</v>
      </c>
      <c r="M454" s="80">
        <f>VLOOKUP($A454,'Выгр Кат'!$A:$R,M$1,0)</f>
        <v>200</v>
      </c>
      <c r="N454" s="80">
        <f>VLOOKUP($A454,'Выгр Кат'!$A:$R,N$1,0)</f>
        <v>419</v>
      </c>
      <c r="O454" s="28">
        <f>M454-I454</f>
        <v>0</v>
      </c>
      <c r="P454" s="28">
        <f>N454-L454</f>
        <v>0</v>
      </c>
      <c r="Q454" s="36">
        <f>IFERROR(L454*(1-$Q$2),"")</f>
        <v>389.66999999999996</v>
      </c>
      <c r="R454" s="38" t="str">
        <f>IFERROR(VLOOKUP($A454,'Из Гугла'!$B:$G,6,0)*S454,VLOOKUP($A454,'Из Гугла'!$B:$G,6,0))</f>
        <v/>
      </c>
      <c r="S454" s="14">
        <v>1</v>
      </c>
      <c r="T454" s="83">
        <f>IFERROR(Q454/I454-1,"")</f>
        <v>0.9483499999999998</v>
      </c>
      <c r="U454" s="83" t="str">
        <f>IFERROR((W454-Q454)/W454,"")</f>
        <v/>
      </c>
      <c r="V454" s="83" t="str">
        <f>IFERROR(IF(W454="","",W454/I454-1),"")</f>
        <v/>
      </c>
      <c r="W454" s="84"/>
    </row>
    <row r="455" spans="1:24" ht="30" x14ac:dyDescent="0.25">
      <c r="A455" s="80">
        <v>169753</v>
      </c>
      <c r="B455" s="80">
        <f>VLOOKUP($A455,'Выгр Кат'!$A:$R,B$1,0)</f>
        <v>9957</v>
      </c>
      <c r="C455" s="81" t="str">
        <f>VLOOKUP($A455,'Выгр Кат'!$A:$R,C$1,0)</f>
        <v>Накладки на педали (красные)</v>
      </c>
      <c r="D455" s="80" t="str">
        <f>VLOOKUP($A455,'Выгр Кат'!$A:$R,D$1,0)</f>
        <v>Y</v>
      </c>
      <c r="E455" s="80" t="str">
        <f>VLOOKUP($A455,'Выгр Кат'!$A:$R,E$1,0)</f>
        <v>0</v>
      </c>
      <c r="F455" s="80" t="str">
        <f>VLOOKUP($A455,'Выгр Кат'!$A:$R,F$1,0)</f>
        <v>1045</v>
      </c>
      <c r="G455" s="80">
        <f>VLOOKUP($A455,'Выгр Кат'!$A:$R,G$1,0)</f>
        <v>0</v>
      </c>
      <c r="H455" s="67" t="s">
        <v>3</v>
      </c>
      <c r="I455" s="82">
        <v>200</v>
      </c>
      <c r="J455" s="5">
        <f>VLOOKUP(I455,Наценка!$A$1:$G$8,2,1)</f>
        <v>2.1</v>
      </c>
      <c r="K455" s="34">
        <f>I455*J455</f>
        <v>420</v>
      </c>
      <c r="L455" s="70">
        <f>IF(K455&lt;=1000,(ROUNDUP(K455,-1)-1),(ROUNDUP(K455,-2)-10))</f>
        <v>419</v>
      </c>
      <c r="M455" s="80">
        <f>VLOOKUP($A455,'Выгр Кат'!$A:$R,M$1,0)</f>
        <v>200</v>
      </c>
      <c r="N455" s="80">
        <f>VLOOKUP($A455,'Выгр Кат'!$A:$R,N$1,0)</f>
        <v>419</v>
      </c>
      <c r="O455" s="28">
        <f>M455-I455</f>
        <v>0</v>
      </c>
      <c r="P455" s="28">
        <f>N455-L455</f>
        <v>0</v>
      </c>
      <c r="Q455" s="36">
        <f>IFERROR(L455*(1-$Q$2),"")</f>
        <v>389.66999999999996</v>
      </c>
      <c r="R455" s="38" t="str">
        <f>IFERROR(VLOOKUP($A455,'Из Гугла'!$B:$G,6,0)*S455,VLOOKUP($A455,'Из Гугла'!$B:$G,6,0))</f>
        <v/>
      </c>
      <c r="S455" s="14">
        <v>1</v>
      </c>
      <c r="T455" s="83">
        <f>IFERROR(Q455/I455-1,"")</f>
        <v>0.9483499999999998</v>
      </c>
      <c r="U455" s="83" t="str">
        <f>IFERROR((W455-Q455)/W455,"")</f>
        <v/>
      </c>
      <c r="V455" s="83" t="str">
        <f>IFERROR(IF(W455="","",W455/I455-1),"")</f>
        <v/>
      </c>
      <c r="W455" s="84"/>
    </row>
    <row r="456" spans="1:24" ht="30" x14ac:dyDescent="0.25">
      <c r="A456" s="80">
        <v>169750</v>
      </c>
      <c r="B456" s="80">
        <f>VLOOKUP($A456,'Выгр Кат'!$A:$R,B$1,0)</f>
        <v>9953</v>
      </c>
      <c r="C456" s="81" t="str">
        <f>VLOOKUP($A456,'Выгр Кат'!$A:$R,C$1,0)</f>
        <v>Накладки на педали "Снежка"</v>
      </c>
      <c r="D456" s="80" t="str">
        <f>VLOOKUP($A456,'Выгр Кат'!$A:$R,D$1,0)</f>
        <v>Y</v>
      </c>
      <c r="E456" s="80" t="str">
        <f>VLOOKUP($A456,'Выгр Кат'!$A:$R,E$1,0)</f>
        <v>0</v>
      </c>
      <c r="F456" s="80" t="str">
        <f>VLOOKUP($A456,'Выгр Кат'!$A:$R,F$1,0)</f>
        <v>1041C</v>
      </c>
      <c r="G456" s="80">
        <f>VLOOKUP($A456,'Выгр Кат'!$A:$R,G$1,0)</f>
        <v>0</v>
      </c>
      <c r="H456" s="67" t="s">
        <v>3</v>
      </c>
      <c r="I456" s="82">
        <v>200</v>
      </c>
      <c r="J456" s="5">
        <f>VLOOKUP(I456,Наценка!$A$1:$G$8,2,1)</f>
        <v>2.1</v>
      </c>
      <c r="K456" s="34">
        <f>I456*J456</f>
        <v>420</v>
      </c>
      <c r="L456" s="70">
        <f>IF(K456&lt;=1000,(ROUNDUP(K456,-1)-1),(ROUNDUP(K456,-2)-10))</f>
        <v>419</v>
      </c>
      <c r="M456" s="80">
        <f>VLOOKUP($A456,'Выгр Кат'!$A:$R,M$1,0)</f>
        <v>200</v>
      </c>
      <c r="N456" s="80">
        <f>VLOOKUP($A456,'Выгр Кат'!$A:$R,N$1,0)</f>
        <v>419</v>
      </c>
      <c r="O456" s="28">
        <f>M456-I456</f>
        <v>0</v>
      </c>
      <c r="P456" s="28">
        <f>N456-L456</f>
        <v>0</v>
      </c>
      <c r="Q456" s="36">
        <f>IFERROR(L456*(1-$Q$2),"")</f>
        <v>389.66999999999996</v>
      </c>
      <c r="R456" s="38" t="str">
        <f>IFERROR(VLOOKUP($A456,'Из Гугла'!$B:$G,6,0)*S456,VLOOKUP($A456,'Из Гугла'!$B:$G,6,0))</f>
        <v/>
      </c>
      <c r="S456" s="14">
        <v>1</v>
      </c>
      <c r="T456" s="83">
        <f>IFERROR(Q456/I456-1,"")</f>
        <v>0.9483499999999998</v>
      </c>
      <c r="U456" s="83" t="str">
        <f>IFERROR((W456-Q456)/W456,"")</f>
        <v/>
      </c>
      <c r="V456" s="83" t="str">
        <f>IFERROR(IF(W456="","",W456/I456-1),"")</f>
        <v/>
      </c>
      <c r="W456" s="84"/>
    </row>
    <row r="457" spans="1:24" ht="30" x14ac:dyDescent="0.25">
      <c r="A457" s="80">
        <v>169754</v>
      </c>
      <c r="B457" s="80">
        <f>VLOOKUP($A457,'Выгр Кат'!$A:$R,B$1,0)</f>
        <v>9960</v>
      </c>
      <c r="C457" s="81" t="str">
        <f>VLOOKUP($A457,'Выгр Кат'!$A:$R,C$1,0)</f>
        <v>Накладки на педали (красные)</v>
      </c>
      <c r="D457" s="80" t="str">
        <f>VLOOKUP($A457,'Выгр Кат'!$A:$R,D$1,0)</f>
        <v>Y</v>
      </c>
      <c r="E457" s="80" t="str">
        <f>VLOOKUP($A457,'Выгр Кат'!$A:$R,E$1,0)</f>
        <v>0</v>
      </c>
      <c r="F457" s="80" t="str">
        <f>VLOOKUP($A457,'Выгр Кат'!$A:$R,F$1,0)</f>
        <v>PT-1041</v>
      </c>
      <c r="G457" s="80">
        <f>VLOOKUP($A457,'Выгр Кат'!$A:$R,G$1,0)</f>
        <v>0</v>
      </c>
      <c r="H457" s="67" t="s">
        <v>3</v>
      </c>
      <c r="I457" s="82">
        <v>200</v>
      </c>
      <c r="J457" s="5">
        <f>VLOOKUP(I457,Наценка!$A$1:$G$8,2,1)</f>
        <v>2.1</v>
      </c>
      <c r="K457" s="34">
        <f>I457*J457</f>
        <v>420</v>
      </c>
      <c r="L457" s="70">
        <f>IF(K457&lt;=1000,(ROUNDUP(K457,-1)-1),(ROUNDUP(K457,-2)-10))</f>
        <v>419</v>
      </c>
      <c r="M457" s="80">
        <f>VLOOKUP($A457,'Выгр Кат'!$A:$R,M$1,0)</f>
        <v>200</v>
      </c>
      <c r="N457" s="80">
        <f>VLOOKUP($A457,'Выгр Кат'!$A:$R,N$1,0)</f>
        <v>419</v>
      </c>
      <c r="O457" s="28">
        <f>M457-I457</f>
        <v>0</v>
      </c>
      <c r="P457" s="28">
        <f>N457-L457</f>
        <v>0</v>
      </c>
      <c r="Q457" s="36">
        <f>IFERROR(L457*(1-$Q$2),"")</f>
        <v>389.66999999999996</v>
      </c>
      <c r="R457" s="38" t="str">
        <f>IFERROR(VLOOKUP($A457,'Из Гугла'!$B:$G,6,0)*S457,VLOOKUP($A457,'Из Гугла'!$B:$G,6,0))</f>
        <v/>
      </c>
      <c r="S457" s="14">
        <v>1</v>
      </c>
      <c r="T457" s="83">
        <f>IFERROR(Q457/I457-1,"")</f>
        <v>0.9483499999999998</v>
      </c>
      <c r="U457" s="83" t="str">
        <f>IFERROR((W457-Q457)/W457,"")</f>
        <v/>
      </c>
      <c r="V457" s="83" t="str">
        <f>IFERROR(IF(W457="","",W457/I457-1),"")</f>
        <v/>
      </c>
      <c r="W457" s="84"/>
    </row>
    <row r="458" spans="1:24" ht="30" x14ac:dyDescent="0.25">
      <c r="A458" s="80">
        <v>133315</v>
      </c>
      <c r="B458" s="80">
        <f>VLOOKUP($A458,'Выгр Кат'!$A:$R,B$1,0)</f>
        <v>8093</v>
      </c>
      <c r="C458" s="81" t="str">
        <f>VLOOKUP($A458,'Выгр Кат'!$A:$R,C$1,0)</f>
        <v>Балка освещения 3W*9LED, 11*11см (27W-B дальний)</v>
      </c>
      <c r="D458" s="80" t="str">
        <f>VLOOKUP($A458,'Выгр Кат'!$A:$R,D$1,0)</f>
        <v>N</v>
      </c>
      <c r="E458" s="80" t="str">
        <f>VLOOKUP($A458,'Выгр Кат'!$A:$R,E$1,0)</f>
        <v>1</v>
      </c>
      <c r="F458" s="80" t="str">
        <f>VLOOKUP($A458,'Выгр Кат'!$A:$R,F$1,0)</f>
        <v>27W-B</v>
      </c>
      <c r="G458" s="80" t="str">
        <f>VLOOKUP($A458,'Выгр Кат'!$A:$R,G$1,0)</f>
        <v>https://motorring.ru/product/11748-vspyshki-fso-27w-svetodiod</v>
      </c>
      <c r="H458" s="67" t="s">
        <v>3</v>
      </c>
      <c r="I458" s="82">
        <v>250</v>
      </c>
      <c r="J458" s="5">
        <f>VLOOKUP(I458,Наценка!$A$1:$G$8,2,1)</f>
        <v>2.1</v>
      </c>
      <c r="K458" s="87">
        <f>W458*1.06</f>
        <v>687.94</v>
      </c>
      <c r="L458" s="70">
        <f>IF(K458&lt;=1000,(ROUNDUP(K458,-1)-1),(ROUNDUP(K458,-2)-10))</f>
        <v>689</v>
      </c>
      <c r="M458" s="80">
        <f>VLOOKUP($A458,'Выгр Кат'!$A:$R,M$1,0)</f>
        <v>250</v>
      </c>
      <c r="N458" s="80">
        <f>VLOOKUP($A458,'Выгр Кат'!$A:$R,N$1,0)</f>
        <v>689</v>
      </c>
      <c r="O458" s="28">
        <f>M458-I458</f>
        <v>0</v>
      </c>
      <c r="P458" s="28">
        <f>N458-L458</f>
        <v>0</v>
      </c>
      <c r="Q458" s="36">
        <f>IFERROR(L458*(1-$Q$2),"")</f>
        <v>640.77</v>
      </c>
      <c r="R458" s="38">
        <f>IFERROR(VLOOKUP($A458,'Из Гугла'!$B:$G,6,0)*S458,VLOOKUP($A458,'Из Гугла'!$B:$G,6,0))</f>
        <v>649</v>
      </c>
      <c r="S458" s="14">
        <v>1</v>
      </c>
      <c r="T458" s="83">
        <f>IFERROR(Q458/I458-1,"")</f>
        <v>1.5630799999999998</v>
      </c>
      <c r="U458" s="83">
        <f>IFERROR((W458-Q458)/W458,"")</f>
        <v>1.2681047765793556E-2</v>
      </c>
      <c r="V458" s="83">
        <f>IFERROR(IF(W458="","",W458/I458-1),"")</f>
        <v>1.5960000000000001</v>
      </c>
      <c r="W458" s="84">
        <v>649</v>
      </c>
      <c r="X458" s="71" t="s">
        <v>911</v>
      </c>
    </row>
    <row r="459" spans="1:24" ht="90" x14ac:dyDescent="0.25">
      <c r="A459" s="80">
        <v>117296</v>
      </c>
      <c r="B459" s="80">
        <f>VLOOKUP($A459,'Выгр Кат'!$A:$R,B$1,0)</f>
        <v>37115</v>
      </c>
      <c r="C459" s="81" t="str">
        <f>VLOOKUP($A459,'Выгр Кат'!$A:$R,C$1,0)</f>
        <v>LED повторители поворотника (надпись "SE", чёрные, оранжевые, с разъемом) для ВАЗ (2108-21099, 2110-2112, 2113-2115), Лада (Калина, Калина 2, Приора, Приора 2, Гранта, Гранта FL)</v>
      </c>
      <c r="D459" s="80" t="str">
        <f>VLOOKUP($A459,'Выгр Кат'!$A:$R,D$1,0)</f>
        <v>N</v>
      </c>
      <c r="E459" s="80" t="str">
        <f>VLOOKUP($A459,'Выгр Кат'!$A:$R,E$1,0)</f>
        <v>1ск1</v>
      </c>
      <c r="F459" s="80">
        <f>VLOOKUP($A459,'Выгр Кат'!$A:$R,F$1,0)</f>
        <v>0</v>
      </c>
      <c r="G459" s="80" t="str">
        <f>VLOOKUP($A459,'Выгр Кат'!$A:$R,G$1,0)</f>
        <v>https://motorring.ru/product/13905-diodnye-povtoriteli-nadpisyyu-dlya-lada-priora</v>
      </c>
      <c r="H459" s="67" t="s">
        <v>3</v>
      </c>
      <c r="I459" s="82">
        <v>350</v>
      </c>
      <c r="J459" s="5">
        <f>VLOOKUP(I459,Наценка!$A$1:$G$8,2,1)</f>
        <v>1.75</v>
      </c>
      <c r="K459" s="90">
        <f>W459*1.04</f>
        <v>717.6</v>
      </c>
      <c r="L459" s="70">
        <f>IF(K459&lt;=1000,(ROUNDUP(K459,-1)-1),(ROUNDUP(K459,-2)-10))</f>
        <v>719</v>
      </c>
      <c r="M459" s="80">
        <f>VLOOKUP($A459,'Выгр Кат'!$A:$R,M$1,0)</f>
        <v>350</v>
      </c>
      <c r="N459" s="80">
        <f>VLOOKUP($A459,'Выгр Кат'!$A:$R,N$1,0)</f>
        <v>719</v>
      </c>
      <c r="O459" s="28">
        <f>M459-I459</f>
        <v>0</v>
      </c>
      <c r="P459" s="28">
        <f>N459-L459</f>
        <v>0</v>
      </c>
      <c r="Q459" s="36">
        <f>IFERROR(L459*(1-$Q$2),"")</f>
        <v>668.67</v>
      </c>
      <c r="R459" s="38">
        <f>IFERROR(VLOOKUP($A459,'Из Гугла'!$B:$G,6,0)*S459,VLOOKUP($A459,'Из Гугла'!$B:$G,6,0))</f>
        <v>690</v>
      </c>
      <c r="S459" s="14">
        <v>1</v>
      </c>
      <c r="T459" s="83">
        <f>IFERROR(Q459/I459-1,"")</f>
        <v>0.91048571428571412</v>
      </c>
      <c r="U459" s="83">
        <f>IFERROR((W459-Q459)/W459,"")</f>
        <v>3.0913043478260929E-2</v>
      </c>
      <c r="V459" s="83">
        <f>IFERROR(IF(W459="","",W459/I459-1),"")</f>
        <v>0.97142857142857153</v>
      </c>
      <c r="W459" s="93">
        <v>690</v>
      </c>
      <c r="X459" s="71" t="s">
        <v>918</v>
      </c>
    </row>
    <row r="460" spans="1:24" ht="30" x14ac:dyDescent="0.25">
      <c r="A460" s="80">
        <v>132853</v>
      </c>
      <c r="B460" s="80">
        <f>VLOOKUP($A460,'Выгр Кат'!$A:$R,B$1,0)</f>
        <v>11443</v>
      </c>
      <c r="C460" s="81" t="str">
        <f>VLOOKUP($A460,'Выгр Кат'!$A:$R,C$1,0)</f>
        <v>Ангельские глазки белые (d 100 мм) на автомобили ВАЗ и Лада</v>
      </c>
      <c r="D460" s="80" t="str">
        <f>VLOOKUP($A460,'Выгр Кат'!$A:$R,D$1,0)</f>
        <v>Y</v>
      </c>
      <c r="E460" s="80" t="str">
        <f>VLOOKUP($A460,'Выгр Кат'!$A:$R,E$1,0)</f>
        <v>0</v>
      </c>
      <c r="F460" s="80">
        <f>VLOOKUP($A460,'Выгр Кат'!$A:$R,F$1,0)</f>
        <v>0</v>
      </c>
      <c r="G460" s="80">
        <f>VLOOKUP($A460,'Выгр Кат'!$A:$R,G$1,0)</f>
        <v>0</v>
      </c>
      <c r="H460" s="67" t="s">
        <v>3</v>
      </c>
      <c r="I460" s="82">
        <v>350</v>
      </c>
      <c r="J460" s="5">
        <f>VLOOKUP(I460,Наценка!$A$1:$G$8,2,1)</f>
        <v>1.75</v>
      </c>
      <c r="K460" s="34">
        <f>I460*J460</f>
        <v>612.5</v>
      </c>
      <c r="L460" s="70">
        <f>IF(K460&lt;=1000,(ROUNDUP(K460,-1)-1),(ROUNDUP(K460,-2)-10))</f>
        <v>619</v>
      </c>
      <c r="M460" s="80">
        <f>VLOOKUP($A460,'Выгр Кат'!$A:$R,M$1,0)</f>
        <v>350</v>
      </c>
      <c r="N460" s="80">
        <f>VLOOKUP($A460,'Выгр Кат'!$A:$R,N$1,0)</f>
        <v>619</v>
      </c>
      <c r="O460" s="28">
        <f>M460-I460</f>
        <v>0</v>
      </c>
      <c r="P460" s="28">
        <f>N460-L460</f>
        <v>0</v>
      </c>
      <c r="Q460" s="36">
        <f>IFERROR(L460*(1-$Q$2),"")</f>
        <v>575.66999999999996</v>
      </c>
      <c r="R460" s="38" t="str">
        <f>IFERROR(VLOOKUP($A460,'Из Гугла'!$B:$G,6,0)*S460,VLOOKUP($A460,'Из Гугла'!$B:$G,6,0))</f>
        <v/>
      </c>
      <c r="S460" s="14">
        <v>1</v>
      </c>
      <c r="T460" s="83">
        <f>IFERROR(Q460/I460-1,"")</f>
        <v>0.64477142857142855</v>
      </c>
      <c r="U460" s="83" t="str">
        <f>IFERROR((W460-Q460)/W460,"")</f>
        <v/>
      </c>
      <c r="V460" s="83" t="str">
        <f>IFERROR(IF(W460="","",W460/I460-1),"")</f>
        <v/>
      </c>
      <c r="W460" s="84"/>
    </row>
    <row r="461" spans="1:24" ht="30" x14ac:dyDescent="0.25">
      <c r="A461" s="80">
        <v>201789</v>
      </c>
      <c r="B461" s="80">
        <f>VLOOKUP($A461,'Выгр Кат'!$A:$R,B$1,0)</f>
        <v>11772</v>
      </c>
      <c r="C461" s="81" t="str">
        <f>VLOOKUP($A461,'Выгр Кат'!$A:$R,C$1,0)</f>
        <v>Противотуманные фары HY-174EY для ВАЗ 2110-2112</v>
      </c>
      <c r="D461" s="80" t="str">
        <f>VLOOKUP($A461,'Выгр Кат'!$A:$R,D$1,0)</f>
        <v>Y</v>
      </c>
      <c r="E461" s="80" t="str">
        <f>VLOOKUP($A461,'Выгр Кат'!$A:$R,E$1,0)</f>
        <v>0</v>
      </c>
      <c r="F461" s="80" t="str">
        <f>VLOOKUP($A461,'Выгр Кат'!$A:$R,F$1,0)</f>
        <v>HY-174EY</v>
      </c>
      <c r="G461" s="80">
        <f>VLOOKUP($A461,'Выгр Кат'!$A:$R,G$1,0)</f>
        <v>0</v>
      </c>
      <c r="H461" s="67" t="s">
        <v>3</v>
      </c>
      <c r="I461" s="82">
        <v>350</v>
      </c>
      <c r="J461" s="5">
        <f>VLOOKUP(I461,Наценка!$A$1:$G$8,2,1)</f>
        <v>1.75</v>
      </c>
      <c r="K461" s="34">
        <f>I461*J461</f>
        <v>612.5</v>
      </c>
      <c r="L461" s="70">
        <f>IF(K461&lt;=1000,(ROUNDUP(K461,-1)-1),(ROUNDUP(K461,-2)-10))</f>
        <v>619</v>
      </c>
      <c r="M461" s="80">
        <f>VLOOKUP($A461,'Выгр Кат'!$A:$R,M$1,0)</f>
        <v>350</v>
      </c>
      <c r="N461" s="80">
        <f>VLOOKUP($A461,'Выгр Кат'!$A:$R,N$1,0)</f>
        <v>619</v>
      </c>
      <c r="O461" s="28">
        <f>M461-I461</f>
        <v>0</v>
      </c>
      <c r="P461" s="28">
        <f>N461-L461</f>
        <v>0</v>
      </c>
      <c r="Q461" s="36">
        <f>IFERROR(L461*(1-$Q$2),"")</f>
        <v>575.66999999999996</v>
      </c>
      <c r="R461" s="38" t="str">
        <f>IFERROR(VLOOKUP($A461,'Из Гугла'!$B:$G,6,0)*S461,VLOOKUP($A461,'Из Гугла'!$B:$G,6,0))</f>
        <v/>
      </c>
      <c r="S461" s="14">
        <v>1</v>
      </c>
      <c r="T461" s="83">
        <f>IFERROR(Q461/I461-1,"")</f>
        <v>0.64477142857142855</v>
      </c>
      <c r="U461" s="83" t="str">
        <f>IFERROR((W461-Q461)/W461,"")</f>
        <v/>
      </c>
      <c r="V461" s="83" t="str">
        <f>IFERROR(IF(W461="","",W461/I461-1),"")</f>
        <v/>
      </c>
      <c r="W461" s="84"/>
    </row>
    <row r="462" spans="1:24" ht="30" x14ac:dyDescent="0.25">
      <c r="A462" s="80">
        <v>223117</v>
      </c>
      <c r="B462" s="80">
        <f>VLOOKUP($A462,'Выгр Кат'!$A:$R,B$1,0)</f>
        <v>5500</v>
      </c>
      <c r="C462" s="81" t="str">
        <f>VLOOKUP($A462,'Выгр Кат'!$A:$R,C$1,0)</f>
        <v>Универсальный звуковой сигнал MrHorn A047</v>
      </c>
      <c r="D462" s="80" t="str">
        <f>VLOOKUP($A462,'Выгр Кат'!$A:$R,D$1,0)</f>
        <v>Y</v>
      </c>
      <c r="E462" s="80" t="str">
        <f>VLOOKUP($A462,'Выгр Кат'!$A:$R,E$1,0)</f>
        <v>0</v>
      </c>
      <c r="F462" s="80" t="str">
        <f>VLOOKUP($A462,'Выгр Кат'!$A:$R,F$1,0)</f>
        <v>A047</v>
      </c>
      <c r="G462" s="80">
        <f>VLOOKUP($A462,'Выгр Кат'!$A:$R,G$1,0)</f>
        <v>0</v>
      </c>
      <c r="H462" s="67" t="s">
        <v>3</v>
      </c>
      <c r="I462" s="82">
        <v>350</v>
      </c>
      <c r="J462" s="5">
        <f>VLOOKUP(I462,Наценка!$A$1:$G$8,2,1)</f>
        <v>1.75</v>
      </c>
      <c r="K462" s="34">
        <f>I462*J462</f>
        <v>612.5</v>
      </c>
      <c r="L462" s="70">
        <f>IF(K462&lt;=1000,(ROUNDUP(K462,-1)-1),(ROUNDUP(K462,-2)-10))</f>
        <v>619</v>
      </c>
      <c r="M462" s="80">
        <f>VLOOKUP($A462,'Выгр Кат'!$A:$R,M$1,0)</f>
        <v>350</v>
      </c>
      <c r="N462" s="80">
        <f>VLOOKUP($A462,'Выгр Кат'!$A:$R,N$1,0)</f>
        <v>619</v>
      </c>
      <c r="O462" s="28">
        <f>M462-I462</f>
        <v>0</v>
      </c>
      <c r="P462" s="28">
        <f>N462-L462</f>
        <v>0</v>
      </c>
      <c r="Q462" s="36">
        <f>IFERROR(L462*(1-$Q$2),"")</f>
        <v>575.66999999999996</v>
      </c>
      <c r="R462" s="38" t="str">
        <f>IFERROR(VLOOKUP($A462,'Из Гугла'!$B:$G,6,0)*S462,VLOOKUP($A462,'Из Гугла'!$B:$G,6,0))</f>
        <v/>
      </c>
      <c r="S462" s="14">
        <v>1</v>
      </c>
      <c r="T462" s="83">
        <f>IFERROR(Q462/I462-1,"")</f>
        <v>0.64477142857142855</v>
      </c>
      <c r="U462" s="83" t="str">
        <f>IFERROR((W462-Q462)/W462,"")</f>
        <v/>
      </c>
      <c r="V462" s="83" t="str">
        <f>IFERROR(IF(W462="","",W462/I462-1),"")</f>
        <v/>
      </c>
      <c r="W462" s="84"/>
    </row>
    <row r="463" spans="1:24" ht="30" x14ac:dyDescent="0.25">
      <c r="A463" s="80">
        <v>223116</v>
      </c>
      <c r="B463" s="80">
        <f>VLOOKUP($A463,'Выгр Кат'!$A:$R,B$1,0)</f>
        <v>5504</v>
      </c>
      <c r="C463" s="81" t="str">
        <f>VLOOKUP($A463,'Выгр Кат'!$A:$R,C$1,0)</f>
        <v>Универсальный звуковой сигнал MrHorn A045</v>
      </c>
      <c r="D463" s="80" t="str">
        <f>VLOOKUP($A463,'Выгр Кат'!$A:$R,D$1,0)</f>
        <v>Y</v>
      </c>
      <c r="E463" s="80" t="str">
        <f>VLOOKUP($A463,'Выгр Кат'!$A:$R,E$1,0)</f>
        <v>0</v>
      </c>
      <c r="F463" s="80" t="str">
        <f>VLOOKUP($A463,'Выгр Кат'!$A:$R,F$1,0)</f>
        <v>A045</v>
      </c>
      <c r="G463" s="80">
        <f>VLOOKUP($A463,'Выгр Кат'!$A:$R,G$1,0)</f>
        <v>0</v>
      </c>
      <c r="H463" s="67" t="s">
        <v>3</v>
      </c>
      <c r="I463" s="82">
        <v>350</v>
      </c>
      <c r="J463" s="5">
        <f>VLOOKUP(I463,Наценка!$A$1:$G$8,2,1)</f>
        <v>1.75</v>
      </c>
      <c r="K463" s="34">
        <f>I463*J463</f>
        <v>612.5</v>
      </c>
      <c r="L463" s="70">
        <f>IF(K463&lt;=1000,(ROUNDUP(K463,-1)-1),(ROUNDUP(K463,-2)-10))</f>
        <v>619</v>
      </c>
      <c r="M463" s="80">
        <f>VLOOKUP($A463,'Выгр Кат'!$A:$R,M$1,0)</f>
        <v>350</v>
      </c>
      <c r="N463" s="80">
        <f>VLOOKUP($A463,'Выгр Кат'!$A:$R,N$1,0)</f>
        <v>619</v>
      </c>
      <c r="O463" s="28">
        <f>M463-I463</f>
        <v>0</v>
      </c>
      <c r="P463" s="28">
        <f>N463-L463</f>
        <v>0</v>
      </c>
      <c r="Q463" s="36">
        <f>IFERROR(L463*(1-$Q$2),"")</f>
        <v>575.66999999999996</v>
      </c>
      <c r="R463" s="38" t="str">
        <f>IFERROR(VLOOKUP($A463,'Из Гугла'!$B:$G,6,0)*S463,VLOOKUP($A463,'Из Гугла'!$B:$G,6,0))</f>
        <v/>
      </c>
      <c r="S463" s="14">
        <v>1</v>
      </c>
      <c r="T463" s="83">
        <f>IFERROR(Q463/I463-1,"")</f>
        <v>0.64477142857142855</v>
      </c>
      <c r="U463" s="83" t="str">
        <f>IFERROR((W463-Q463)/W463,"")</f>
        <v/>
      </c>
      <c r="V463" s="83" t="str">
        <f>IFERROR(IF(W463="","",W463/I463-1),"")</f>
        <v/>
      </c>
      <c r="W463" s="84"/>
    </row>
    <row r="464" spans="1:24" ht="30" x14ac:dyDescent="0.25">
      <c r="A464" s="80">
        <v>223118</v>
      </c>
      <c r="B464" s="80">
        <f>VLOOKUP($A464,'Выгр Кат'!$A:$R,B$1,0)</f>
        <v>5508</v>
      </c>
      <c r="C464" s="81" t="str">
        <f>VLOOKUP($A464,'Выгр Кат'!$A:$R,C$1,0)</f>
        <v>Универсальный звуковой сигнал MrHorn B012</v>
      </c>
      <c r="D464" s="80" t="str">
        <f>VLOOKUP($A464,'Выгр Кат'!$A:$R,D$1,0)</f>
        <v>Y</v>
      </c>
      <c r="E464" s="80" t="str">
        <f>VLOOKUP($A464,'Выгр Кат'!$A:$R,E$1,0)</f>
        <v>0</v>
      </c>
      <c r="F464" s="80" t="str">
        <f>VLOOKUP($A464,'Выгр Кат'!$A:$R,F$1,0)</f>
        <v>B012</v>
      </c>
      <c r="G464" s="80">
        <f>VLOOKUP($A464,'Выгр Кат'!$A:$R,G$1,0)</f>
        <v>0</v>
      </c>
      <c r="H464" s="67" t="s">
        <v>3</v>
      </c>
      <c r="I464" s="82">
        <v>350</v>
      </c>
      <c r="J464" s="5">
        <f>VLOOKUP(I464,Наценка!$A$1:$G$8,2,1)</f>
        <v>1.75</v>
      </c>
      <c r="K464" s="34">
        <f>I464*J464</f>
        <v>612.5</v>
      </c>
      <c r="L464" s="70">
        <f>IF(K464&lt;=1000,(ROUNDUP(K464,-1)-1),(ROUNDUP(K464,-2)-10))</f>
        <v>619</v>
      </c>
      <c r="M464" s="80">
        <f>VLOOKUP($A464,'Выгр Кат'!$A:$R,M$1,0)</f>
        <v>350</v>
      </c>
      <c r="N464" s="80">
        <f>VLOOKUP($A464,'Выгр Кат'!$A:$R,N$1,0)</f>
        <v>619</v>
      </c>
      <c r="O464" s="28">
        <f>M464-I464</f>
        <v>0</v>
      </c>
      <c r="P464" s="28">
        <f>N464-L464</f>
        <v>0</v>
      </c>
      <c r="Q464" s="36">
        <f>IFERROR(L464*(1-$Q$2),"")</f>
        <v>575.66999999999996</v>
      </c>
      <c r="R464" s="38" t="str">
        <f>IFERROR(VLOOKUP($A464,'Из Гугла'!$B:$G,6,0)*S464,VLOOKUP($A464,'Из Гугла'!$B:$G,6,0))</f>
        <v/>
      </c>
      <c r="S464" s="14">
        <v>1</v>
      </c>
      <c r="T464" s="83">
        <f>IFERROR(Q464/I464-1,"")</f>
        <v>0.64477142857142855</v>
      </c>
      <c r="U464" s="83" t="str">
        <f>IFERROR((W464-Q464)/W464,"")</f>
        <v/>
      </c>
      <c r="V464" s="83" t="str">
        <f>IFERROR(IF(W464="","",W464/I464-1),"")</f>
        <v/>
      </c>
      <c r="W464" s="84"/>
    </row>
    <row r="465" spans="1:24" ht="30" x14ac:dyDescent="0.25">
      <c r="A465" s="80">
        <v>201790</v>
      </c>
      <c r="B465" s="80">
        <f>VLOOKUP($A465,'Выгр Кат'!$A:$R,B$1,0)</f>
        <v>4331</v>
      </c>
      <c r="C465" s="81" t="str">
        <f>VLOOKUP($A465,'Выгр Кат'!$A:$R,C$1,0)</f>
        <v>Противотуманные фары KS-518 Y для Шевроле Нива</v>
      </c>
      <c r="D465" s="80" t="str">
        <f>VLOOKUP($A465,'Выгр Кат'!$A:$R,D$1,0)</f>
        <v>Y</v>
      </c>
      <c r="E465" s="80" t="str">
        <f>VLOOKUP($A465,'Выгр Кат'!$A:$R,E$1,0)</f>
        <v>0</v>
      </c>
      <c r="F465" s="80" t="str">
        <f>VLOOKUP($A465,'Выгр Кат'!$A:$R,F$1,0)</f>
        <v>KS-518 Y</v>
      </c>
      <c r="G465" s="80">
        <f>VLOOKUP($A465,'Выгр Кат'!$A:$R,G$1,0)</f>
        <v>0</v>
      </c>
      <c r="H465" s="67" t="s">
        <v>3</v>
      </c>
      <c r="I465" s="82">
        <v>380</v>
      </c>
      <c r="J465" s="5">
        <f>VLOOKUP(I465,Наценка!$A$1:$G$8,2,1)</f>
        <v>1.75</v>
      </c>
      <c r="K465" s="34">
        <f>I465*J465</f>
        <v>665</v>
      </c>
      <c r="L465" s="70">
        <f>IF(K465&lt;=1000,(ROUNDUP(K465,-1)-1),(ROUNDUP(K465,-2)-10))</f>
        <v>669</v>
      </c>
      <c r="M465" s="80">
        <f>VLOOKUP($A465,'Выгр Кат'!$A:$R,M$1,0)</f>
        <v>380</v>
      </c>
      <c r="N465" s="80">
        <f>VLOOKUP($A465,'Выгр Кат'!$A:$R,N$1,0)</f>
        <v>669</v>
      </c>
      <c r="O465" s="28">
        <f>M465-I465</f>
        <v>0</v>
      </c>
      <c r="P465" s="28">
        <f>N465-L465</f>
        <v>0</v>
      </c>
      <c r="Q465" s="36">
        <f>IFERROR(L465*(1-$Q$2),"")</f>
        <v>622.16999999999996</v>
      </c>
      <c r="R465" s="38" t="str">
        <f>IFERROR(VLOOKUP($A465,'Из Гугла'!$B:$G,6,0)*S465,VLOOKUP($A465,'Из Гугла'!$B:$G,6,0))</f>
        <v/>
      </c>
      <c r="S465" s="14">
        <v>1</v>
      </c>
      <c r="T465" s="83">
        <f>IFERROR(Q465/I465-1,"")</f>
        <v>0.63728947368421052</v>
      </c>
      <c r="U465" s="83" t="str">
        <f>IFERROR((W465-Q465)/W465,"")</f>
        <v/>
      </c>
      <c r="V465" s="83" t="str">
        <f>IFERROR(IF(W465="","",W465/I465-1),"")</f>
        <v/>
      </c>
      <c r="W465" s="84"/>
    </row>
    <row r="466" spans="1:24" ht="30" x14ac:dyDescent="0.25">
      <c r="A466" s="80">
        <v>223102</v>
      </c>
      <c r="B466" s="80">
        <f>VLOOKUP($A466,'Выгр Кат'!$A:$R,B$1,0)</f>
        <v>8295</v>
      </c>
      <c r="C466" s="81" t="str">
        <f>VLOOKUP($A466,'Выгр Кат'!$A:$R,C$1,0)</f>
        <v>Универсальные ПТФ "DLAA" LA996W белые</v>
      </c>
      <c r="D466" s="80" t="str">
        <f>VLOOKUP($A466,'Выгр Кат'!$A:$R,D$1,0)</f>
        <v>Y</v>
      </c>
      <c r="E466" s="80" t="str">
        <f>VLOOKUP($A466,'Выгр Кат'!$A:$R,E$1,0)</f>
        <v>0</v>
      </c>
      <c r="F466" s="80" t="str">
        <f>VLOOKUP($A466,'Выгр Кат'!$A:$R,F$1,0)</f>
        <v>LA996W</v>
      </c>
      <c r="G466" s="80">
        <f>VLOOKUP($A466,'Выгр Кат'!$A:$R,G$1,0)</f>
        <v>0</v>
      </c>
      <c r="H466" s="67" t="s">
        <v>3</v>
      </c>
      <c r="I466" s="82">
        <v>400</v>
      </c>
      <c r="J466" s="5">
        <f>VLOOKUP(I466,Наценка!$A$1:$G$8,2,1)</f>
        <v>1.75</v>
      </c>
      <c r="K466" s="34">
        <f>I466*J466</f>
        <v>700</v>
      </c>
      <c r="L466" s="70">
        <f>IF(K466&lt;=1000,(ROUNDUP(K466,-1)-1),(ROUNDUP(K466,-2)-10))</f>
        <v>699</v>
      </c>
      <c r="M466" s="80">
        <f>VLOOKUP($A466,'Выгр Кат'!$A:$R,M$1,0)</f>
        <v>400</v>
      </c>
      <c r="N466" s="80">
        <f>VLOOKUP($A466,'Выгр Кат'!$A:$R,N$1,0)</f>
        <v>699</v>
      </c>
      <c r="O466" s="28">
        <f>M466-I466</f>
        <v>0</v>
      </c>
      <c r="P466" s="28">
        <f>N466-L466</f>
        <v>0</v>
      </c>
      <c r="Q466" s="36">
        <f>IFERROR(L466*(1-$Q$2),"")</f>
        <v>650.06999999999994</v>
      </c>
      <c r="R466" s="38" t="str">
        <f>IFERROR(VLOOKUP($A466,'Из Гугла'!$B:$G,6,0)*S466,VLOOKUP($A466,'Из Гугла'!$B:$G,6,0))</f>
        <v/>
      </c>
      <c r="S466" s="14">
        <v>1</v>
      </c>
      <c r="T466" s="83">
        <f>IFERROR(Q466/I466-1,"")</f>
        <v>0.62517499999999981</v>
      </c>
      <c r="U466" s="83" t="str">
        <f>IFERROR((W466-Q466)/W466,"")</f>
        <v/>
      </c>
      <c r="V466" s="83" t="str">
        <f>IFERROR(IF(W466="","",W466/I466-1),"")</f>
        <v/>
      </c>
      <c r="W466" s="84" t="s">
        <v>1269</v>
      </c>
    </row>
    <row r="467" spans="1:24" ht="30" x14ac:dyDescent="0.25">
      <c r="A467" s="80">
        <v>201782</v>
      </c>
      <c r="B467" s="80">
        <f>VLOOKUP($A467,'Выгр Кат'!$A:$R,B$1,0)</f>
        <v>11774</v>
      </c>
      <c r="C467" s="81" t="str">
        <f>VLOOKUP($A467,'Выгр Кат'!$A:$R,C$1,0)</f>
        <v>Противотуманные фары (ПТФ) LD-345 (хром) для ВАЗ 2110-2112, 2113-2115</v>
      </c>
      <c r="D467" s="80" t="str">
        <f>VLOOKUP($A467,'Выгр Кат'!$A:$R,D$1,0)</f>
        <v>Y</v>
      </c>
      <c r="E467" s="80" t="str">
        <f>VLOOKUP($A467,'Выгр Кат'!$A:$R,E$1,0)</f>
        <v>0</v>
      </c>
      <c r="F467" s="80" t="str">
        <f>VLOOKUP($A467,'Выгр Кат'!$A:$R,F$1,0)</f>
        <v>LD-345</v>
      </c>
      <c r="G467" s="80">
        <f>VLOOKUP($A467,'Выгр Кат'!$A:$R,G$1,0)</f>
        <v>0</v>
      </c>
      <c r="H467" s="67" t="s">
        <v>3</v>
      </c>
      <c r="I467" s="82">
        <v>450</v>
      </c>
      <c r="J467" s="5">
        <f>VLOOKUP(I467,Наценка!$A$1:$G$8,2,1)</f>
        <v>1.75</v>
      </c>
      <c r="K467" s="34">
        <f>I467*J467</f>
        <v>787.5</v>
      </c>
      <c r="L467" s="70">
        <f>IF(K467&lt;=1000,(ROUNDUP(K467,-1)-1),(ROUNDUP(K467,-2)-10))</f>
        <v>789</v>
      </c>
      <c r="M467" s="80">
        <f>VLOOKUP($A467,'Выгр Кат'!$A:$R,M$1,0)</f>
        <v>450</v>
      </c>
      <c r="N467" s="80">
        <f>VLOOKUP($A467,'Выгр Кат'!$A:$R,N$1,0)</f>
        <v>789</v>
      </c>
      <c r="O467" s="28">
        <f>M467-I467</f>
        <v>0</v>
      </c>
      <c r="P467" s="28">
        <f>N467-L467</f>
        <v>0</v>
      </c>
      <c r="Q467" s="36">
        <f>IFERROR(L467*(1-$Q$2),"")</f>
        <v>733.77</v>
      </c>
      <c r="R467" s="38" t="str">
        <f>IFERROR(VLOOKUP($A467,'Из Гугла'!$B:$G,6,0)*S467,VLOOKUP($A467,'Из Гугла'!$B:$G,6,0))</f>
        <v/>
      </c>
      <c r="S467" s="14">
        <v>1</v>
      </c>
      <c r="T467" s="83">
        <f>IFERROR(Q467/I467-1,"")</f>
        <v>0.63060000000000005</v>
      </c>
      <c r="U467" s="83" t="str">
        <f>IFERROR((W467-Q467)/W467,"")</f>
        <v/>
      </c>
      <c r="V467" s="83" t="str">
        <f>IFERROR(IF(W467="","",W467/I467-1),"")</f>
        <v/>
      </c>
      <c r="W467" s="84"/>
    </row>
    <row r="468" spans="1:24" ht="30" x14ac:dyDescent="0.25">
      <c r="A468" s="80">
        <v>223076</v>
      </c>
      <c r="B468" s="80">
        <f>VLOOKUP($A468,'Выгр Кат'!$A:$R,B$1,0)</f>
        <v>8264</v>
      </c>
      <c r="C468" s="81" t="str">
        <f>VLOOKUP($A468,'Выгр Кат'!$A:$R,C$1,0)</f>
        <v>Универсальные ПТФ "DLAA" LA8040D лазер</v>
      </c>
      <c r="D468" s="80" t="str">
        <f>VLOOKUP($A468,'Выгр Кат'!$A:$R,D$1,0)</f>
        <v>Y</v>
      </c>
      <c r="E468" s="80" t="str">
        <f>VLOOKUP($A468,'Выгр Кат'!$A:$R,E$1,0)</f>
        <v>0</v>
      </c>
      <c r="F468" s="80" t="str">
        <f>VLOOKUP($A468,'Выгр Кат'!$A:$R,F$1,0)</f>
        <v>LA8040DRY</v>
      </c>
      <c r="G468" s="80">
        <f>VLOOKUP($A468,'Выгр Кат'!$A:$R,G$1,0)</f>
        <v>0</v>
      </c>
      <c r="H468" s="67" t="s">
        <v>3</v>
      </c>
      <c r="I468" s="82">
        <v>500</v>
      </c>
      <c r="J468" s="5">
        <f>VLOOKUP(I468,Наценка!$A$1:$G$8,2,1)</f>
        <v>1.45</v>
      </c>
      <c r="K468" s="34">
        <f>I468*J468</f>
        <v>725</v>
      </c>
      <c r="L468" s="70">
        <f>IF(K468&lt;=1000,(ROUNDUP(K468,-1)-1),(ROUNDUP(K468,-2)-10))</f>
        <v>729</v>
      </c>
      <c r="M468" s="80">
        <f>VLOOKUP($A468,'Выгр Кат'!$A:$R,M$1,0)</f>
        <v>500</v>
      </c>
      <c r="N468" s="80">
        <f>VLOOKUP($A468,'Выгр Кат'!$A:$R,N$1,0)</f>
        <v>729</v>
      </c>
      <c r="O468" s="28">
        <f>M468-I468</f>
        <v>0</v>
      </c>
      <c r="P468" s="28">
        <f>N468-L468</f>
        <v>0</v>
      </c>
      <c r="Q468" s="36">
        <f>IFERROR(L468*(1-$Q$2),"")</f>
        <v>677.96999999999991</v>
      </c>
      <c r="R468" s="38" t="str">
        <f>IFERROR(VLOOKUP($A468,'Из Гугла'!$B:$G,6,0)*S468,VLOOKUP($A468,'Из Гугла'!$B:$G,6,0))</f>
        <v/>
      </c>
      <c r="S468" s="14">
        <v>1</v>
      </c>
      <c r="T468" s="83">
        <f>IFERROR(Q468/I468-1,"")</f>
        <v>0.35593999999999992</v>
      </c>
      <c r="U468" s="83" t="str">
        <f>IFERROR((W468-Q468)/W468,"")</f>
        <v/>
      </c>
      <c r="V468" s="83" t="str">
        <f>IFERROR(IF(W468="","",W468/I468-1),"")</f>
        <v/>
      </c>
      <c r="W468" s="84" t="s">
        <v>1269</v>
      </c>
    </row>
    <row r="469" spans="1:24" ht="30" x14ac:dyDescent="0.25">
      <c r="A469" s="80">
        <v>145571</v>
      </c>
      <c r="B469" s="80">
        <f>VLOOKUP($A469,'Выгр Кат'!$A:$R,B$1,0)</f>
        <v>5105</v>
      </c>
      <c r="C469" s="81" t="str">
        <f>VLOOKUP($A469,'Выгр Кат'!$A:$R,C$1,0)</f>
        <v>Задние фонари с серой полосой для ВАЗ 2106</v>
      </c>
      <c r="D469" s="80" t="str">
        <f>VLOOKUP($A469,'Выгр Кат'!$A:$R,D$1,0)</f>
        <v>Y</v>
      </c>
      <c r="E469" s="80" t="str">
        <f>VLOOKUP($A469,'Выгр Кат'!$A:$R,E$1,0)</f>
        <v>0</v>
      </c>
      <c r="F469" s="80">
        <f>VLOOKUP($A469,'Выгр Кат'!$A:$R,F$1,0)</f>
        <v>0</v>
      </c>
      <c r="G469" s="80">
        <f>VLOOKUP($A469,'Выгр Кат'!$A:$R,G$1,0)</f>
        <v>0</v>
      </c>
      <c r="H469" s="67" t="s">
        <v>3</v>
      </c>
      <c r="I469" s="82">
        <v>500</v>
      </c>
      <c r="J469" s="5">
        <f>VLOOKUP(I469,Наценка!$A$1:$G$8,2,1)</f>
        <v>1.45</v>
      </c>
      <c r="K469" s="34">
        <f>I469*J469</f>
        <v>725</v>
      </c>
      <c r="L469" s="70">
        <f>IF(K469&lt;=1000,(ROUNDUP(K469,-1)-1),(ROUNDUP(K469,-2)-10))</f>
        <v>729</v>
      </c>
      <c r="M469" s="80">
        <f>VLOOKUP($A469,'Выгр Кат'!$A:$R,M$1,0)</f>
        <v>500</v>
      </c>
      <c r="N469" s="80">
        <f>VLOOKUP($A469,'Выгр Кат'!$A:$R,N$1,0)</f>
        <v>729</v>
      </c>
      <c r="O469" s="28">
        <f>M469-I469</f>
        <v>0</v>
      </c>
      <c r="P469" s="28">
        <f>N469-L469</f>
        <v>0</v>
      </c>
      <c r="Q469" s="36">
        <f>IFERROR(L469*(1-$Q$2),"")</f>
        <v>677.96999999999991</v>
      </c>
      <c r="R469" s="38" t="str">
        <f>IFERROR(VLOOKUP($A469,'Из Гугла'!$B:$G,6,0)*S469,VLOOKUP($A469,'Из Гугла'!$B:$G,6,0))</f>
        <v/>
      </c>
      <c r="S469" s="14">
        <v>1</v>
      </c>
      <c r="T469" s="83">
        <f>IFERROR(Q469/I469-1,"")</f>
        <v>0.35593999999999992</v>
      </c>
      <c r="U469" s="83" t="str">
        <f>IFERROR((W469-Q469)/W469,"")</f>
        <v/>
      </c>
      <c r="V469" s="83" t="str">
        <f>IFERROR(IF(W469="","",W469/I469-1),"")</f>
        <v/>
      </c>
      <c r="W469" s="84"/>
    </row>
    <row r="470" spans="1:24" ht="30" x14ac:dyDescent="0.25">
      <c r="A470" s="80">
        <v>201788</v>
      </c>
      <c r="B470" s="80">
        <f>VLOOKUP($A470,'Выгр Кат'!$A:$R,B$1,0)</f>
        <v>4327</v>
      </c>
      <c r="C470" s="81" t="str">
        <f>VLOOKUP($A470,'Выгр Кат'!$A:$R,C$1,0)</f>
        <v>Противотуманные фары CV-084B W для Шевроле Нива</v>
      </c>
      <c r="D470" s="80" t="str">
        <f>VLOOKUP($A470,'Выгр Кат'!$A:$R,D$1,0)</f>
        <v>Y</v>
      </c>
      <c r="E470" s="80" t="str">
        <f>VLOOKUP($A470,'Выгр Кат'!$A:$R,E$1,0)</f>
        <v>0</v>
      </c>
      <c r="F470" s="80" t="str">
        <f>VLOOKUP($A470,'Выгр Кат'!$A:$R,F$1,0)</f>
        <v>CV-084B W</v>
      </c>
      <c r="G470" s="80">
        <f>VLOOKUP($A470,'Выгр Кат'!$A:$R,G$1,0)</f>
        <v>0</v>
      </c>
      <c r="H470" s="67" t="s">
        <v>3</v>
      </c>
      <c r="I470" s="82">
        <v>550</v>
      </c>
      <c r="J470" s="5">
        <f>VLOOKUP(I470,Наценка!$A$1:$G$8,2,1)</f>
        <v>1.45</v>
      </c>
      <c r="K470" s="34">
        <f>I470*J470</f>
        <v>797.5</v>
      </c>
      <c r="L470" s="70">
        <f>IF(K470&lt;=1000,(ROUNDUP(K470,-1)-1),(ROUNDUP(K470,-2)-10))</f>
        <v>799</v>
      </c>
      <c r="M470" s="80">
        <f>VLOOKUP($A470,'Выгр Кат'!$A:$R,M$1,0)</f>
        <v>550</v>
      </c>
      <c r="N470" s="80">
        <f>VLOOKUP($A470,'Выгр Кат'!$A:$R,N$1,0)</f>
        <v>799</v>
      </c>
      <c r="O470" s="28">
        <f>M470-I470</f>
        <v>0</v>
      </c>
      <c r="P470" s="28">
        <f>N470-L470</f>
        <v>0</v>
      </c>
      <c r="Q470" s="36">
        <f>IFERROR(L470*(1-$Q$2),"")</f>
        <v>743.06999999999994</v>
      </c>
      <c r="R470" s="38" t="str">
        <f>IFERROR(VLOOKUP($A470,'Из Гугла'!$B:$G,6,0)*S470,VLOOKUP($A470,'Из Гугла'!$B:$G,6,0))</f>
        <v/>
      </c>
      <c r="S470" s="14">
        <v>1</v>
      </c>
      <c r="T470" s="83">
        <f>IFERROR(Q470/I470-1,"")</f>
        <v>0.35103636363636359</v>
      </c>
      <c r="U470" s="83" t="str">
        <f>IFERROR((W470-Q470)/W470,"")</f>
        <v/>
      </c>
      <c r="V470" s="83" t="str">
        <f>IFERROR(IF(W470="","",W470/I470-1),"")</f>
        <v/>
      </c>
      <c r="W470" s="84"/>
    </row>
    <row r="471" spans="1:24" ht="30" x14ac:dyDescent="0.25">
      <c r="A471" s="80">
        <v>137267</v>
      </c>
      <c r="B471" s="80">
        <f>VLOOKUP($A471,'Выгр Кат'!$A:$R,B$1,0)</f>
        <v>5285</v>
      </c>
      <c r="C471" s="81" t="str">
        <f>VLOOKUP($A471,'Выгр Кат'!$A:$R,C$1,0)</f>
        <v>Боковые зеркала "F1" (хром) универсальные</v>
      </c>
      <c r="D471" s="80" t="str">
        <f>VLOOKUP($A471,'Выгр Кат'!$A:$R,D$1,0)</f>
        <v>Y</v>
      </c>
      <c r="E471" s="80" t="str">
        <f>VLOOKUP($A471,'Выгр Кат'!$A:$R,E$1,0)</f>
        <v>0</v>
      </c>
      <c r="F471" s="80">
        <f>VLOOKUP($A471,'Выгр Кат'!$A:$R,F$1,0)</f>
        <v>0</v>
      </c>
      <c r="G471" s="80">
        <f>VLOOKUP($A471,'Выгр Кат'!$A:$R,G$1,0)</f>
        <v>0</v>
      </c>
      <c r="H471" s="67" t="s">
        <v>3</v>
      </c>
      <c r="I471" s="82">
        <v>550</v>
      </c>
      <c r="J471" s="5">
        <f>VLOOKUP(I471,Наценка!$A$1:$G$8,2,1)</f>
        <v>1.45</v>
      </c>
      <c r="K471" s="34">
        <f>I471*J471</f>
        <v>797.5</v>
      </c>
      <c r="L471" s="70">
        <f>IF(K471&lt;=1000,(ROUNDUP(K471,-1)-1),(ROUNDUP(K471,-2)-10))</f>
        <v>799</v>
      </c>
      <c r="M471" s="80">
        <f>VLOOKUP($A471,'Выгр Кат'!$A:$R,M$1,0)</f>
        <v>550</v>
      </c>
      <c r="N471" s="80">
        <f>VLOOKUP($A471,'Выгр Кат'!$A:$R,N$1,0)</f>
        <v>799</v>
      </c>
      <c r="O471" s="28">
        <f>M471-I471</f>
        <v>0</v>
      </c>
      <c r="P471" s="28">
        <f>N471-L471</f>
        <v>0</v>
      </c>
      <c r="Q471" s="36">
        <f>IFERROR(L471*(1-$Q$2),"")</f>
        <v>743.06999999999994</v>
      </c>
      <c r="R471" s="38" t="str">
        <f>IFERROR(VLOOKUP($A471,'Из Гугла'!$B:$G,6,0)*S471,VLOOKUP($A471,'Из Гугла'!$B:$G,6,0))</f>
        <v/>
      </c>
      <c r="S471" s="14">
        <v>1</v>
      </c>
      <c r="T471" s="83">
        <f>IFERROR(Q471/I471-1,"")</f>
        <v>0.35103636363636359</v>
      </c>
      <c r="U471" s="83" t="str">
        <f>IFERROR((W471-Q471)/W471,"")</f>
        <v/>
      </c>
      <c r="V471" s="83" t="str">
        <f>IFERROR(IF(W471="","",W471/I471-1),"")</f>
        <v/>
      </c>
      <c r="W471" s="84"/>
    </row>
    <row r="472" spans="1:24" ht="30" x14ac:dyDescent="0.25">
      <c r="A472" s="80">
        <v>117280</v>
      </c>
      <c r="B472" s="80">
        <f>VLOOKUP($A472,'Выгр Кат'!$A:$R,B$1,0)</f>
        <v>13920</v>
      </c>
      <c r="C472" s="81" t="str">
        <f>VLOOKUP($A472,'Выгр Кат'!$A:$R,C$1,0)</f>
        <v>LED (диодные квадраты) повторители поворота для Лада Нива 4х4</v>
      </c>
      <c r="D472" s="80" t="str">
        <f>VLOOKUP($A472,'Выгр Кат'!$A:$R,D$1,0)</f>
        <v>Y</v>
      </c>
      <c r="E472" s="80" t="str">
        <f>VLOOKUP($A472,'Выгр Кат'!$A:$R,E$1,0)</f>
        <v>0</v>
      </c>
      <c r="F472" s="80">
        <f>VLOOKUP($A472,'Выгр Кат'!$A:$R,F$1,0)</f>
        <v>0</v>
      </c>
      <c r="G472" s="80">
        <f>VLOOKUP($A472,'Выгр Кат'!$A:$R,G$1,0)</f>
        <v>0</v>
      </c>
      <c r="H472" s="67" t="s">
        <v>3</v>
      </c>
      <c r="I472" s="82">
        <v>550</v>
      </c>
      <c r="J472" s="5">
        <f>VLOOKUP(I472,Наценка!$A$1:$G$8,2,1)</f>
        <v>1.45</v>
      </c>
      <c r="K472" s="34">
        <f>I472*J472</f>
        <v>797.5</v>
      </c>
      <c r="L472" s="70">
        <f>IF(K472&lt;=1000,(ROUNDUP(K472,-1)-1),(ROUNDUP(K472,-2)-10))</f>
        <v>799</v>
      </c>
      <c r="M472" s="80">
        <f>VLOOKUP($A472,'Выгр Кат'!$A:$R,M$1,0)</f>
        <v>550</v>
      </c>
      <c r="N472" s="80">
        <f>VLOOKUP($A472,'Выгр Кат'!$A:$R,N$1,0)</f>
        <v>799</v>
      </c>
      <c r="O472" s="28">
        <f>M472-I472</f>
        <v>0</v>
      </c>
      <c r="P472" s="28">
        <f>N472-L472</f>
        <v>0</v>
      </c>
      <c r="Q472" s="36">
        <f>IFERROR(L472*(1-$Q$2),"")</f>
        <v>743.06999999999994</v>
      </c>
      <c r="R472" s="38" t="str">
        <f>IFERROR(VLOOKUP($A472,'Из Гугла'!$B:$G,6,0)*S472,VLOOKUP($A472,'Из Гугла'!$B:$G,6,0))</f>
        <v/>
      </c>
      <c r="S472" s="14">
        <v>1</v>
      </c>
      <c r="T472" s="83">
        <f>IFERROR(Q472/I472-1,"")</f>
        <v>0.35103636363636359</v>
      </c>
      <c r="U472" s="83" t="str">
        <f>IFERROR((W472-Q472)/W472,"")</f>
        <v/>
      </c>
      <c r="V472" s="83" t="str">
        <f>IFERROR(IF(W472="","",W472/I472-1),"")</f>
        <v/>
      </c>
      <c r="W472" s="84"/>
    </row>
    <row r="473" spans="1:24" ht="30" x14ac:dyDescent="0.25">
      <c r="A473" s="80">
        <v>117273</v>
      </c>
      <c r="B473" s="80">
        <f>VLOOKUP($A473,'Выгр Кат'!$A:$R,B$1,0)</f>
        <v>13929</v>
      </c>
      <c r="C473" s="81" t="str">
        <f>VLOOKUP($A473,'Выгр Кат'!$A:$R,C$1,0)</f>
        <v>LED (NIVA белые) повторители поворота для Лада Нива 4х4</v>
      </c>
      <c r="D473" s="80" t="str">
        <f>VLOOKUP($A473,'Выгр Кат'!$A:$R,D$1,0)</f>
        <v>Y</v>
      </c>
      <c r="E473" s="80" t="str">
        <f>VLOOKUP($A473,'Выгр Кат'!$A:$R,E$1,0)</f>
        <v>0</v>
      </c>
      <c r="F473" s="80">
        <f>VLOOKUP($A473,'Выгр Кат'!$A:$R,F$1,0)</f>
        <v>0</v>
      </c>
      <c r="G473" s="80">
        <f>VLOOKUP($A473,'Выгр Кат'!$A:$R,G$1,0)</f>
        <v>0</v>
      </c>
      <c r="H473" s="67" t="s">
        <v>3</v>
      </c>
      <c r="I473" s="82">
        <v>550</v>
      </c>
      <c r="J473" s="5">
        <f>VLOOKUP(I473,Наценка!$A$1:$G$8,2,1)</f>
        <v>1.45</v>
      </c>
      <c r="K473" s="34">
        <f>I473*J473</f>
        <v>797.5</v>
      </c>
      <c r="L473" s="70">
        <f>IF(K473&lt;=1000,(ROUNDUP(K473,-1)-1),(ROUNDUP(K473,-2)-10))</f>
        <v>799</v>
      </c>
      <c r="M473" s="80">
        <f>VLOOKUP($A473,'Выгр Кат'!$A:$R,M$1,0)</f>
        <v>550</v>
      </c>
      <c r="N473" s="80">
        <f>VLOOKUP($A473,'Выгр Кат'!$A:$R,N$1,0)</f>
        <v>799</v>
      </c>
      <c r="O473" s="28">
        <f>M473-I473</f>
        <v>0</v>
      </c>
      <c r="P473" s="28">
        <f>N473-L473</f>
        <v>0</v>
      </c>
      <c r="Q473" s="36">
        <f>IFERROR(L473*(1-$Q$2),"")</f>
        <v>743.06999999999994</v>
      </c>
      <c r="R473" s="38" t="str">
        <f>IFERROR(VLOOKUP($A473,'Из Гугла'!$B:$G,6,0)*S473,VLOOKUP($A473,'Из Гугла'!$B:$G,6,0))</f>
        <v/>
      </c>
      <c r="S473" s="14">
        <v>1</v>
      </c>
      <c r="T473" s="83">
        <f>IFERROR(Q473/I473-1,"")</f>
        <v>0.35103636363636359</v>
      </c>
      <c r="U473" s="83" t="str">
        <f>IFERROR((W473-Q473)/W473,"")</f>
        <v/>
      </c>
      <c r="V473" s="83" t="str">
        <f>IFERROR(IF(W473="","",W473/I473-1),"")</f>
        <v/>
      </c>
      <c r="W473" s="84"/>
    </row>
    <row r="474" spans="1:24" ht="30" x14ac:dyDescent="0.25">
      <c r="A474" s="80">
        <v>201785</v>
      </c>
      <c r="B474" s="80">
        <f>VLOOKUP($A474,'Выгр Кат'!$A:$R,B$1,0)</f>
        <v>4323</v>
      </c>
      <c r="C474" s="81" t="str">
        <f>VLOOKUP($A474,'Выгр Кат'!$A:$R,C$1,0)</f>
        <v>Противотуманные фары (ПТФ) ZFT162A для ВАЗ 2110-2112, 2113-2115</v>
      </c>
      <c r="D474" s="80" t="str">
        <f>VLOOKUP($A474,'Выгр Кат'!$A:$R,D$1,0)</f>
        <v>Y</v>
      </c>
      <c r="E474" s="80" t="str">
        <f>VLOOKUP($A474,'Выгр Кат'!$A:$R,E$1,0)</f>
        <v>0</v>
      </c>
      <c r="F474" s="80" t="str">
        <f>VLOOKUP($A474,'Выгр Кат'!$A:$R,F$1,0)</f>
        <v>ZFT162A</v>
      </c>
      <c r="G474" s="80">
        <f>VLOOKUP($A474,'Выгр Кат'!$A:$R,G$1,0)</f>
        <v>0</v>
      </c>
      <c r="H474" s="67" t="s">
        <v>3</v>
      </c>
      <c r="I474" s="82">
        <v>600</v>
      </c>
      <c r="J474" s="5">
        <f>VLOOKUP(I474,Наценка!$A$1:$G$8,2,1)</f>
        <v>1.45</v>
      </c>
      <c r="K474" s="34">
        <f>I474*J474</f>
        <v>870</v>
      </c>
      <c r="L474" s="70">
        <f>IF(K474&lt;=1000,(ROUNDUP(K474,-1)-1),(ROUNDUP(K474,-2)-10))</f>
        <v>869</v>
      </c>
      <c r="M474" s="80">
        <f>VLOOKUP($A474,'Выгр Кат'!$A:$R,M$1,0)</f>
        <v>600</v>
      </c>
      <c r="N474" s="80">
        <f>VLOOKUP($A474,'Выгр Кат'!$A:$R,N$1,0)</f>
        <v>869</v>
      </c>
      <c r="O474" s="28">
        <f>M474-I474</f>
        <v>0</v>
      </c>
      <c r="P474" s="28">
        <f>N474-L474</f>
        <v>0</v>
      </c>
      <c r="Q474" s="36">
        <f>IFERROR(L474*(1-$Q$2),"")</f>
        <v>808.17</v>
      </c>
      <c r="R474" s="38" t="str">
        <f>IFERROR(VLOOKUP($A474,'Из Гугла'!$B:$G,6,0)*S474,VLOOKUP($A474,'Из Гугла'!$B:$G,6,0))</f>
        <v/>
      </c>
      <c r="S474" s="14">
        <v>1</v>
      </c>
      <c r="T474" s="83">
        <f>IFERROR(Q474/I474-1,"")</f>
        <v>0.34694999999999987</v>
      </c>
      <c r="U474" s="83" t="str">
        <f>IFERROR((W474-Q474)/W474,"")</f>
        <v/>
      </c>
      <c r="V474" s="83" t="str">
        <f>IFERROR(IF(W474="","",W474/I474-1),"")</f>
        <v/>
      </c>
      <c r="W474" s="84"/>
    </row>
    <row r="475" spans="1:24" ht="45" x14ac:dyDescent="0.25">
      <c r="A475" s="80">
        <v>138490</v>
      </c>
      <c r="B475" s="80">
        <f>VLOOKUP($A475,'Выгр Кат'!$A:$R,B$1,0)</f>
        <v>7461</v>
      </c>
      <c r="C475" s="81" t="str">
        <f>VLOOKUP($A475,'Выгр Кат'!$A:$R,C$1,0)</f>
        <v>Боковые зеркала «3246» карбон c повторителем для ВАЗ 2108-21099, 2113-2115</v>
      </c>
      <c r="D475" s="80" t="str">
        <f>VLOOKUP($A475,'Выгр Кат'!$A:$R,D$1,0)</f>
        <v>Y</v>
      </c>
      <c r="E475" s="80" t="str">
        <f>VLOOKUP($A475,'Выгр Кат'!$A:$R,E$1,0)</f>
        <v>0</v>
      </c>
      <c r="F475" s="80">
        <f>VLOOKUP($A475,'Выгр Кат'!$A:$R,F$1,0)</f>
        <v>0</v>
      </c>
      <c r="G475" s="80">
        <f>VLOOKUP($A475,'Выгр Кат'!$A:$R,G$1,0)</f>
        <v>0</v>
      </c>
      <c r="H475" s="67" t="s">
        <v>3</v>
      </c>
      <c r="I475" s="82">
        <v>600</v>
      </c>
      <c r="J475" s="5">
        <f>VLOOKUP(I475,Наценка!$A$1:$G$8,2,1)</f>
        <v>1.45</v>
      </c>
      <c r="K475" s="34">
        <f>I475*J475</f>
        <v>870</v>
      </c>
      <c r="L475" s="70">
        <f>IF(K475&lt;=1000,(ROUNDUP(K475,-1)-1),(ROUNDUP(K475,-2)-10))</f>
        <v>869</v>
      </c>
      <c r="M475" s="80">
        <f>VLOOKUP($A475,'Выгр Кат'!$A:$R,M$1,0)</f>
        <v>600</v>
      </c>
      <c r="N475" s="80">
        <f>VLOOKUP($A475,'Выгр Кат'!$A:$R,N$1,0)</f>
        <v>869</v>
      </c>
      <c r="O475" s="28">
        <f>M475-I475</f>
        <v>0</v>
      </c>
      <c r="P475" s="28">
        <f>N475-L475</f>
        <v>0</v>
      </c>
      <c r="Q475" s="36">
        <f>IFERROR(L475*(1-$Q$2),"")</f>
        <v>808.17</v>
      </c>
      <c r="R475" s="38" t="str">
        <f>IFERROR(VLOOKUP($A475,'Из Гугла'!$B:$G,6,0)*S475,VLOOKUP($A475,'Из Гугла'!$B:$G,6,0))</f>
        <v/>
      </c>
      <c r="S475" s="14">
        <v>1</v>
      </c>
      <c r="T475" s="83">
        <f>IFERROR(Q475/I475-1,"")</f>
        <v>0.34694999999999987</v>
      </c>
      <c r="U475" s="83" t="str">
        <f>IFERROR((W475-Q475)/W475,"")</f>
        <v/>
      </c>
      <c r="V475" s="83" t="str">
        <f>IFERROR(IF(W475="","",W475/I475-1),"")</f>
        <v/>
      </c>
      <c r="W475" s="84"/>
    </row>
    <row r="476" spans="1:24" ht="30" x14ac:dyDescent="0.25">
      <c r="A476" s="80">
        <v>201751</v>
      </c>
      <c r="B476" s="80">
        <f>VLOOKUP($A476,'Выгр Кат'!$A:$R,B$1,0)</f>
        <v>19194</v>
      </c>
      <c r="C476" s="81" t="str">
        <f>VLOOKUP($A476,'Выгр Кат'!$A:$R,C$1,0)</f>
        <v>Противотуманные фары "BROOKLYN" для ВАЗ 2110-2112</v>
      </c>
      <c r="D476" s="80" t="str">
        <f>VLOOKUP($A476,'Выгр Кат'!$A:$R,D$1,0)</f>
        <v>Y</v>
      </c>
      <c r="E476" s="80" t="str">
        <f>VLOOKUP($A476,'Выгр Кат'!$A:$R,E$1,0)</f>
        <v>0</v>
      </c>
      <c r="F476" s="80">
        <f>VLOOKUP($A476,'Выгр Кат'!$A:$R,F$1,0)</f>
        <v>0</v>
      </c>
      <c r="G476" s="80">
        <f>VLOOKUP($A476,'Выгр Кат'!$A:$R,G$1,0)</f>
        <v>0</v>
      </c>
      <c r="H476" s="67" t="s">
        <v>3</v>
      </c>
      <c r="I476" s="82">
        <v>600</v>
      </c>
      <c r="J476" s="5">
        <f>VLOOKUP(I476,Наценка!$A$1:$G$8,2,1)</f>
        <v>1.45</v>
      </c>
      <c r="K476" s="34">
        <f>I476*J476</f>
        <v>870</v>
      </c>
      <c r="L476" s="70">
        <f>IF(K476&lt;=1000,(ROUNDUP(K476,-1)-1),(ROUNDUP(K476,-2)-10))</f>
        <v>869</v>
      </c>
      <c r="M476" s="80">
        <f>VLOOKUP($A476,'Выгр Кат'!$A:$R,M$1,0)</f>
        <v>600</v>
      </c>
      <c r="N476" s="80">
        <f>VLOOKUP($A476,'Выгр Кат'!$A:$R,N$1,0)</f>
        <v>869</v>
      </c>
      <c r="O476" s="28">
        <f>M476-I476</f>
        <v>0</v>
      </c>
      <c r="P476" s="28">
        <f>N476-L476</f>
        <v>0</v>
      </c>
      <c r="Q476" s="36">
        <f>IFERROR(L476*(1-$Q$2),"")</f>
        <v>808.17</v>
      </c>
      <c r="R476" s="38" t="str">
        <f>IFERROR(VLOOKUP($A476,'Из Гугла'!$B:$G,6,0)*S476,VLOOKUP($A476,'Из Гугла'!$B:$G,6,0))</f>
        <v/>
      </c>
      <c r="S476" s="14">
        <v>1</v>
      </c>
      <c r="T476" s="83">
        <f>IFERROR(Q476/I476-1,"")</f>
        <v>0.34694999999999987</v>
      </c>
      <c r="U476" s="83" t="str">
        <f>IFERROR((W476-Q476)/W476,"")</f>
        <v/>
      </c>
      <c r="V476" s="83" t="str">
        <f>IFERROR(IF(W476="","",W476/I476-1),"")</f>
        <v/>
      </c>
      <c r="W476" s="84"/>
    </row>
    <row r="477" spans="1:24" ht="30" x14ac:dyDescent="0.25">
      <c r="A477" s="80">
        <v>133255</v>
      </c>
      <c r="B477" s="80">
        <f>VLOOKUP($A477,'Выгр Кат'!$A:$R,B$1,0)</f>
        <v>23943</v>
      </c>
      <c r="C477" s="81" t="str">
        <f>VLOOKUP($A477,'Выгр Кат'!$A:$R,C$1,0)</f>
        <v>Балка дополнительного освещения "CC-36" (LED, янтарный свет)</v>
      </c>
      <c r="D477" s="80" t="str">
        <f>VLOOKUP($A477,'Выгр Кат'!$A:$R,D$1,0)</f>
        <v>Y</v>
      </c>
      <c r="E477" s="80" t="str">
        <f>VLOOKUP($A477,'Выгр Кат'!$A:$R,E$1,0)</f>
        <v>0</v>
      </c>
      <c r="F477" s="80" t="str">
        <f>VLOOKUP($A477,'Выгр Кат'!$A:$R,F$1,0)</f>
        <v>CC-36</v>
      </c>
      <c r="G477" s="80">
        <f>VLOOKUP($A477,'Выгр Кат'!$A:$R,G$1,0)</f>
        <v>0</v>
      </c>
      <c r="H477" s="67" t="s">
        <v>3</v>
      </c>
      <c r="I477" s="82">
        <v>600</v>
      </c>
      <c r="J477" s="5">
        <f>VLOOKUP(I477,Наценка!$A$1:$G$8,2,1)</f>
        <v>1.45</v>
      </c>
      <c r="K477" s="34">
        <f>I477*J477</f>
        <v>870</v>
      </c>
      <c r="L477" s="70">
        <f>IF(K477&lt;=1000,(ROUNDUP(K477,-1)-1),(ROUNDUP(K477,-2)-10))</f>
        <v>869</v>
      </c>
      <c r="M477" s="80">
        <f>VLOOKUP($A477,'Выгр Кат'!$A:$R,M$1,0)</f>
        <v>600</v>
      </c>
      <c r="N477" s="80">
        <f>VLOOKUP($A477,'Выгр Кат'!$A:$R,N$1,0)</f>
        <v>869</v>
      </c>
      <c r="O477" s="28">
        <f>M477-I477</f>
        <v>0</v>
      </c>
      <c r="P477" s="28">
        <f>N477-L477</f>
        <v>0</v>
      </c>
      <c r="Q477" s="36">
        <f>IFERROR(L477*(1-$Q$2),"")</f>
        <v>808.17</v>
      </c>
      <c r="R477" s="38" t="str">
        <f>IFERROR(VLOOKUP($A477,'Из Гугла'!$B:$G,6,0)*S477,VLOOKUP($A477,'Из Гугла'!$B:$G,6,0))</f>
        <v/>
      </c>
      <c r="S477" s="14">
        <v>1</v>
      </c>
      <c r="T477" s="83">
        <f>IFERROR(Q477/I477-1,"")</f>
        <v>0.34694999999999987</v>
      </c>
      <c r="U477" s="83" t="str">
        <f>IFERROR((W477-Q477)/W477,"")</f>
        <v/>
      </c>
      <c r="V477" s="83" t="str">
        <f>IFERROR(IF(W477="","",W477/I477-1),"")</f>
        <v/>
      </c>
      <c r="W477" s="84" t="s">
        <v>1269</v>
      </c>
    </row>
    <row r="478" spans="1:24" ht="30" x14ac:dyDescent="0.25">
      <c r="A478" s="80">
        <v>133316</v>
      </c>
      <c r="B478" s="80">
        <f>VLOOKUP($A478,'Выгр Кат'!$A:$R,B$1,0)</f>
        <v>8091</v>
      </c>
      <c r="C478" s="81" t="str">
        <f>VLOOKUP($A478,'Выгр Кат'!$A:$R,C$1,0)</f>
        <v>Балка освещения 3W*9LED, D-11,5см (27W-B дальний)</v>
      </c>
      <c r="D478" s="80" t="str">
        <f>VLOOKUP($A478,'Выгр Кат'!$A:$R,D$1,0)</f>
        <v>N</v>
      </c>
      <c r="E478" s="80" t="str">
        <f>VLOOKUP($A478,'Выгр Кат'!$A:$R,E$1,0)</f>
        <v>1</v>
      </c>
      <c r="F478" s="80" t="str">
        <f>VLOOKUP($A478,'Выгр Кат'!$A:$R,F$1,0)</f>
        <v>27W-B дальний</v>
      </c>
      <c r="G478" s="80" t="str">
        <f>VLOOKUP($A478,'Выгр Кат'!$A:$R,G$1,0)</f>
        <v>https://motorring.ru/product/11746-diodnaya-balka-27w-b-dalyniy-3vt</v>
      </c>
      <c r="H478" s="67" t="s">
        <v>3</v>
      </c>
      <c r="I478" s="82">
        <v>640</v>
      </c>
      <c r="J478" s="5">
        <f>VLOOKUP(I478,Наценка!$A$1:$G$8,2,1)</f>
        <v>1.45</v>
      </c>
      <c r="K478" s="89">
        <f>W478*1.07</f>
        <v>801.43000000000006</v>
      </c>
      <c r="L478" s="70">
        <f>IF(K478&lt;=1000,(ROUNDUP(K478,-1)-1),(ROUNDUP(K478,-2)-10))</f>
        <v>809</v>
      </c>
      <c r="M478" s="80">
        <f>VLOOKUP($A478,'Выгр Кат'!$A:$R,M$1,0)</f>
        <v>640</v>
      </c>
      <c r="N478" s="80">
        <f>VLOOKUP($A478,'Выгр Кат'!$A:$R,N$1,0)</f>
        <v>809</v>
      </c>
      <c r="O478" s="28">
        <f>M478-I478</f>
        <v>0</v>
      </c>
      <c r="P478" s="28">
        <f>N478-L478</f>
        <v>0</v>
      </c>
      <c r="Q478" s="36">
        <f>IFERROR(L478*(1-$Q$2),"")</f>
        <v>752.37</v>
      </c>
      <c r="R478" s="38">
        <f>IFERROR(VLOOKUP($A478,'Из Гугла'!$B:$G,6,0)*S478,VLOOKUP($A478,'Из Гугла'!$B:$G,6,0))</f>
        <v>749</v>
      </c>
      <c r="S478" s="14">
        <v>1</v>
      </c>
      <c r="T478" s="83">
        <f>IFERROR(Q478/I478-1,"")</f>
        <v>0.17557812499999992</v>
      </c>
      <c r="U478" s="83">
        <f>IFERROR((W478-Q478)/W478,"")</f>
        <v>-4.4993324432576831E-3</v>
      </c>
      <c r="V478" s="83">
        <f>IFERROR(IF(W478="","",W478/I478-1),"")</f>
        <v>0.17031250000000009</v>
      </c>
      <c r="W478" s="84">
        <v>749</v>
      </c>
      <c r="X478" s="71" t="s">
        <v>919</v>
      </c>
    </row>
    <row r="479" spans="1:24" ht="45" x14ac:dyDescent="0.25">
      <c r="A479" s="80">
        <v>213628</v>
      </c>
      <c r="B479" s="80">
        <f>VLOOKUP($A479,'Выгр Кат'!$A:$R,B$1,0)</f>
        <v>12602</v>
      </c>
      <c r="C479" s="81" t="str">
        <f>VLOOKUP($A479,'Выгр Кат'!$A:$R,C$1,0)</f>
        <v>Светодиодные лампы Super LED C9 H11 6000К с вентилятором охлаждения (пара)</v>
      </c>
      <c r="D479" s="80" t="str">
        <f>VLOOKUP($A479,'Выгр Кат'!$A:$R,D$1,0)</f>
        <v>N</v>
      </c>
      <c r="E479" s="80" t="str">
        <f>VLOOKUP($A479,'Выгр Кат'!$A:$R,E$1,0)</f>
        <v>1</v>
      </c>
      <c r="F479" s="80">
        <f>VLOOKUP($A479,'Выгр Кат'!$A:$R,F$1,0)</f>
        <v>0</v>
      </c>
      <c r="G479" s="80">
        <f>VLOOKUP($A479,'Выгр Кат'!$A:$R,G$1,0)</f>
        <v>0</v>
      </c>
      <c r="H479" s="67" t="s">
        <v>3</v>
      </c>
      <c r="I479" s="82">
        <v>650</v>
      </c>
      <c r="J479" s="5">
        <f>VLOOKUP(I479,Наценка!$A$1:$G$8,2,1)</f>
        <v>1.45</v>
      </c>
      <c r="K479" s="34">
        <f>I479*J479</f>
        <v>942.5</v>
      </c>
      <c r="L479" s="70">
        <f>IF(K479&lt;=1000,(ROUNDUP(K479,-1)-1),(ROUNDUP(K479,-2)-10))</f>
        <v>949</v>
      </c>
      <c r="M479" s="80">
        <f>VLOOKUP($A479,'Выгр Кат'!$A:$R,M$1,0)</f>
        <v>650</v>
      </c>
      <c r="N479" s="80">
        <f>VLOOKUP($A479,'Выгр Кат'!$A:$R,N$1,0)</f>
        <v>949</v>
      </c>
      <c r="O479" s="28">
        <f>M479-I479</f>
        <v>0</v>
      </c>
      <c r="P479" s="28">
        <f>N479-L479</f>
        <v>0</v>
      </c>
      <c r="Q479" s="36">
        <f>IFERROR(L479*(1-$Q$2),"")</f>
        <v>882.56999999999994</v>
      </c>
      <c r="R479" s="38" t="str">
        <f>IFERROR(VLOOKUP($A479,'Из Гугла'!$B:$G,6,0)*S479,VLOOKUP($A479,'Из Гугла'!$B:$G,6,0))</f>
        <v/>
      </c>
      <c r="S479" s="14">
        <v>1</v>
      </c>
      <c r="T479" s="83">
        <f>IFERROR(Q479/I479-1,"")</f>
        <v>0.3577999999999999</v>
      </c>
      <c r="U479" s="83" t="str">
        <f>IFERROR((W479-Q479)/W479,"")</f>
        <v/>
      </c>
      <c r="V479" s="83" t="str">
        <f>IFERROR(IF(W479="","",W479/I479-1),"")</f>
        <v/>
      </c>
      <c r="W479" s="84"/>
    </row>
    <row r="480" spans="1:24" ht="45" x14ac:dyDescent="0.25">
      <c r="A480" s="80">
        <v>213631</v>
      </c>
      <c r="B480" s="80">
        <f>VLOOKUP($A480,'Выгр Кат'!$A:$R,B$1,0)</f>
        <v>12603</v>
      </c>
      <c r="C480" s="81" t="str">
        <f>VLOOKUP($A480,'Выгр Кат'!$A:$R,C$1,0)</f>
        <v>(дубль) Светодиодные лампы Super LED C9 H7 6000К с вентилятором охлаждения</v>
      </c>
      <c r="D480" s="80" t="str">
        <f>VLOOKUP($A480,'Выгр Кат'!$A:$R,D$1,0)</f>
        <v>N</v>
      </c>
      <c r="E480" s="80" t="str">
        <f>VLOOKUP($A480,'Выгр Кат'!$A:$R,E$1,0)</f>
        <v>1</v>
      </c>
      <c r="F480" s="80">
        <f>VLOOKUP($A480,'Выгр Кат'!$A:$R,F$1,0)</f>
        <v>0</v>
      </c>
      <c r="G480" s="80">
        <f>VLOOKUP($A480,'Выгр Кат'!$A:$R,G$1,0)</f>
        <v>0</v>
      </c>
      <c r="H480" s="67" t="s">
        <v>3</v>
      </c>
      <c r="I480" s="82">
        <v>650</v>
      </c>
      <c r="J480" s="5">
        <f>VLOOKUP(I480,Наценка!$A$1:$G$8,2,1)</f>
        <v>1.45</v>
      </c>
      <c r="K480" s="34">
        <f>I480*J480</f>
        <v>942.5</v>
      </c>
      <c r="L480" s="70">
        <f>IF(K480&lt;=1000,(ROUNDUP(K480,-1)-1),(ROUNDUP(K480,-2)-10))</f>
        <v>949</v>
      </c>
      <c r="M480" s="80">
        <f>VLOOKUP($A480,'Выгр Кат'!$A:$R,M$1,0)</f>
        <v>650</v>
      </c>
      <c r="N480" s="80">
        <f>VLOOKUP($A480,'Выгр Кат'!$A:$R,N$1,0)</f>
        <v>949</v>
      </c>
      <c r="O480" s="28">
        <f>M480-I480</f>
        <v>0</v>
      </c>
      <c r="P480" s="28">
        <f>N480-L480</f>
        <v>0</v>
      </c>
      <c r="Q480" s="36">
        <f>IFERROR(L480*(1-$Q$2),"")</f>
        <v>882.56999999999994</v>
      </c>
      <c r="R480" s="38" t="str">
        <f>IFERROR(VLOOKUP($A480,'Из Гугла'!$B:$G,6,0)*S480,VLOOKUP($A480,'Из Гугла'!$B:$G,6,0))</f>
        <v/>
      </c>
      <c r="S480" s="14">
        <v>1</v>
      </c>
      <c r="T480" s="83">
        <f>IFERROR(Q480/I480-1,"")</f>
        <v>0.3577999999999999</v>
      </c>
      <c r="U480" s="83" t="str">
        <f>IFERROR((W480-Q480)/W480,"")</f>
        <v/>
      </c>
      <c r="V480" s="83" t="str">
        <f>IFERROR(IF(W480="","",W480/I480-1),"")</f>
        <v/>
      </c>
      <c r="W480" s="84"/>
    </row>
    <row r="481" spans="1:24" ht="45" x14ac:dyDescent="0.25">
      <c r="A481" s="80">
        <v>213629</v>
      </c>
      <c r="B481" s="80">
        <f>VLOOKUP($A481,'Выгр Кат'!$A:$R,B$1,0)</f>
        <v>18327</v>
      </c>
      <c r="C481" s="81" t="str">
        <f>VLOOKUP($A481,'Выгр Кат'!$A:$R,C$1,0)</f>
        <v>(дубль) Светодиодные лампы Super LED C9 H3 6000К с вентилятором охлаждения</v>
      </c>
      <c r="D481" s="80" t="str">
        <f>VLOOKUP($A481,'Выгр Кат'!$A:$R,D$1,0)</f>
        <v>N</v>
      </c>
      <c r="E481" s="80" t="str">
        <f>VLOOKUP($A481,'Выгр Кат'!$A:$R,E$1,0)</f>
        <v>1</v>
      </c>
      <c r="F481" s="80">
        <f>VLOOKUP($A481,'Выгр Кат'!$A:$R,F$1,0)</f>
        <v>0</v>
      </c>
      <c r="G481" s="80">
        <f>VLOOKUP($A481,'Выгр Кат'!$A:$R,G$1,0)</f>
        <v>0</v>
      </c>
      <c r="H481" s="67" t="s">
        <v>3</v>
      </c>
      <c r="I481" s="82">
        <v>650</v>
      </c>
      <c r="J481" s="5">
        <f>VLOOKUP(I481,Наценка!$A$1:$G$8,2,1)</f>
        <v>1.45</v>
      </c>
      <c r="K481" s="34">
        <f>I481*J481</f>
        <v>942.5</v>
      </c>
      <c r="L481" s="70">
        <f>IF(K481&lt;=1000,(ROUNDUP(K481,-1)-1),(ROUNDUP(K481,-2)-10))</f>
        <v>949</v>
      </c>
      <c r="M481" s="80">
        <f>VLOOKUP($A481,'Выгр Кат'!$A:$R,M$1,0)</f>
        <v>650</v>
      </c>
      <c r="N481" s="80">
        <f>VLOOKUP($A481,'Выгр Кат'!$A:$R,N$1,0)</f>
        <v>949</v>
      </c>
      <c r="O481" s="28">
        <f>M481-I481</f>
        <v>0</v>
      </c>
      <c r="P481" s="28">
        <f>N481-L481</f>
        <v>0</v>
      </c>
      <c r="Q481" s="36">
        <f>IFERROR(L481*(1-$Q$2),"")</f>
        <v>882.56999999999994</v>
      </c>
      <c r="R481" s="38" t="str">
        <f>IFERROR(VLOOKUP($A481,'Из Гугла'!$B:$G,6,0)*S481,VLOOKUP($A481,'Из Гугла'!$B:$G,6,0))</f>
        <v/>
      </c>
      <c r="S481" s="14">
        <v>1</v>
      </c>
      <c r="T481" s="83">
        <f>IFERROR(Q481/I481-1,"")</f>
        <v>0.3577999999999999</v>
      </c>
      <c r="U481" s="83" t="str">
        <f>IFERROR((W481-Q481)/W481,"")</f>
        <v/>
      </c>
      <c r="V481" s="83" t="str">
        <f>IFERROR(IF(W481="","",W481/I481-1),"")</f>
        <v/>
      </c>
      <c r="W481" s="84"/>
    </row>
    <row r="482" spans="1:24" ht="30" x14ac:dyDescent="0.25">
      <c r="A482" s="80">
        <v>201792</v>
      </c>
      <c r="B482" s="80">
        <f>VLOOKUP($A482,'Выгр Кат'!$A:$R,B$1,0)</f>
        <v>11776</v>
      </c>
      <c r="C482" s="81" t="str">
        <f>VLOOKUP($A482,'Выгр Кат'!$A:$R,C$1,0)</f>
        <v>Противотуманные фары LD-162 для ВАЗ 2110-2112</v>
      </c>
      <c r="D482" s="80" t="str">
        <f>VLOOKUP($A482,'Выгр Кат'!$A:$R,D$1,0)</f>
        <v>Y</v>
      </c>
      <c r="E482" s="80" t="str">
        <f>VLOOKUP($A482,'Выгр Кат'!$A:$R,E$1,0)</f>
        <v>0</v>
      </c>
      <c r="F482" s="80" t="str">
        <f>VLOOKUP($A482,'Выгр Кат'!$A:$R,F$1,0)</f>
        <v>LD-162</v>
      </c>
      <c r="G482" s="80">
        <f>VLOOKUP($A482,'Выгр Кат'!$A:$R,G$1,0)</f>
        <v>0</v>
      </c>
      <c r="H482" s="67" t="s">
        <v>3</v>
      </c>
      <c r="I482" s="82">
        <v>650</v>
      </c>
      <c r="J482" s="5">
        <f>VLOOKUP(I482,Наценка!$A$1:$G$8,2,1)</f>
        <v>1.45</v>
      </c>
      <c r="K482" s="34">
        <f>I482*J482</f>
        <v>942.5</v>
      </c>
      <c r="L482" s="70">
        <f>IF(K482&lt;=1000,(ROUNDUP(K482,-1)-1),(ROUNDUP(K482,-2)-10))</f>
        <v>949</v>
      </c>
      <c r="M482" s="80">
        <f>VLOOKUP($A482,'Выгр Кат'!$A:$R,M$1,0)</f>
        <v>650</v>
      </c>
      <c r="N482" s="80">
        <f>VLOOKUP($A482,'Выгр Кат'!$A:$R,N$1,0)</f>
        <v>949</v>
      </c>
      <c r="O482" s="28">
        <f>M482-I482</f>
        <v>0</v>
      </c>
      <c r="P482" s="28">
        <f>N482-L482</f>
        <v>0</v>
      </c>
      <c r="Q482" s="36">
        <f>IFERROR(L482*(1-$Q$2),"")</f>
        <v>882.56999999999994</v>
      </c>
      <c r="R482" s="38" t="str">
        <f>IFERROR(VLOOKUP($A482,'Из Гугла'!$B:$G,6,0)*S482,VLOOKUP($A482,'Из Гугла'!$B:$G,6,0))</f>
        <v/>
      </c>
      <c r="S482" s="14">
        <v>1</v>
      </c>
      <c r="T482" s="83">
        <f>IFERROR(Q482/I482-1,"")</f>
        <v>0.3577999999999999</v>
      </c>
      <c r="U482" s="83" t="str">
        <f>IFERROR((W482-Q482)/W482,"")</f>
        <v/>
      </c>
      <c r="V482" s="83" t="str">
        <f>IFERROR(IF(W482="","",W482/I482-1),"")</f>
        <v/>
      </c>
      <c r="W482" s="84"/>
    </row>
    <row r="483" spans="1:24" ht="30" x14ac:dyDescent="0.25">
      <c r="A483" s="80">
        <v>201752</v>
      </c>
      <c r="B483" s="80">
        <f>VLOOKUP($A483,'Выгр Кат'!$A:$R,B$1,0)</f>
        <v>18908</v>
      </c>
      <c r="C483" s="81" t="str">
        <f>VLOOKUP($A483,'Выгр Кат'!$A:$R,C$1,0)</f>
        <v>Противотуманные фары "High Quality 1005" универсальные</v>
      </c>
      <c r="D483" s="80" t="str">
        <f>VLOOKUP($A483,'Выгр Кат'!$A:$R,D$1,0)</f>
        <v>Y</v>
      </c>
      <c r="E483" s="80" t="str">
        <f>VLOOKUP($A483,'Выгр Кат'!$A:$R,E$1,0)</f>
        <v>0</v>
      </c>
      <c r="F483" s="80">
        <f>VLOOKUP($A483,'Выгр Кат'!$A:$R,F$1,0)</f>
        <v>0</v>
      </c>
      <c r="G483" s="80">
        <f>VLOOKUP($A483,'Выгр Кат'!$A:$R,G$1,0)</f>
        <v>0</v>
      </c>
      <c r="H483" s="67" t="s">
        <v>3</v>
      </c>
      <c r="I483" s="82">
        <v>650</v>
      </c>
      <c r="J483" s="5">
        <f>VLOOKUP(I483,Наценка!$A$1:$G$8,2,1)</f>
        <v>1.45</v>
      </c>
      <c r="K483" s="34">
        <f>I483*J483</f>
        <v>942.5</v>
      </c>
      <c r="L483" s="70">
        <f>IF(K483&lt;=1000,(ROUNDUP(K483,-1)-1),(ROUNDUP(K483,-2)-10))</f>
        <v>949</v>
      </c>
      <c r="M483" s="80">
        <f>VLOOKUP($A483,'Выгр Кат'!$A:$R,M$1,0)</f>
        <v>650</v>
      </c>
      <c r="N483" s="80">
        <f>VLOOKUP($A483,'Выгр Кат'!$A:$R,N$1,0)</f>
        <v>949</v>
      </c>
      <c r="O483" s="28">
        <f>M483-I483</f>
        <v>0</v>
      </c>
      <c r="P483" s="28">
        <f>N483-L483</f>
        <v>0</v>
      </c>
      <c r="Q483" s="36">
        <f>IFERROR(L483*(1-$Q$2),"")</f>
        <v>882.56999999999994</v>
      </c>
      <c r="R483" s="38" t="str">
        <f>IFERROR(VLOOKUP($A483,'Из Гугла'!$B:$G,6,0)*S483,VLOOKUP($A483,'Из Гугла'!$B:$G,6,0))</f>
        <v/>
      </c>
      <c r="S483" s="14">
        <v>1</v>
      </c>
      <c r="T483" s="83">
        <f>IFERROR(Q483/I483-1,"")</f>
        <v>0.3577999999999999</v>
      </c>
      <c r="U483" s="83" t="str">
        <f>IFERROR((W483-Q483)/W483,"")</f>
        <v/>
      </c>
      <c r="V483" s="83" t="str">
        <f>IFERROR(IF(W483="","",W483/I483-1),"")</f>
        <v/>
      </c>
      <c r="W483" s="84" t="s">
        <v>1269</v>
      </c>
    </row>
    <row r="484" spans="1:24" ht="30" x14ac:dyDescent="0.25">
      <c r="A484" s="80">
        <v>213599</v>
      </c>
      <c r="B484" s="80">
        <f>VLOOKUP($A484,'Выгр Кат'!$A:$R,B$1,0)</f>
        <v>19362</v>
      </c>
      <c r="C484" s="81" t="str">
        <f>VLOOKUP($A484,'Выгр Кат'!$A:$R,C$1,0)</f>
        <v>(дубль) Светодиодные лампы "LED" С09, H7</v>
      </c>
      <c r="D484" s="80" t="str">
        <f>VLOOKUP($A484,'Выгр Кат'!$A:$R,D$1,0)</f>
        <v>N</v>
      </c>
      <c r="E484" s="80" t="str">
        <f>VLOOKUP($A484,'Выгр Кат'!$A:$R,E$1,0)</f>
        <v>1ск1</v>
      </c>
      <c r="F484" s="80">
        <f>VLOOKUP($A484,'Выгр Кат'!$A:$R,F$1,0)</f>
        <v>0</v>
      </c>
      <c r="G484" s="80">
        <f>VLOOKUP($A484,'Выгр Кат'!$A:$R,G$1,0)</f>
        <v>0</v>
      </c>
      <c r="H484" s="67" t="s">
        <v>3</v>
      </c>
      <c r="I484" s="82">
        <v>700</v>
      </c>
      <c r="J484" s="5">
        <f>VLOOKUP(I484,Наценка!$A$1:$G$8,2,1)</f>
        <v>1.45</v>
      </c>
      <c r="K484" s="34">
        <f>I484*J484</f>
        <v>1015</v>
      </c>
      <c r="L484" s="70">
        <f>IF(K484&lt;=1000,(ROUNDUP(K484,-1)-1),(ROUNDUP(K484,-2)-10))</f>
        <v>1090</v>
      </c>
      <c r="M484" s="80">
        <f>VLOOKUP($A484,'Выгр Кат'!$A:$R,M$1,0)</f>
        <v>700</v>
      </c>
      <c r="N484" s="80">
        <f>VLOOKUP($A484,'Выгр Кат'!$A:$R,N$1,0)</f>
        <v>1090</v>
      </c>
      <c r="O484" s="28">
        <f>M484-I484</f>
        <v>0</v>
      </c>
      <c r="P484" s="28">
        <f>N484-L484</f>
        <v>0</v>
      </c>
      <c r="Q484" s="36">
        <f>IFERROR(L484*(1-$Q$2),"")</f>
        <v>1013.6999999999999</v>
      </c>
      <c r="R484" s="38" t="str">
        <f>IFERROR(VLOOKUP($A484,'Из Гугла'!$B:$G,6,0)*S484,VLOOKUP($A484,'Из Гугла'!$B:$G,6,0))</f>
        <v/>
      </c>
      <c r="S484" s="14">
        <v>1</v>
      </c>
      <c r="T484" s="83">
        <f>IFERROR(Q484/I484-1,"")</f>
        <v>0.44814285714285695</v>
      </c>
      <c r="U484" s="83" t="str">
        <f>IFERROR((W484-Q484)/W484,"")</f>
        <v/>
      </c>
      <c r="V484" s="83" t="str">
        <f>IFERROR(IF(W484="","",W484/I484-1),"")</f>
        <v/>
      </c>
      <c r="W484" s="84"/>
    </row>
    <row r="485" spans="1:24" ht="30" x14ac:dyDescent="0.25">
      <c r="A485" s="80">
        <v>201791</v>
      </c>
      <c r="B485" s="80">
        <f>VLOOKUP($A485,'Выгр Кат'!$A:$R,B$1,0)</f>
        <v>4336</v>
      </c>
      <c r="C485" s="81" t="str">
        <f>VLOOKUP($A485,'Выгр Кат'!$A:$R,C$1,0)</f>
        <v>Противотуманные фары для ВАЗ 2113-2115</v>
      </c>
      <c r="D485" s="80" t="str">
        <f>VLOOKUP($A485,'Выгр Кат'!$A:$R,D$1,0)</f>
        <v>Y</v>
      </c>
      <c r="E485" s="80" t="str">
        <f>VLOOKUP($A485,'Выгр Кат'!$A:$R,E$1,0)</f>
        <v>0</v>
      </c>
      <c r="F485" s="80" t="str">
        <f>VLOOKUP($A485,'Выгр Кат'!$A:$R,F$1,0)</f>
        <v>LD-092</v>
      </c>
      <c r="G485" s="80">
        <f>VLOOKUP($A485,'Выгр Кат'!$A:$R,G$1,0)</f>
        <v>0</v>
      </c>
      <c r="H485" s="67" t="s">
        <v>3</v>
      </c>
      <c r="I485" s="82">
        <v>700</v>
      </c>
      <c r="J485" s="5">
        <f>VLOOKUP(I485,Наценка!$A$1:$G$8,2,1)</f>
        <v>1.45</v>
      </c>
      <c r="K485" s="34">
        <f>I485*J485</f>
        <v>1015</v>
      </c>
      <c r="L485" s="70">
        <f>IF(K485&lt;=1000,(ROUNDUP(K485,-1)-1),(ROUNDUP(K485,-2)-10))</f>
        <v>1090</v>
      </c>
      <c r="M485" s="80">
        <f>VLOOKUP($A485,'Выгр Кат'!$A:$R,M$1,0)</f>
        <v>700</v>
      </c>
      <c r="N485" s="80">
        <f>VLOOKUP($A485,'Выгр Кат'!$A:$R,N$1,0)</f>
        <v>1090</v>
      </c>
      <c r="O485" s="28">
        <f>M485-I485</f>
        <v>0</v>
      </c>
      <c r="P485" s="28">
        <f>N485-L485</f>
        <v>0</v>
      </c>
      <c r="Q485" s="36">
        <f>IFERROR(L485*(1-$Q$2),"")</f>
        <v>1013.6999999999999</v>
      </c>
      <c r="R485" s="38" t="str">
        <f>IFERROR(VLOOKUP($A485,'Из Гугла'!$B:$G,6,0)*S485,VLOOKUP($A485,'Из Гугла'!$B:$G,6,0))</f>
        <v/>
      </c>
      <c r="S485" s="14">
        <v>1</v>
      </c>
      <c r="T485" s="83">
        <f>IFERROR(Q485/I485-1,"")</f>
        <v>0.44814285714285695</v>
      </c>
      <c r="U485" s="83" t="str">
        <f>IFERROR((W485-Q485)/W485,"")</f>
        <v/>
      </c>
      <c r="V485" s="83" t="str">
        <f>IFERROR(IF(W485="","",W485/I485-1),"")</f>
        <v/>
      </c>
      <c r="W485" s="84"/>
    </row>
    <row r="486" spans="1:24" ht="45" x14ac:dyDescent="0.25">
      <c r="A486" s="80">
        <v>213630</v>
      </c>
      <c r="B486" s="80">
        <f>VLOOKUP($A486,'Выгр Кат'!$A:$R,B$1,0)</f>
        <v>12605</v>
      </c>
      <c r="C486" s="81" t="str">
        <f>VLOOKUP($A486,'Выгр Кат'!$A:$R,C$1,0)</f>
        <v>(дубль) Светодиодные лампы Super LED C9 H4 6000К с вентилятором охлаждения</v>
      </c>
      <c r="D486" s="80" t="str">
        <f>VLOOKUP($A486,'Выгр Кат'!$A:$R,D$1,0)</f>
        <v>N</v>
      </c>
      <c r="E486" s="80" t="str">
        <f>VLOOKUP($A486,'Выгр Кат'!$A:$R,E$1,0)</f>
        <v>1ск1</v>
      </c>
      <c r="F486" s="80">
        <f>VLOOKUP($A486,'Выгр Кат'!$A:$R,F$1,0)</f>
        <v>0</v>
      </c>
      <c r="G486" s="80">
        <f>VLOOKUP($A486,'Выгр Кат'!$A:$R,G$1,0)</f>
        <v>0</v>
      </c>
      <c r="H486" s="67" t="s">
        <v>3</v>
      </c>
      <c r="I486" s="82">
        <v>750</v>
      </c>
      <c r="J486" s="5">
        <f>VLOOKUP(I486,Наценка!$A$1:$G$8,2,1)</f>
        <v>1.45</v>
      </c>
      <c r="K486" s="34">
        <f>I486*J486</f>
        <v>1087.5</v>
      </c>
      <c r="L486" s="70">
        <f>IF(K486&lt;=1000,(ROUNDUP(K486,-1)-1),(ROUNDUP(K486,-2)-10))</f>
        <v>1090</v>
      </c>
      <c r="M486" s="80">
        <f>VLOOKUP($A486,'Выгр Кат'!$A:$R,M$1,0)</f>
        <v>750</v>
      </c>
      <c r="N486" s="80">
        <f>VLOOKUP($A486,'Выгр Кат'!$A:$R,N$1,0)</f>
        <v>1090</v>
      </c>
      <c r="O486" s="28">
        <f>M486-I486</f>
        <v>0</v>
      </c>
      <c r="P486" s="28">
        <f>N486-L486</f>
        <v>0</v>
      </c>
      <c r="Q486" s="36">
        <f>IFERROR(L486*(1-$Q$2),"")</f>
        <v>1013.6999999999999</v>
      </c>
      <c r="R486" s="38" t="str">
        <f>IFERROR(VLOOKUP($A486,'Из Гугла'!$B:$G,6,0)*S486,VLOOKUP($A486,'Из Гугла'!$B:$G,6,0))</f>
        <v/>
      </c>
      <c r="S486" s="14">
        <v>1</v>
      </c>
      <c r="T486" s="83">
        <f>IFERROR(Q486/I486-1,"")</f>
        <v>0.35159999999999991</v>
      </c>
      <c r="U486" s="83" t="str">
        <f>IFERROR((W486-Q486)/W486,"")</f>
        <v/>
      </c>
      <c r="V486" s="83" t="str">
        <f>IFERROR(IF(W486="","",W486/I486-1),"")</f>
        <v/>
      </c>
      <c r="W486" s="84"/>
    </row>
    <row r="487" spans="1:24" ht="30" x14ac:dyDescent="0.25">
      <c r="A487" s="80">
        <v>211434</v>
      </c>
      <c r="B487" s="80">
        <f>VLOOKUP($A487,'Выгр Кат'!$A:$R,B$1,0)</f>
        <v>4530</v>
      </c>
      <c r="C487" s="81" t="str">
        <f>VLOOKUP($A487,'Выгр Кат'!$A:$R,C$1,0)</f>
        <v>Руль "R1" анатомической формы (карбон) для ВАЗ</v>
      </c>
      <c r="D487" s="80" t="str">
        <f>VLOOKUP($A487,'Выгр Кат'!$A:$R,D$1,0)</f>
        <v>Y</v>
      </c>
      <c r="E487" s="80" t="str">
        <f>VLOOKUP($A487,'Выгр Кат'!$A:$R,E$1,0)</f>
        <v>0</v>
      </c>
      <c r="F487" s="80" t="str">
        <f>VLOOKUP($A487,'Выгр Кат'!$A:$R,F$1,0)</f>
        <v>4156H (карбон)</v>
      </c>
      <c r="G487" s="80">
        <f>VLOOKUP($A487,'Выгр Кат'!$A:$R,G$1,0)</f>
        <v>0</v>
      </c>
      <c r="H487" s="67" t="s">
        <v>3</v>
      </c>
      <c r="I487" s="82">
        <v>800</v>
      </c>
      <c r="J487" s="5">
        <f>VLOOKUP(I487,Наценка!$A$1:$G$8,2,1)</f>
        <v>1.45</v>
      </c>
      <c r="K487" s="34">
        <f>I487*J487</f>
        <v>1160</v>
      </c>
      <c r="L487" s="70">
        <f>IF(K487&lt;=1000,(ROUNDUP(K487,-1)-1),(ROUNDUP(K487,-2)-10))</f>
        <v>1190</v>
      </c>
      <c r="M487" s="80">
        <f>VLOOKUP($A487,'Выгр Кат'!$A:$R,M$1,0)</f>
        <v>800</v>
      </c>
      <c r="N487" s="80">
        <f>VLOOKUP($A487,'Выгр Кат'!$A:$R,N$1,0)</f>
        <v>1190</v>
      </c>
      <c r="O487" s="28">
        <f>M487-I487</f>
        <v>0</v>
      </c>
      <c r="P487" s="28">
        <f>N487-L487</f>
        <v>0</v>
      </c>
      <c r="Q487" s="36">
        <f>IFERROR(L487*(1-$Q$2),"")</f>
        <v>1106.6999999999998</v>
      </c>
      <c r="R487" s="38" t="str">
        <f>IFERROR(VLOOKUP($A487,'Из Гугла'!$B:$G,6,0)*S487,VLOOKUP($A487,'Из Гугла'!$B:$G,6,0))</f>
        <v/>
      </c>
      <c r="S487" s="14">
        <v>1</v>
      </c>
      <c r="T487" s="83">
        <f>IFERROR(Q487/I487-1,"")</f>
        <v>0.3833749999999998</v>
      </c>
      <c r="U487" s="83" t="str">
        <f>IFERROR((W487-Q487)/W487,"")</f>
        <v/>
      </c>
      <c r="V487" s="83" t="str">
        <f>IFERROR(IF(W487="","",W487/I487-1),"")</f>
        <v/>
      </c>
      <c r="W487" s="84" t="s">
        <v>1269</v>
      </c>
    </row>
    <row r="488" spans="1:24" ht="30" x14ac:dyDescent="0.25">
      <c r="A488" s="80">
        <v>201779</v>
      </c>
      <c r="B488" s="80">
        <f>VLOOKUP($A488,'Выгр Кат'!$A:$R,B$1,0)</f>
        <v>11771</v>
      </c>
      <c r="C488" s="81" t="str">
        <f>VLOOKUP($A488,'Выгр Кат'!$A:$R,C$1,0)</f>
        <v>Противотуманные фары (ПТФ) LD-088 (хром) для ВАЗ 2110-2112, 2113-2115</v>
      </c>
      <c r="D488" s="80" t="str">
        <f>VLOOKUP($A488,'Выгр Кат'!$A:$R,D$1,0)</f>
        <v>Y</v>
      </c>
      <c r="E488" s="80" t="str">
        <f>VLOOKUP($A488,'Выгр Кат'!$A:$R,E$1,0)</f>
        <v>0</v>
      </c>
      <c r="F488" s="80" t="str">
        <f>VLOOKUP($A488,'Выгр Кат'!$A:$R,F$1,0)</f>
        <v>LD-088</v>
      </c>
      <c r="G488" s="80">
        <f>VLOOKUP($A488,'Выгр Кат'!$A:$R,G$1,0)</f>
        <v>0</v>
      </c>
      <c r="H488" s="67" t="s">
        <v>3</v>
      </c>
      <c r="I488" s="82">
        <v>800</v>
      </c>
      <c r="J488" s="5">
        <f>VLOOKUP(I488,Наценка!$A$1:$G$8,2,1)</f>
        <v>1.45</v>
      </c>
      <c r="K488" s="34">
        <f>I488*J488</f>
        <v>1160</v>
      </c>
      <c r="L488" s="70">
        <f>IF(K488&lt;=1000,(ROUNDUP(K488,-1)-1),(ROUNDUP(K488,-2)-10))</f>
        <v>1190</v>
      </c>
      <c r="M488" s="80">
        <f>VLOOKUP($A488,'Выгр Кат'!$A:$R,M$1,0)</f>
        <v>800</v>
      </c>
      <c r="N488" s="80">
        <f>VLOOKUP($A488,'Выгр Кат'!$A:$R,N$1,0)</f>
        <v>1190</v>
      </c>
      <c r="O488" s="28">
        <f>M488-I488</f>
        <v>0</v>
      </c>
      <c r="P488" s="28">
        <f>N488-L488</f>
        <v>0</v>
      </c>
      <c r="Q488" s="36">
        <f>IFERROR(L488*(1-$Q$2),"")</f>
        <v>1106.6999999999998</v>
      </c>
      <c r="R488" s="38" t="str">
        <f>IFERROR(VLOOKUP($A488,'Из Гугла'!$B:$G,6,0)*S488,VLOOKUP($A488,'Из Гугла'!$B:$G,6,0))</f>
        <v/>
      </c>
      <c r="S488" s="14">
        <v>1</v>
      </c>
      <c r="T488" s="83">
        <f>IFERROR(Q488/I488-1,"")</f>
        <v>0.3833749999999998</v>
      </c>
      <c r="U488" s="83" t="str">
        <f>IFERROR((W488-Q488)/W488,"")</f>
        <v/>
      </c>
      <c r="V488" s="83" t="str">
        <f>IFERROR(IF(W488="","",W488/I488-1),"")</f>
        <v/>
      </c>
      <c r="W488" s="84"/>
    </row>
    <row r="489" spans="1:24" ht="45" x14ac:dyDescent="0.25">
      <c r="A489" s="80">
        <v>201798</v>
      </c>
      <c r="B489" s="80">
        <f>VLOOKUP($A489,'Выгр Кат'!$A:$R,B$1,0)</f>
        <v>11901</v>
      </c>
      <c r="C489" s="81" t="str">
        <f>VLOOKUP($A489,'Выгр Кат'!$A:$R,C$1,0)</f>
        <v>Противотуманные фары ZTF-139 "под Киржач" для Лада Приора, Шевроле Нива</v>
      </c>
      <c r="D489" s="80" t="str">
        <f>VLOOKUP($A489,'Выгр Кат'!$A:$R,D$1,0)</f>
        <v>Y</v>
      </c>
      <c r="E489" s="80" t="str">
        <f>VLOOKUP($A489,'Выгр Кат'!$A:$R,E$1,0)</f>
        <v>0</v>
      </c>
      <c r="F489" s="80" t="str">
        <f>VLOOKUP($A489,'Выгр Кат'!$A:$R,F$1,0)</f>
        <v>ZTF-139</v>
      </c>
      <c r="G489" s="80">
        <f>VLOOKUP($A489,'Выгр Кат'!$A:$R,G$1,0)</f>
        <v>0</v>
      </c>
      <c r="H489" s="67" t="s">
        <v>3</v>
      </c>
      <c r="I489" s="82">
        <v>800</v>
      </c>
      <c r="J489" s="5">
        <f>VLOOKUP(I489,Наценка!$A$1:$G$8,2,1)</f>
        <v>1.45</v>
      </c>
      <c r="K489" s="34">
        <f>I489*J489</f>
        <v>1160</v>
      </c>
      <c r="L489" s="70">
        <f>IF(K489&lt;=1000,(ROUNDUP(K489,-1)-1),(ROUNDUP(K489,-2)-10))</f>
        <v>1190</v>
      </c>
      <c r="M489" s="80">
        <f>VLOOKUP($A489,'Выгр Кат'!$A:$R,M$1,0)</f>
        <v>800</v>
      </c>
      <c r="N489" s="80">
        <f>VLOOKUP($A489,'Выгр Кат'!$A:$R,N$1,0)</f>
        <v>1190</v>
      </c>
      <c r="O489" s="28">
        <f>M489-I489</f>
        <v>0</v>
      </c>
      <c r="P489" s="28">
        <f>N489-L489</f>
        <v>0</v>
      </c>
      <c r="Q489" s="36">
        <f>IFERROR(L489*(1-$Q$2),"")</f>
        <v>1106.6999999999998</v>
      </c>
      <c r="R489" s="38" t="str">
        <f>IFERROR(VLOOKUP($A489,'Из Гугла'!$B:$G,6,0)*S489,VLOOKUP($A489,'Из Гугла'!$B:$G,6,0))</f>
        <v/>
      </c>
      <c r="S489" s="14">
        <v>1</v>
      </c>
      <c r="T489" s="83">
        <f>IFERROR(Q489/I489-1,"")</f>
        <v>0.3833749999999998</v>
      </c>
      <c r="U489" s="83" t="str">
        <f>IFERROR((W489-Q489)/W489,"")</f>
        <v/>
      </c>
      <c r="V489" s="83" t="str">
        <f>IFERROR(IF(W489="","",W489/I489-1),"")</f>
        <v/>
      </c>
      <c r="W489" s="84"/>
    </row>
    <row r="490" spans="1:24" ht="30" x14ac:dyDescent="0.25">
      <c r="A490" s="80">
        <v>201816</v>
      </c>
      <c r="B490" s="80">
        <f>VLOOKUP($A490,'Выгр Кат'!$A:$R,B$1,0)</f>
        <v>4251</v>
      </c>
      <c r="C490" s="81" t="str">
        <f>VLOOKUP($A490,'Выгр Кат'!$A:$R,C$1,0)</f>
        <v>Противотуманные фары, с рамками для Лада Калина</v>
      </c>
      <c r="D490" s="80" t="str">
        <f>VLOOKUP($A490,'Выгр Кат'!$A:$R,D$1,0)</f>
        <v>Y</v>
      </c>
      <c r="E490" s="80" t="str">
        <f>VLOOKUP($A490,'Выгр Кат'!$A:$R,E$1,0)</f>
        <v>0</v>
      </c>
      <c r="F490" s="80" t="str">
        <f>VLOOKUP($A490,'Выгр Кат'!$A:$R,F$1,0)</f>
        <v>LD-089</v>
      </c>
      <c r="G490" s="80" t="str">
        <f>VLOOKUP($A490,'Выгр Кат'!$A:$R,G$1,0)</f>
        <v>https://motorring.ru/product/8345-protivotumannye-fary-ld-089-ramkami-lada-kalina</v>
      </c>
      <c r="H490" s="67" t="s">
        <v>3</v>
      </c>
      <c r="I490" s="82">
        <v>850</v>
      </c>
      <c r="J490" s="5">
        <f>VLOOKUP(I490,Наценка!$A$1:$G$8,2,1)</f>
        <v>1.45</v>
      </c>
      <c r="K490" s="89">
        <f>W490*1.07</f>
        <v>1594.3000000000002</v>
      </c>
      <c r="L490" s="70">
        <f>IF(K490&lt;=1000,(ROUNDUP(K490,-1)-1),(ROUNDUP(K490,-2)-10))</f>
        <v>1590</v>
      </c>
      <c r="M490" s="80">
        <f>VLOOKUP($A490,'Выгр Кат'!$A:$R,M$1,0)</f>
        <v>850</v>
      </c>
      <c r="N490" s="80">
        <f>VLOOKUP($A490,'Выгр Кат'!$A:$R,N$1,0)</f>
        <v>1590</v>
      </c>
      <c r="O490" s="28">
        <f>M490-I490</f>
        <v>0</v>
      </c>
      <c r="P490" s="28">
        <f>N490-L490</f>
        <v>0</v>
      </c>
      <c r="Q490" s="36">
        <f>IFERROR(L490*(1-$Q$2),"")</f>
        <v>1478.6999999999998</v>
      </c>
      <c r="R490" s="38">
        <f>IFERROR(VLOOKUP($A490,'Из Гугла'!$B:$G,6,0)*S490,VLOOKUP($A490,'Из Гугла'!$B:$G,6,0))</f>
        <v>1490</v>
      </c>
      <c r="S490" s="14">
        <v>1</v>
      </c>
      <c r="T490" s="83">
        <f>IFERROR(Q490/I490-1,"")</f>
        <v>0.7396470588235291</v>
      </c>
      <c r="U490" s="83">
        <f>IFERROR((W490-Q490)/W490,"")</f>
        <v>7.5838926174497867E-3</v>
      </c>
      <c r="V490" s="83">
        <f>IFERROR(IF(W490="","",W490/I490-1),"")</f>
        <v>0.75294117647058822</v>
      </c>
      <c r="W490" s="93">
        <v>1490</v>
      </c>
      <c r="X490" s="71" t="s">
        <v>833</v>
      </c>
    </row>
    <row r="491" spans="1:24" ht="30" x14ac:dyDescent="0.25">
      <c r="A491" s="80">
        <v>213597</v>
      </c>
      <c r="B491" s="80">
        <f>VLOOKUP($A491,'Выгр Кат'!$A:$R,B$1,0)</f>
        <v>19363</v>
      </c>
      <c r="C491" s="81" t="str">
        <f>VLOOKUP($A491,'Выгр Кат'!$A:$R,C$1,0)</f>
        <v>(дубль) Светодиодные лампы "LED" S8, H11</v>
      </c>
      <c r="D491" s="80" t="str">
        <f>VLOOKUP($A491,'Выгр Кат'!$A:$R,D$1,0)</f>
        <v>N</v>
      </c>
      <c r="E491" s="80" t="str">
        <f>VLOOKUP($A491,'Выгр Кат'!$A:$R,E$1,0)</f>
        <v>1</v>
      </c>
      <c r="F491" s="80">
        <f>VLOOKUP($A491,'Выгр Кат'!$A:$R,F$1,0)</f>
        <v>0</v>
      </c>
      <c r="G491" s="80">
        <f>VLOOKUP($A491,'Выгр Кат'!$A:$R,G$1,0)</f>
        <v>0</v>
      </c>
      <c r="H491" s="67" t="s">
        <v>3</v>
      </c>
      <c r="I491" s="82">
        <v>850</v>
      </c>
      <c r="J491" s="5">
        <f>VLOOKUP(I491,Наценка!$A$1:$G$8,2,1)</f>
        <v>1.45</v>
      </c>
      <c r="K491" s="34">
        <f>I491*J491</f>
        <v>1232.5</v>
      </c>
      <c r="L491" s="70">
        <f>IF(K491&lt;=1000,(ROUNDUP(K491,-1)-1),(ROUNDUP(K491,-2)-10))</f>
        <v>1290</v>
      </c>
      <c r="M491" s="80">
        <f>VLOOKUP($A491,'Выгр Кат'!$A:$R,M$1,0)</f>
        <v>850</v>
      </c>
      <c r="N491" s="80">
        <f>VLOOKUP($A491,'Выгр Кат'!$A:$R,N$1,0)</f>
        <v>1290</v>
      </c>
      <c r="O491" s="28">
        <f>M491-I491</f>
        <v>0</v>
      </c>
      <c r="P491" s="28">
        <f>N491-L491</f>
        <v>0</v>
      </c>
      <c r="Q491" s="36">
        <f>IFERROR(L491*(1-$Q$2),"")</f>
        <v>1199.6999999999998</v>
      </c>
      <c r="R491" s="38" t="str">
        <f>IFERROR(VLOOKUP($A491,'Из Гугла'!$B:$G,6,0)*S491,VLOOKUP($A491,'Из Гугла'!$B:$G,6,0))</f>
        <v/>
      </c>
      <c r="S491" s="14">
        <v>1</v>
      </c>
      <c r="T491" s="83">
        <f>IFERROR(Q491/I491-1,"")</f>
        <v>0.41141176470588214</v>
      </c>
      <c r="U491" s="83" t="str">
        <f>IFERROR((W491-Q491)/W491,"")</f>
        <v/>
      </c>
      <c r="V491" s="83" t="str">
        <f>IFERROR(IF(W491="","",W491/I491-1),"")</f>
        <v/>
      </c>
      <c r="W491" s="84"/>
    </row>
    <row r="492" spans="1:24" ht="30" x14ac:dyDescent="0.25">
      <c r="A492" s="80">
        <v>133221</v>
      </c>
      <c r="B492" s="80">
        <f>VLOOKUP($A492,'Выгр Кат'!$A:$R,B$1,0)</f>
        <v>23965</v>
      </c>
      <c r="C492" s="81" t="str">
        <f>VLOOKUP($A492,'Выгр Кат'!$A:$R,C$1,0)</f>
        <v>Балка дополнительного освещения "20S1" (LED, белый свет)</v>
      </c>
      <c r="D492" s="80" t="str">
        <f>VLOOKUP($A492,'Выгр Кат'!$A:$R,D$1,0)</f>
        <v>Y</v>
      </c>
      <c r="E492" s="80" t="str">
        <f>VLOOKUP($A492,'Выгр Кат'!$A:$R,E$1,0)</f>
        <v>0</v>
      </c>
      <c r="F492" s="80" t="str">
        <f>VLOOKUP($A492,'Выгр Кат'!$A:$R,F$1,0)</f>
        <v>20S1</v>
      </c>
      <c r="G492" s="80">
        <f>VLOOKUP($A492,'Выгр Кат'!$A:$R,G$1,0)</f>
        <v>0</v>
      </c>
      <c r="H492" s="67" t="s">
        <v>3</v>
      </c>
      <c r="I492" s="82">
        <v>850</v>
      </c>
      <c r="J492" s="5">
        <f>VLOOKUP(I492,Наценка!$A$1:$G$8,2,1)</f>
        <v>1.45</v>
      </c>
      <c r="K492" s="34">
        <f>I492*J492</f>
        <v>1232.5</v>
      </c>
      <c r="L492" s="70">
        <f>IF(K492&lt;=1000,(ROUNDUP(K492,-1)-1),(ROUNDUP(K492,-2)-10))</f>
        <v>1290</v>
      </c>
      <c r="M492" s="80">
        <f>VLOOKUP($A492,'Выгр Кат'!$A:$R,M$1,0)</f>
        <v>850</v>
      </c>
      <c r="N492" s="80">
        <f>VLOOKUP($A492,'Выгр Кат'!$A:$R,N$1,0)</f>
        <v>1290</v>
      </c>
      <c r="O492" s="28">
        <f>M492-I492</f>
        <v>0</v>
      </c>
      <c r="P492" s="28">
        <f>N492-L492</f>
        <v>0</v>
      </c>
      <c r="Q492" s="36">
        <f>IFERROR(L492*(1-$Q$2),"")</f>
        <v>1199.6999999999998</v>
      </c>
      <c r="R492" s="38" t="str">
        <f>IFERROR(VLOOKUP($A492,'Из Гугла'!$B:$G,6,0)*S492,VLOOKUP($A492,'Из Гугла'!$B:$G,6,0))</f>
        <v/>
      </c>
      <c r="S492" s="14">
        <v>1</v>
      </c>
      <c r="T492" s="83">
        <f>IFERROR(Q492/I492-1,"")</f>
        <v>0.41141176470588214</v>
      </c>
      <c r="U492" s="83" t="str">
        <f>IFERROR((W492-Q492)/W492,"")</f>
        <v/>
      </c>
      <c r="V492" s="83" t="str">
        <f>IFERROR(IF(W492="","",W492/I492-1),"")</f>
        <v/>
      </c>
      <c r="W492" s="84" t="s">
        <v>1269</v>
      </c>
    </row>
    <row r="493" spans="1:24" ht="30" x14ac:dyDescent="0.25">
      <c r="A493" s="80">
        <v>211470</v>
      </c>
      <c r="B493" s="80">
        <f>VLOOKUP($A493,'Выгр Кат'!$A:$R,B$1,0)</f>
        <v>4505</v>
      </c>
      <c r="C493" s="81" t="str">
        <f>VLOOKUP($A493,'Выгр Кат'!$A:$R,C$1,0)</f>
        <v>Руль Rtech для ВАЗ</v>
      </c>
      <c r="D493" s="80" t="str">
        <f>VLOOKUP($A493,'Выгр Кат'!$A:$R,D$1,0)</f>
        <v>Y</v>
      </c>
      <c r="E493" s="80" t="str">
        <f>VLOOKUP($A493,'Выгр Кат'!$A:$R,E$1,0)</f>
        <v>0</v>
      </c>
      <c r="F493" s="80">
        <f>VLOOKUP($A493,'Выгр Кат'!$A:$R,F$1,0)</f>
        <v>0</v>
      </c>
      <c r="G493" s="80">
        <f>VLOOKUP($A493,'Выгр Кат'!$A:$R,G$1,0)</f>
        <v>0</v>
      </c>
      <c r="H493" s="67" t="s">
        <v>3</v>
      </c>
      <c r="I493" s="82">
        <v>900</v>
      </c>
      <c r="J493" s="5">
        <f>VLOOKUP(I493,Наценка!$A$1:$G$8,2,1)</f>
        <v>1.45</v>
      </c>
      <c r="K493" s="34">
        <f>I493*J493</f>
        <v>1305</v>
      </c>
      <c r="L493" s="70">
        <f>IF(K493&lt;=1000,(ROUNDUP(K493,-1)-1),(ROUNDUP(K493,-2)-10))</f>
        <v>1390</v>
      </c>
      <c r="M493" s="80">
        <f>VLOOKUP($A493,'Выгр Кат'!$A:$R,M$1,0)</f>
        <v>900</v>
      </c>
      <c r="N493" s="80">
        <f>VLOOKUP($A493,'Выгр Кат'!$A:$R,N$1,0)</f>
        <v>1390</v>
      </c>
      <c r="O493" s="28">
        <f>M493-I493</f>
        <v>0</v>
      </c>
      <c r="P493" s="28">
        <f>N493-L493</f>
        <v>0</v>
      </c>
      <c r="Q493" s="36">
        <f>IFERROR(L493*(1-$Q$2),"")</f>
        <v>1292.6999999999998</v>
      </c>
      <c r="R493" s="38" t="str">
        <f>IFERROR(VLOOKUP($A493,'Из Гугла'!$B:$G,6,0)*S493,VLOOKUP($A493,'Из Гугла'!$B:$G,6,0))</f>
        <v/>
      </c>
      <c r="S493" s="14">
        <v>1</v>
      </c>
      <c r="T493" s="83">
        <f>IFERROR(Q493/I493-1,"")</f>
        <v>0.43633333333333324</v>
      </c>
      <c r="U493" s="83" t="str">
        <f>IFERROR((W493-Q493)/W493,"")</f>
        <v/>
      </c>
      <c r="V493" s="83" t="str">
        <f>IFERROR(IF(W493="","",W493/I493-1),"")</f>
        <v/>
      </c>
      <c r="W493" s="84"/>
    </row>
    <row r="494" spans="1:24" ht="30" x14ac:dyDescent="0.25">
      <c r="A494" s="80">
        <v>211433</v>
      </c>
      <c r="B494" s="80">
        <f>VLOOKUP($A494,'Выгр Кат'!$A:$R,B$1,0)</f>
        <v>4538</v>
      </c>
      <c r="C494" s="81" t="str">
        <f>VLOOKUP($A494,'Выгр Кат'!$A:$R,C$1,0)</f>
        <v>Руль "R1" Silver анатомической формы для ВАЗ</v>
      </c>
      <c r="D494" s="80" t="str">
        <f>VLOOKUP($A494,'Выгр Кат'!$A:$R,D$1,0)</f>
        <v>Y</v>
      </c>
      <c r="E494" s="80" t="str">
        <f>VLOOKUP($A494,'Выгр Кат'!$A:$R,E$1,0)</f>
        <v>0</v>
      </c>
      <c r="F494" s="80" t="str">
        <f>VLOOKUP($A494,'Выгр Кат'!$A:$R,F$1,0)</f>
        <v>5106</v>
      </c>
      <c r="G494" s="80">
        <f>VLOOKUP($A494,'Выгр Кат'!$A:$R,G$1,0)</f>
        <v>0</v>
      </c>
      <c r="H494" s="67" t="s">
        <v>3</v>
      </c>
      <c r="I494" s="82">
        <v>900</v>
      </c>
      <c r="J494" s="5">
        <f>VLOOKUP(I494,Наценка!$A$1:$G$8,2,1)</f>
        <v>1.45</v>
      </c>
      <c r="K494" s="34">
        <f>I494*J494</f>
        <v>1305</v>
      </c>
      <c r="L494" s="70">
        <f>IF(K494&lt;=1000,(ROUNDUP(K494,-1)-1),(ROUNDUP(K494,-2)-10))</f>
        <v>1390</v>
      </c>
      <c r="M494" s="80">
        <f>VLOOKUP($A494,'Выгр Кат'!$A:$R,M$1,0)</f>
        <v>900</v>
      </c>
      <c r="N494" s="80">
        <f>VLOOKUP($A494,'Выгр Кат'!$A:$R,N$1,0)</f>
        <v>1390</v>
      </c>
      <c r="O494" s="28">
        <f>M494-I494</f>
        <v>0</v>
      </c>
      <c r="P494" s="28">
        <f>N494-L494</f>
        <v>0</v>
      </c>
      <c r="Q494" s="36">
        <f>IFERROR(L494*(1-$Q$2),"")</f>
        <v>1292.6999999999998</v>
      </c>
      <c r="R494" s="38" t="str">
        <f>IFERROR(VLOOKUP($A494,'Из Гугла'!$B:$G,6,0)*S494,VLOOKUP($A494,'Из Гугла'!$B:$G,6,0))</f>
        <v/>
      </c>
      <c r="S494" s="14">
        <v>1</v>
      </c>
      <c r="T494" s="83">
        <f>IFERROR(Q494/I494-1,"")</f>
        <v>0.43633333333333324</v>
      </c>
      <c r="U494" s="83" t="str">
        <f>IFERROR((W494-Q494)/W494,"")</f>
        <v/>
      </c>
      <c r="V494" s="83" t="str">
        <f>IFERROR(IF(W494="","",W494/I494-1),"")</f>
        <v/>
      </c>
      <c r="W494" s="84"/>
    </row>
    <row r="495" spans="1:24" ht="30" x14ac:dyDescent="0.25">
      <c r="A495" s="80">
        <v>211456</v>
      </c>
      <c r="B495" s="80">
        <f>VLOOKUP($A495,'Выгр Кат'!$A:$R,B$1,0)</f>
        <v>4555</v>
      </c>
      <c r="C495" s="81" t="str">
        <f>VLOOKUP($A495,'Выгр Кат'!$A:$R,C$1,0)</f>
        <v>Руль R1 Drifting для ВАЗ (I)</v>
      </c>
      <c r="D495" s="80" t="str">
        <f>VLOOKUP($A495,'Выгр Кат'!$A:$R,D$1,0)</f>
        <v>Y</v>
      </c>
      <c r="E495" s="80" t="str">
        <f>VLOOKUP($A495,'Выгр Кат'!$A:$R,E$1,0)</f>
        <v>0</v>
      </c>
      <c r="F495" s="80">
        <f>VLOOKUP($A495,'Выгр Кат'!$A:$R,F$1,0)</f>
        <v>0</v>
      </c>
      <c r="G495" s="80">
        <f>VLOOKUP($A495,'Выгр Кат'!$A:$R,G$1,0)</f>
        <v>0</v>
      </c>
      <c r="H495" s="67" t="s">
        <v>3</v>
      </c>
      <c r="I495" s="82">
        <v>900</v>
      </c>
      <c r="J495" s="5">
        <f>VLOOKUP(I495,Наценка!$A$1:$G$8,2,1)</f>
        <v>1.45</v>
      </c>
      <c r="K495" s="34">
        <f>I495*J495</f>
        <v>1305</v>
      </c>
      <c r="L495" s="70">
        <f>IF(K495&lt;=1000,(ROUNDUP(K495,-1)-1),(ROUNDUP(K495,-2)-10))</f>
        <v>1390</v>
      </c>
      <c r="M495" s="80">
        <f>VLOOKUP($A495,'Выгр Кат'!$A:$R,M$1,0)</f>
        <v>900</v>
      </c>
      <c r="N495" s="80">
        <f>VLOOKUP($A495,'Выгр Кат'!$A:$R,N$1,0)</f>
        <v>1390</v>
      </c>
      <c r="O495" s="28">
        <f>M495-I495</f>
        <v>0</v>
      </c>
      <c r="P495" s="28">
        <f>N495-L495</f>
        <v>0</v>
      </c>
      <c r="Q495" s="36">
        <f>IFERROR(L495*(1-$Q$2),"")</f>
        <v>1292.6999999999998</v>
      </c>
      <c r="R495" s="38" t="str">
        <f>IFERROR(VLOOKUP($A495,'Из Гугла'!$B:$G,6,0)*S495,VLOOKUP($A495,'Из Гугла'!$B:$G,6,0))</f>
        <v/>
      </c>
      <c r="S495" s="14">
        <v>1</v>
      </c>
      <c r="T495" s="83">
        <f>IFERROR(Q495/I495-1,"")</f>
        <v>0.43633333333333324</v>
      </c>
      <c r="U495" s="83" t="str">
        <f>IFERROR((W495-Q495)/W495,"")</f>
        <v/>
      </c>
      <c r="V495" s="83" t="str">
        <f>IFERROR(IF(W495="","",W495/I495-1),"")</f>
        <v/>
      </c>
      <c r="W495" s="84"/>
    </row>
    <row r="496" spans="1:24" ht="30" x14ac:dyDescent="0.25">
      <c r="A496" s="80">
        <v>223075</v>
      </c>
      <c r="B496" s="80">
        <f>VLOOKUP($A496,'Выгр Кат'!$A:$R,B$1,0)</f>
        <v>8263</v>
      </c>
      <c r="C496" s="81" t="str">
        <f>VLOOKUP($A496,'Выгр Кат'!$A:$R,C$1,0)</f>
        <v>Универсальные ПТФ "DLAA" LA8040D белые</v>
      </c>
      <c r="D496" s="80" t="str">
        <f>VLOOKUP($A496,'Выгр Кат'!$A:$R,D$1,0)</f>
        <v>Y</v>
      </c>
      <c r="E496" s="80" t="str">
        <f>VLOOKUP($A496,'Выгр Кат'!$A:$R,E$1,0)</f>
        <v>0</v>
      </c>
      <c r="F496" s="80" t="str">
        <f>VLOOKUP($A496,'Выгр Кат'!$A:$R,F$1,0)</f>
        <v>LA8040DW</v>
      </c>
      <c r="G496" s="80">
        <f>VLOOKUP($A496,'Выгр Кат'!$A:$R,G$1,0)</f>
        <v>0</v>
      </c>
      <c r="H496" s="67" t="s">
        <v>3</v>
      </c>
      <c r="I496" s="82">
        <v>900</v>
      </c>
      <c r="J496" s="5">
        <f>VLOOKUP(I496,Наценка!$A$1:$G$8,2,1)</f>
        <v>1.45</v>
      </c>
      <c r="K496" s="34">
        <f>I496*J496</f>
        <v>1305</v>
      </c>
      <c r="L496" s="70">
        <f>IF(K496&lt;=1000,(ROUNDUP(K496,-1)-1),(ROUNDUP(K496,-2)-10))</f>
        <v>1390</v>
      </c>
      <c r="M496" s="80">
        <f>VLOOKUP($A496,'Выгр Кат'!$A:$R,M$1,0)</f>
        <v>900</v>
      </c>
      <c r="N496" s="80">
        <f>VLOOKUP($A496,'Выгр Кат'!$A:$R,N$1,0)</f>
        <v>1390</v>
      </c>
      <c r="O496" s="28">
        <f>M496-I496</f>
        <v>0</v>
      </c>
      <c r="P496" s="28">
        <f>N496-L496</f>
        <v>0</v>
      </c>
      <c r="Q496" s="36">
        <f>IFERROR(L496*(1-$Q$2),"")</f>
        <v>1292.6999999999998</v>
      </c>
      <c r="R496" s="38" t="str">
        <f>IFERROR(VLOOKUP($A496,'Из Гугла'!$B:$G,6,0)*S496,VLOOKUP($A496,'Из Гугла'!$B:$G,6,0))</f>
        <v/>
      </c>
      <c r="S496" s="14">
        <v>1</v>
      </c>
      <c r="T496" s="83">
        <f>IFERROR(Q496/I496-1,"")</f>
        <v>0.43633333333333324</v>
      </c>
      <c r="U496" s="83" t="str">
        <f>IFERROR((W496-Q496)/W496,"")</f>
        <v/>
      </c>
      <c r="V496" s="83" t="str">
        <f>IFERROR(IF(W496="","",W496/I496-1),"")</f>
        <v/>
      </c>
      <c r="W496" s="84" t="s">
        <v>1269</v>
      </c>
    </row>
    <row r="497" spans="1:24" ht="30" x14ac:dyDescent="0.25">
      <c r="A497" s="80">
        <v>201807</v>
      </c>
      <c r="B497" s="80">
        <f>VLOOKUP($A497,'Выгр Кат'!$A:$R,B$1,0)</f>
        <v>4332</v>
      </c>
      <c r="C497" s="81" t="str">
        <f>VLOOKUP($A497,'Выгр Кат'!$A:$R,C$1,0)</f>
        <v>Противотуманные фары для Шевроле Нива</v>
      </c>
      <c r="D497" s="80" t="str">
        <f>VLOOKUP($A497,'Выгр Кат'!$A:$R,D$1,0)</f>
        <v>Y</v>
      </c>
      <c r="E497" s="80" t="str">
        <f>VLOOKUP($A497,'Выгр Кат'!$A:$R,E$1,0)</f>
        <v>0</v>
      </c>
      <c r="F497" s="80" t="str">
        <f>VLOOKUP($A497,'Выгр Кат'!$A:$R,F$1,0)</f>
        <v>092W</v>
      </c>
      <c r="G497" s="80">
        <f>VLOOKUP($A497,'Выгр Кат'!$A:$R,G$1,0)</f>
        <v>0</v>
      </c>
      <c r="H497" s="67" t="s">
        <v>3</v>
      </c>
      <c r="I497" s="82">
        <v>950</v>
      </c>
      <c r="J497" s="5">
        <f>VLOOKUP(I497,Наценка!$A$1:$G$8,2,1)</f>
        <v>1.45</v>
      </c>
      <c r="K497" s="34">
        <f>I497*J497</f>
        <v>1377.5</v>
      </c>
      <c r="L497" s="70">
        <f>IF(K497&lt;=1000,(ROUNDUP(K497,-1)-1),(ROUNDUP(K497,-2)-10))</f>
        <v>1390</v>
      </c>
      <c r="M497" s="80">
        <f>VLOOKUP($A497,'Выгр Кат'!$A:$R,M$1,0)</f>
        <v>950</v>
      </c>
      <c r="N497" s="80">
        <f>VLOOKUP($A497,'Выгр Кат'!$A:$R,N$1,0)</f>
        <v>1390</v>
      </c>
      <c r="O497" s="28">
        <f>M497-I497</f>
        <v>0</v>
      </c>
      <c r="P497" s="28">
        <f>N497-L497</f>
        <v>0</v>
      </c>
      <c r="Q497" s="36">
        <f>IFERROR(L497*(1-$Q$2),"")</f>
        <v>1292.6999999999998</v>
      </c>
      <c r="R497" s="38" t="str">
        <f>IFERROR(VLOOKUP($A497,'Из Гугла'!$B:$G,6,0)*S497,VLOOKUP($A497,'Из Гугла'!$B:$G,6,0))</f>
        <v/>
      </c>
      <c r="S497" s="14">
        <v>1</v>
      </c>
      <c r="T497" s="83">
        <f>IFERROR(Q497/I497-1,"")</f>
        <v>0.36073684210526302</v>
      </c>
      <c r="U497" s="83" t="str">
        <f>IFERROR((W497-Q497)/W497,"")</f>
        <v/>
      </c>
      <c r="V497" s="83" t="str">
        <f>IFERROR(IF(W497="","",W497/I497-1),"")</f>
        <v/>
      </c>
      <c r="W497" s="84"/>
    </row>
    <row r="498" spans="1:24" ht="30" x14ac:dyDescent="0.25">
      <c r="A498" s="80">
        <v>201801</v>
      </c>
      <c r="B498" s="80">
        <f>VLOOKUP($A498,'Выгр Кат'!$A:$R,B$1,0)</f>
        <v>4237</v>
      </c>
      <c r="C498" s="81" t="str">
        <f>VLOOKUP($A498,'Выгр Кат'!$A:$R,C$1,0)</f>
        <v>Противотуманные фары диодные с ДХО для Лада Приора 2</v>
      </c>
      <c r="D498" s="80" t="str">
        <f>VLOOKUP($A498,'Выгр Кат'!$A:$R,D$1,0)</f>
        <v>Y</v>
      </c>
      <c r="E498" s="80" t="str">
        <f>VLOOKUP($A498,'Выгр Кат'!$A:$R,E$1,0)</f>
        <v>0</v>
      </c>
      <c r="F498" s="80">
        <f>VLOOKUP($A498,'Выгр Кат'!$A:$R,F$1,0)</f>
        <v>0</v>
      </c>
      <c r="G498" s="80" t="str">
        <f>VLOOKUP($A498,'Выгр Кат'!$A:$R,G$1,0)</f>
        <v>https://motorring.ru/product/8351</v>
      </c>
      <c r="H498" s="67" t="s">
        <v>3</v>
      </c>
      <c r="I498" s="82">
        <v>950</v>
      </c>
      <c r="J498" s="5">
        <f>VLOOKUP(I498,Наценка!$A$1:$G$8,2,1)</f>
        <v>1.45</v>
      </c>
      <c r="K498" s="89">
        <f>W498*1.07</f>
        <v>1273.3000000000002</v>
      </c>
      <c r="L498" s="70">
        <f>IF(K498&lt;=1000,(ROUNDUP(K498,-1)-1),(ROUNDUP(K498,-2)-10))</f>
        <v>1290</v>
      </c>
      <c r="M498" s="80">
        <f>VLOOKUP($A498,'Выгр Кат'!$A:$R,M$1,0)</f>
        <v>950</v>
      </c>
      <c r="N498" s="80">
        <f>VLOOKUP($A498,'Выгр Кат'!$A:$R,N$1,0)</f>
        <v>1290</v>
      </c>
      <c r="O498" s="28">
        <f>M498-I498</f>
        <v>0</v>
      </c>
      <c r="P498" s="28">
        <f>N498-L498</f>
        <v>0</v>
      </c>
      <c r="Q498" s="36">
        <f>IFERROR(L498*(1-$Q$2),"")</f>
        <v>1199.6999999999998</v>
      </c>
      <c r="R498" s="38">
        <f>IFERROR(VLOOKUP($A498,'Из Гугла'!$B:$G,6,0)*S498,VLOOKUP($A498,'Из Гугла'!$B:$G,6,0))</f>
        <v>1190</v>
      </c>
      <c r="S498" s="14">
        <v>1</v>
      </c>
      <c r="T498" s="83">
        <f>IFERROR(Q498/I498-1,"")</f>
        <v>0.26284210526315777</v>
      </c>
      <c r="U498" s="83">
        <f>IFERROR((W498-Q498)/W498,"")</f>
        <v>-8.1512605042015282E-3</v>
      </c>
      <c r="V498" s="83">
        <f>IFERROR(IF(W498="","",W498/I498-1),"")</f>
        <v>0.25263157894736832</v>
      </c>
      <c r="W498" s="93">
        <v>1190</v>
      </c>
      <c r="X498" s="71" t="s">
        <v>837</v>
      </c>
    </row>
    <row r="499" spans="1:24" ht="30" x14ac:dyDescent="0.25">
      <c r="A499" s="80">
        <v>138546</v>
      </c>
      <c r="B499" s="80">
        <f>VLOOKUP($A499,'Выгр Кат'!$A:$R,B$1,0)</f>
        <v>6416</v>
      </c>
      <c r="C499" s="81" t="str">
        <f>VLOOKUP($A499,'Выгр Кат'!$A:$R,C$1,0)</f>
        <v>Боковые зеркала 3250 чёрные для ВАЗ 2104, 2105, 2107</v>
      </c>
      <c r="D499" s="80" t="str">
        <f>VLOOKUP($A499,'Выгр Кат'!$A:$R,D$1,0)</f>
        <v>Y</v>
      </c>
      <c r="E499" s="80" t="str">
        <f>VLOOKUP($A499,'Выгр Кат'!$A:$R,E$1,0)</f>
        <v>0</v>
      </c>
      <c r="F499" s="80">
        <f>VLOOKUP($A499,'Выгр Кат'!$A:$R,F$1,0)</f>
        <v>0</v>
      </c>
      <c r="G499" s="80">
        <f>VLOOKUP($A499,'Выгр Кат'!$A:$R,G$1,0)</f>
        <v>0</v>
      </c>
      <c r="H499" s="67" t="s">
        <v>3</v>
      </c>
      <c r="I499" s="82">
        <v>950</v>
      </c>
      <c r="J499" s="5">
        <f>VLOOKUP(I499,Наценка!$A$1:$G$8,2,1)</f>
        <v>1.45</v>
      </c>
      <c r="K499" s="34">
        <f>I499*J499</f>
        <v>1377.5</v>
      </c>
      <c r="L499" s="70">
        <f>IF(K499&lt;=1000,(ROUNDUP(K499,-1)-1),(ROUNDUP(K499,-2)-10))</f>
        <v>1390</v>
      </c>
      <c r="M499" s="80">
        <f>VLOOKUP($A499,'Выгр Кат'!$A:$R,M$1,0)</f>
        <v>950</v>
      </c>
      <c r="N499" s="80">
        <f>VLOOKUP($A499,'Выгр Кат'!$A:$R,N$1,0)</f>
        <v>1390</v>
      </c>
      <c r="O499" s="28">
        <f>M499-I499</f>
        <v>0</v>
      </c>
      <c r="P499" s="28">
        <f>N499-L499</f>
        <v>0</v>
      </c>
      <c r="Q499" s="36">
        <f>IFERROR(L499*(1-$Q$2),"")</f>
        <v>1292.6999999999998</v>
      </c>
      <c r="R499" s="38" t="str">
        <f>IFERROR(VLOOKUP($A499,'Из Гугла'!$B:$G,6,0)*S499,VLOOKUP($A499,'Из Гугла'!$B:$G,6,0))</f>
        <v/>
      </c>
      <c r="S499" s="14">
        <v>1</v>
      </c>
      <c r="T499" s="83">
        <f>IFERROR(Q499/I499-1,"")</f>
        <v>0.36073684210526302</v>
      </c>
      <c r="U499" s="83" t="str">
        <f>IFERROR((W499-Q499)/W499,"")</f>
        <v/>
      </c>
      <c r="V499" s="83" t="str">
        <f>IFERROR(IF(W499="","",W499/I499-1),"")</f>
        <v/>
      </c>
      <c r="W499" s="84"/>
    </row>
    <row r="500" spans="1:24" ht="30" x14ac:dyDescent="0.25">
      <c r="A500" s="80">
        <v>137274</v>
      </c>
      <c r="B500" s="80">
        <f>VLOOKUP($A500,'Выгр Кат'!$A:$R,B$1,0)</f>
        <v>16999</v>
      </c>
      <c r="C500" s="81" t="str">
        <f>VLOOKUP($A500,'Выгр Кат'!$A:$R,C$1,0)</f>
        <v>Боковые зеркала "R1" (белые) универсальные</v>
      </c>
      <c r="D500" s="80" t="str">
        <f>VLOOKUP($A500,'Выгр Кат'!$A:$R,D$1,0)</f>
        <v>N</v>
      </c>
      <c r="E500" s="80" t="str">
        <f>VLOOKUP($A500,'Выгр Кат'!$A:$R,E$1,0)</f>
        <v>0</v>
      </c>
      <c r="F500" s="80">
        <f>VLOOKUP($A500,'Выгр Кат'!$A:$R,F$1,0)</f>
        <v>0</v>
      </c>
      <c r="G500" s="80">
        <f>VLOOKUP($A500,'Выгр Кат'!$A:$R,G$1,0)</f>
        <v>0</v>
      </c>
      <c r="H500" s="67" t="s">
        <v>3</v>
      </c>
      <c r="I500" s="82">
        <v>950</v>
      </c>
      <c r="J500" s="5">
        <f>VLOOKUP(I500,Наценка!$A$1:$G$8,2,1)</f>
        <v>1.45</v>
      </c>
      <c r="K500" s="34">
        <f>I500*J500</f>
        <v>1377.5</v>
      </c>
      <c r="L500" s="70">
        <f>IF(K500&lt;=1000,(ROUNDUP(K500,-1)-1),(ROUNDUP(K500,-2)-10))</f>
        <v>1390</v>
      </c>
      <c r="M500" s="80">
        <f>VLOOKUP($A500,'Выгр Кат'!$A:$R,M$1,0)</f>
        <v>950</v>
      </c>
      <c r="N500" s="80">
        <f>VLOOKUP($A500,'Выгр Кат'!$A:$R,N$1,0)</f>
        <v>1390</v>
      </c>
      <c r="O500" s="28">
        <f>M500-I500</f>
        <v>0</v>
      </c>
      <c r="P500" s="28">
        <f>N500-L500</f>
        <v>0</v>
      </c>
      <c r="Q500" s="36">
        <f>IFERROR(L500*(1-$Q$2),"")</f>
        <v>1292.6999999999998</v>
      </c>
      <c r="R500" s="38" t="str">
        <f>IFERROR(VLOOKUP($A500,'Из Гугла'!$B:$G,6,0)*S500,VLOOKUP($A500,'Из Гугла'!$B:$G,6,0))</f>
        <v/>
      </c>
      <c r="S500" s="14">
        <v>1</v>
      </c>
      <c r="T500" s="83">
        <f>IFERROR(Q500/I500-1,"")</f>
        <v>0.36073684210526302</v>
      </c>
      <c r="U500" s="83" t="str">
        <f>IFERROR((W500-Q500)/W500,"")</f>
        <v/>
      </c>
      <c r="V500" s="83" t="str">
        <f>IFERROR(IF(W500="","",W500/I500-1),"")</f>
        <v/>
      </c>
      <c r="W500" s="84"/>
    </row>
    <row r="501" spans="1:24" ht="30" x14ac:dyDescent="0.25">
      <c r="A501" s="80">
        <v>213625</v>
      </c>
      <c r="B501" s="80">
        <f>VLOOKUP($A501,'Выгр Кат'!$A:$R,B$1,0)</f>
        <v>20569</v>
      </c>
      <c r="C501" s="81" t="str">
        <f>VLOOKUP($A501,'Выгр Кат'!$A:$R,C$1,0)</f>
        <v>(дубль) Светодиодные лампы S8 H3</v>
      </c>
      <c r="D501" s="80" t="str">
        <f>VLOOKUP($A501,'Выгр Кат'!$A:$R,D$1,0)</f>
        <v>N</v>
      </c>
      <c r="E501" s="80" t="str">
        <f>VLOOKUP($A501,'Выгр Кат'!$A:$R,E$1,0)</f>
        <v>0</v>
      </c>
      <c r="F501" s="80">
        <f>VLOOKUP($A501,'Выгр Кат'!$A:$R,F$1,0)</f>
        <v>0</v>
      </c>
      <c r="G501" s="80">
        <f>VLOOKUP($A501,'Выгр Кат'!$A:$R,G$1,0)</f>
        <v>0</v>
      </c>
      <c r="H501" s="67" t="s">
        <v>3</v>
      </c>
      <c r="I501" s="82">
        <v>950</v>
      </c>
      <c r="J501" s="5">
        <f>VLOOKUP(I501,Наценка!$A$1:$G$8,2,1)</f>
        <v>1.45</v>
      </c>
      <c r="K501" s="34">
        <f>I501*J501</f>
        <v>1377.5</v>
      </c>
      <c r="L501" s="70">
        <f>IF(K501&lt;=1000,(ROUNDUP(K501,-1)-1),(ROUNDUP(K501,-2)-10))</f>
        <v>1390</v>
      </c>
      <c r="M501" s="80">
        <f>VLOOKUP($A501,'Выгр Кат'!$A:$R,M$1,0)</f>
        <v>950</v>
      </c>
      <c r="N501" s="80">
        <f>VLOOKUP($A501,'Выгр Кат'!$A:$R,N$1,0)</f>
        <v>1390</v>
      </c>
      <c r="O501" s="28">
        <f>M501-I501</f>
        <v>0</v>
      </c>
      <c r="P501" s="28">
        <f>N501-L501</f>
        <v>0</v>
      </c>
      <c r="Q501" s="36">
        <f>IFERROR(L501*(1-$Q$2),"")</f>
        <v>1292.6999999999998</v>
      </c>
      <c r="R501" s="38" t="str">
        <f>IFERROR(VLOOKUP($A501,'Из Гугла'!$B:$G,6,0)*S501,VLOOKUP($A501,'Из Гугла'!$B:$G,6,0))</f>
        <v/>
      </c>
      <c r="S501" s="14">
        <v>1</v>
      </c>
      <c r="T501" s="83">
        <f>IFERROR(Q501/I501-1,"")</f>
        <v>0.36073684210526302</v>
      </c>
      <c r="U501" s="83" t="str">
        <f>IFERROR((W501-Q501)/W501,"")</f>
        <v/>
      </c>
      <c r="V501" s="83" t="str">
        <f>IFERROR(IF(W501="","",W501/I501-1),"")</f>
        <v/>
      </c>
      <c r="W501" s="84"/>
    </row>
    <row r="502" spans="1:24" ht="45.75" thickBot="1" x14ac:dyDescent="0.3">
      <c r="A502" s="80">
        <v>138411</v>
      </c>
      <c r="B502" s="80">
        <f>VLOOKUP($A502,'Выгр Кат'!$A:$R,B$1,0)</f>
        <v>6405</v>
      </c>
      <c r="C502" s="81" t="str">
        <f>VLOOKUP($A502,'Выгр Кат'!$A:$R,C$1,0)</f>
        <v>Боковые зеркала "Волна" механические, с повторителем (черные) для ВАЗ 2104, 2105, 2107</v>
      </c>
      <c r="D502" s="80" t="str">
        <f>VLOOKUP($A502,'Выгр Кат'!$A:$R,D$1,0)</f>
        <v>Y</v>
      </c>
      <c r="E502" s="80" t="str">
        <f>VLOOKUP($A502,'Выгр Кат'!$A:$R,E$1,0)</f>
        <v>0</v>
      </c>
      <c r="F502" s="80">
        <f>VLOOKUP($A502,'Выгр Кат'!$A:$R,F$1,0)</f>
        <v>0</v>
      </c>
      <c r="G502" s="80" t="str">
        <f>VLOOKUP($A502,'Выгр Кат'!$A:$R,G$1,0)</f>
        <v>https://motorring.ru/product/20460-bokovye-zerkala-volna-chernye-povtoritelem-dlya-vaz-2104</v>
      </c>
      <c r="H502" s="67" t="s">
        <v>3</v>
      </c>
      <c r="I502" s="82">
        <v>1000</v>
      </c>
      <c r="J502" s="5">
        <f>VLOOKUP(I502,Наценка!$A$1:$G$8,2,1)</f>
        <v>1.3</v>
      </c>
      <c r="K502" s="55">
        <f>W502*1.04</f>
        <v>2069.6</v>
      </c>
      <c r="L502" s="70">
        <f>IF(K502&lt;=1000,(ROUNDUP(K502,-1)-1),(ROUNDUP(K502,-2)-10))</f>
        <v>2090</v>
      </c>
      <c r="M502" s="80">
        <f>VLOOKUP($A502,'Выгр Кат'!$A:$R,M$1,0)</f>
        <v>1000</v>
      </c>
      <c r="N502" s="80">
        <f>VLOOKUP($A502,'Выгр Кат'!$A:$R,N$1,0)</f>
        <v>2090</v>
      </c>
      <c r="O502" s="28">
        <f>M502-I502</f>
        <v>0</v>
      </c>
      <c r="P502" s="28">
        <f>N502-L502</f>
        <v>0</v>
      </c>
      <c r="Q502" s="36">
        <f>IFERROR(L502*(1-$Q$2),"")</f>
        <v>1943.6999999999998</v>
      </c>
      <c r="R502" s="38">
        <f>IFERROR(VLOOKUP($A502,'Из Гугла'!$B:$G,6,0)*S502,VLOOKUP($A502,'Из Гугла'!$B:$G,6,0))</f>
        <v>1990</v>
      </c>
      <c r="S502" s="14">
        <v>1</v>
      </c>
      <c r="T502" s="83">
        <f>IFERROR(Q502/I502-1,"")</f>
        <v>0.94369999999999976</v>
      </c>
      <c r="U502" s="83">
        <f>IFERROR((W502-Q502)/W502,"")</f>
        <v>2.3266331658291547E-2</v>
      </c>
      <c r="V502" s="83">
        <f>IFERROR(IF(W502="","",W502/I502-1),"")</f>
        <v>0.99</v>
      </c>
      <c r="W502" s="94">
        <v>1990</v>
      </c>
      <c r="X502" s="71" t="s">
        <v>1437</v>
      </c>
    </row>
    <row r="503" spans="1:24" ht="30.75" thickTop="1" x14ac:dyDescent="0.25">
      <c r="A503" s="80">
        <v>213615</v>
      </c>
      <c r="B503" s="80">
        <f>VLOOKUP($A503,'Выгр Кат'!$A:$R,B$1,0)</f>
        <v>18707</v>
      </c>
      <c r="C503" s="81" t="str">
        <f>VLOOKUP($A503,'Выгр Кат'!$A:$R,C$1,0)</f>
        <v>Светодиодные лампы LED Headlight H7, мягкие радиаторы</v>
      </c>
      <c r="D503" s="80" t="str">
        <f>VLOOKUP($A503,'Выгр Кат'!$A:$R,D$1,0)</f>
        <v>Y</v>
      </c>
      <c r="E503" s="80" t="str">
        <f>VLOOKUP($A503,'Выгр Кат'!$A:$R,E$1,0)</f>
        <v>0</v>
      </c>
      <c r="F503" s="80">
        <f>VLOOKUP($A503,'Выгр Кат'!$A:$R,F$1,0)</f>
        <v>0</v>
      </c>
      <c r="G503" s="80">
        <f>VLOOKUP($A503,'Выгр Кат'!$A:$R,G$1,0)</f>
        <v>0</v>
      </c>
      <c r="H503" s="67" t="s">
        <v>3</v>
      </c>
      <c r="I503" s="82">
        <v>1000</v>
      </c>
      <c r="J503" s="5">
        <f>VLOOKUP(I503,Наценка!$A$1:$G$8,2,1)</f>
        <v>1.3</v>
      </c>
      <c r="K503" s="34">
        <f>I503*J503</f>
        <v>1300</v>
      </c>
      <c r="L503" s="70">
        <f>IF(K503&lt;=1000,(ROUNDUP(K503,-1)-1),(ROUNDUP(K503,-2)-10))</f>
        <v>1290</v>
      </c>
      <c r="M503" s="80">
        <f>VLOOKUP($A503,'Выгр Кат'!$A:$R,M$1,0)</f>
        <v>1000</v>
      </c>
      <c r="N503" s="80">
        <f>VLOOKUP($A503,'Выгр Кат'!$A:$R,N$1,0)</f>
        <v>1290</v>
      </c>
      <c r="O503" s="28">
        <f>M503-I503</f>
        <v>0</v>
      </c>
      <c r="P503" s="28">
        <f>N503-L503</f>
        <v>0</v>
      </c>
      <c r="Q503" s="36">
        <f>IFERROR(L503*(1-$Q$2),"")</f>
        <v>1199.6999999999998</v>
      </c>
      <c r="R503" s="38" t="str">
        <f>IFERROR(VLOOKUP($A503,'Из Гугла'!$B:$G,6,0)*S503,VLOOKUP($A503,'Из Гугла'!$B:$G,6,0))</f>
        <v/>
      </c>
      <c r="S503" s="14">
        <v>1</v>
      </c>
      <c r="T503" s="83">
        <f>IFERROR(Q503/I503-1,"")</f>
        <v>0.19969999999999977</v>
      </c>
      <c r="U503" s="83" t="str">
        <f>IFERROR((W503-Q503)/W503,"")</f>
        <v/>
      </c>
      <c r="V503" s="83" t="str">
        <f>IFERROR(IF(W503="","",W503/I503-1),"")</f>
        <v/>
      </c>
      <c r="W503" s="84"/>
    </row>
    <row r="504" spans="1:24" ht="30.75" thickBot="1" x14ac:dyDescent="0.3">
      <c r="A504" s="80">
        <v>133287</v>
      </c>
      <c r="B504" s="80">
        <f>VLOOKUP($A504,'Выгр Кат'!$A:$R,B$1,0)</f>
        <v>23938</v>
      </c>
      <c r="C504" s="81" t="str">
        <f>VLOOKUP($A504,'Выгр Кат'!$A:$R,C$1,0)</f>
        <v>Балка дополнительного освещения (LED, узкая, чёрная)</v>
      </c>
      <c r="D504" s="80" t="str">
        <f>VLOOKUP($A504,'Выгр Кат'!$A:$R,D$1,0)</f>
        <v>Y</v>
      </c>
      <c r="E504" s="80" t="str">
        <f>VLOOKUP($A504,'Выгр Кат'!$A:$R,E$1,0)</f>
        <v>0</v>
      </c>
      <c r="F504" s="80" t="str">
        <f>VLOOKUP($A504,'Выгр Кат'!$A:$R,F$1,0)</f>
        <v>mini-90</v>
      </c>
      <c r="G504" s="80">
        <f>VLOOKUP($A504,'Выгр Кат'!$A:$R,G$1,0)</f>
        <v>0</v>
      </c>
      <c r="H504" s="67" t="s">
        <v>3</v>
      </c>
      <c r="I504" s="82">
        <v>1000</v>
      </c>
      <c r="J504" s="5">
        <f>VLOOKUP(I504,Наценка!$A$1:$G$8,2,1)</f>
        <v>1.3</v>
      </c>
      <c r="K504" s="88">
        <f>I504*J504</f>
        <v>1300</v>
      </c>
      <c r="L504" s="70">
        <f>IF(K504&lt;=1000,(ROUNDUP(K504,-1)-1),(ROUNDUP(K504,-2)-10))</f>
        <v>1290</v>
      </c>
      <c r="M504" s="80">
        <f>VLOOKUP($A504,'Выгр Кат'!$A:$R,M$1,0)</f>
        <v>1000</v>
      </c>
      <c r="N504" s="80">
        <f>VLOOKUP($A504,'Выгр Кат'!$A:$R,N$1,0)</f>
        <v>1290</v>
      </c>
      <c r="O504" s="28">
        <f>M504-I504</f>
        <v>0</v>
      </c>
      <c r="P504" s="28">
        <f>N504-L504</f>
        <v>0</v>
      </c>
      <c r="Q504" s="36">
        <f>IFERROR(L504*(1-$Q$2),"")</f>
        <v>1199.6999999999998</v>
      </c>
      <c r="R504" s="38" t="str">
        <f>IFERROR(VLOOKUP($A504,'Из Гугла'!$B:$G,6,0)*S504,VLOOKUP($A504,'Из Гугла'!$B:$G,6,0))</f>
        <v/>
      </c>
      <c r="S504" s="14">
        <v>1</v>
      </c>
      <c r="T504" s="83">
        <f>IFERROR(Q504/I504-1,"")</f>
        <v>0.19969999999999977</v>
      </c>
      <c r="U504" s="83" t="str">
        <f>IFERROR((W504-Q504)/W504,"")</f>
        <v/>
      </c>
      <c r="V504" s="83" t="str">
        <f>IFERROR(IF(W504="","",W504/I504-1),"")</f>
        <v/>
      </c>
      <c r="W504" s="94" t="s">
        <v>1269</v>
      </c>
    </row>
    <row r="505" spans="1:24" ht="30.75" thickTop="1" x14ac:dyDescent="0.25">
      <c r="A505" s="80">
        <v>211457</v>
      </c>
      <c r="B505" s="80">
        <f>VLOOKUP($A505,'Выгр Кат'!$A:$R,B$1,0)</f>
        <v>4513</v>
      </c>
      <c r="C505" s="81" t="str">
        <f>VLOOKUP($A505,'Выгр Кат'!$A:$R,C$1,0)</f>
        <v>Руль R1 Drifting для ВАЗ (II) в цвет</v>
      </c>
      <c r="D505" s="80" t="str">
        <f>VLOOKUP($A505,'Выгр Кат'!$A:$R,D$1,0)</f>
        <v>Y</v>
      </c>
      <c r="E505" s="80" t="str">
        <f>VLOOKUP($A505,'Выгр Кат'!$A:$R,E$1,0)</f>
        <v>0</v>
      </c>
      <c r="F505" s="80">
        <f>VLOOKUP($A505,'Выгр Кат'!$A:$R,F$1,0)</f>
        <v>0</v>
      </c>
      <c r="G505" s="80">
        <f>VLOOKUP($A505,'Выгр Кат'!$A:$R,G$1,0)</f>
        <v>0</v>
      </c>
      <c r="H505" s="67" t="s">
        <v>3</v>
      </c>
      <c r="I505" s="82">
        <v>1000</v>
      </c>
      <c r="J505" s="5">
        <f>VLOOKUP(I505,Наценка!$A$1:$G$8,2,1)</f>
        <v>1.3</v>
      </c>
      <c r="K505" s="34">
        <f>I505*J505</f>
        <v>1300</v>
      </c>
      <c r="L505" s="70">
        <f>IF(K505&lt;=1000,(ROUNDUP(K505,-1)-1),(ROUNDUP(K505,-2)-10))</f>
        <v>1290</v>
      </c>
      <c r="M505" s="80">
        <f>VLOOKUP($A505,'Выгр Кат'!$A:$R,M$1,0)</f>
        <v>1000</v>
      </c>
      <c r="N505" s="80">
        <f>VLOOKUP($A505,'Выгр Кат'!$A:$R,N$1,0)</f>
        <v>1290</v>
      </c>
      <c r="O505" s="28">
        <f>M505-I505</f>
        <v>0</v>
      </c>
      <c r="P505" s="28">
        <f>N505-L505</f>
        <v>0</v>
      </c>
      <c r="Q505" s="36">
        <f>IFERROR(L505*(1-$Q$2),"")</f>
        <v>1199.6999999999998</v>
      </c>
      <c r="R505" s="38" t="str">
        <f>IFERROR(VLOOKUP($A505,'Из Гугла'!$B:$G,6,0)*S505,VLOOKUP($A505,'Из Гугла'!$B:$G,6,0))</f>
        <v/>
      </c>
      <c r="S505" s="14">
        <v>1</v>
      </c>
      <c r="T505" s="83">
        <f>IFERROR(Q505/I505-1,"")</f>
        <v>0.19969999999999977</v>
      </c>
      <c r="U505" s="83" t="str">
        <f>IFERROR((W505-Q505)/W505,"")</f>
        <v/>
      </c>
      <c r="V505" s="83" t="str">
        <f>IFERROR(IF(W505="","",W505/I505-1),"")</f>
        <v/>
      </c>
      <c r="W505" s="84"/>
    </row>
    <row r="506" spans="1:24" ht="30" x14ac:dyDescent="0.25">
      <c r="A506" s="80">
        <v>211413</v>
      </c>
      <c r="B506" s="80">
        <f>VLOOKUP($A506,'Выгр Кат'!$A:$R,B$1,0)</f>
        <v>18934</v>
      </c>
      <c r="C506" s="81" t="str">
        <f>VLOOKUP($A506,'Выгр Кат'!$A:$R,C$1,0)</f>
        <v>Руль "F-1" (средний вылет) жемчуг</v>
      </c>
      <c r="D506" s="80" t="str">
        <f>VLOOKUP($A506,'Выгр Кат'!$A:$R,D$1,0)</f>
        <v>Y</v>
      </c>
      <c r="E506" s="80" t="str">
        <f>VLOOKUP($A506,'Выгр Кат'!$A:$R,E$1,0)</f>
        <v>0</v>
      </c>
      <c r="F506" s="80" t="str">
        <f>VLOOKUP($A506,'Выгр Кат'!$A:$R,F$1,0)</f>
        <v>PT-4125+PVC+жемчуг</v>
      </c>
      <c r="G506" s="80">
        <f>VLOOKUP($A506,'Выгр Кат'!$A:$R,G$1,0)</f>
        <v>0</v>
      </c>
      <c r="H506" s="67" t="s">
        <v>3</v>
      </c>
      <c r="I506" s="82">
        <v>1000</v>
      </c>
      <c r="J506" s="5">
        <f>VLOOKUP(I506,Наценка!$A$1:$G$8,2,1)</f>
        <v>1.3</v>
      </c>
      <c r="K506" s="34">
        <f>I506*J506</f>
        <v>1300</v>
      </c>
      <c r="L506" s="70">
        <f>IF(K506&lt;=1000,(ROUNDUP(K506,-1)-1),(ROUNDUP(K506,-2)-10))</f>
        <v>1290</v>
      </c>
      <c r="M506" s="80">
        <f>VLOOKUP($A506,'Выгр Кат'!$A:$R,M$1,0)</f>
        <v>1000</v>
      </c>
      <c r="N506" s="80">
        <f>VLOOKUP($A506,'Выгр Кат'!$A:$R,N$1,0)</f>
        <v>1290</v>
      </c>
      <c r="O506" s="28">
        <f>M506-I506</f>
        <v>0</v>
      </c>
      <c r="P506" s="28">
        <f>N506-L506</f>
        <v>0</v>
      </c>
      <c r="Q506" s="36">
        <f>IFERROR(L506*(1-$Q$2),"")</f>
        <v>1199.6999999999998</v>
      </c>
      <c r="R506" s="38" t="str">
        <f>IFERROR(VLOOKUP($A506,'Из Гугла'!$B:$G,6,0)*S506,VLOOKUP($A506,'Из Гугла'!$B:$G,6,0))</f>
        <v/>
      </c>
      <c r="S506" s="14">
        <v>1</v>
      </c>
      <c r="T506" s="83">
        <f>IFERROR(Q506/I506-1,"")</f>
        <v>0.19969999999999977</v>
      </c>
      <c r="U506" s="83" t="str">
        <f>IFERROR((W506-Q506)/W506,"")</f>
        <v/>
      </c>
      <c r="V506" s="83" t="str">
        <f>IFERROR(IF(W506="","",W506/I506-1),"")</f>
        <v/>
      </c>
      <c r="W506" s="84"/>
    </row>
    <row r="507" spans="1:24" ht="30" x14ac:dyDescent="0.25">
      <c r="A507" s="80">
        <v>201769</v>
      </c>
      <c r="B507" s="80">
        <f>VLOOKUP($A507,'Выгр Кат'!$A:$R,B$1,0)</f>
        <v>23766</v>
      </c>
      <c r="C507" s="81" t="str">
        <f>VLOOKUP($A507,'Выгр Кат'!$A:$R,C$1,0)</f>
        <v>Противотуманные фары (диодная лампа) для Лада Приора 2</v>
      </c>
      <c r="D507" s="80" t="str">
        <f>VLOOKUP($A507,'Выгр Кат'!$A:$R,D$1,0)</f>
        <v>Y</v>
      </c>
      <c r="E507" s="80" t="str">
        <f>VLOOKUP($A507,'Выгр Кат'!$A:$R,E$1,0)</f>
        <v>0</v>
      </c>
      <c r="F507" s="80">
        <f>VLOOKUP($A507,'Выгр Кат'!$A:$R,F$1,0)</f>
        <v>0</v>
      </c>
      <c r="G507" s="80">
        <f>VLOOKUP($A507,'Выгр Кат'!$A:$R,G$1,0)</f>
        <v>0</v>
      </c>
      <c r="H507" s="67" t="s">
        <v>3</v>
      </c>
      <c r="I507" s="82">
        <v>1000</v>
      </c>
      <c r="J507" s="5">
        <f>VLOOKUP(I507,Наценка!$A$1:$G$8,2,1)</f>
        <v>1.3</v>
      </c>
      <c r="K507" s="34">
        <f>I507*J507</f>
        <v>1300</v>
      </c>
      <c r="L507" s="70">
        <f>IF(K507&lt;=1000,(ROUNDUP(K507,-1)-1),(ROUNDUP(K507,-2)-10))</f>
        <v>1290</v>
      </c>
      <c r="M507" s="80">
        <f>VLOOKUP($A507,'Выгр Кат'!$A:$R,M$1,0)</f>
        <v>1000</v>
      </c>
      <c r="N507" s="80">
        <f>VLOOKUP($A507,'Выгр Кат'!$A:$R,N$1,0)</f>
        <v>1290</v>
      </c>
      <c r="O507" s="28">
        <f>M507-I507</f>
        <v>0</v>
      </c>
      <c r="P507" s="28">
        <f>N507-L507</f>
        <v>0</v>
      </c>
      <c r="Q507" s="36">
        <f>IFERROR(L507*(1-$Q$2),"")</f>
        <v>1199.6999999999998</v>
      </c>
      <c r="R507" s="38" t="str">
        <f>IFERROR(VLOOKUP($A507,'Из Гугла'!$B:$G,6,0)*S507,VLOOKUP($A507,'Из Гугла'!$B:$G,6,0))</f>
        <v/>
      </c>
      <c r="S507" s="14">
        <v>1</v>
      </c>
      <c r="T507" s="83">
        <f>IFERROR(Q507/I507-1,"")</f>
        <v>0.19969999999999977</v>
      </c>
      <c r="U507" s="83" t="str">
        <f>IFERROR((W507-Q507)/W507,"")</f>
        <v/>
      </c>
      <c r="V507" s="83" t="str">
        <f>IFERROR(IF(W507="","",W507/I507-1),"")</f>
        <v/>
      </c>
      <c r="W507" s="84"/>
    </row>
    <row r="508" spans="1:24" ht="30" x14ac:dyDescent="0.25">
      <c r="A508" s="80">
        <v>264884</v>
      </c>
      <c r="B508" s="80">
        <f>VLOOKUP($A508,'Выгр Кат'!$A:$R,B$1,0)</f>
        <v>208921</v>
      </c>
      <c r="C508" s="81" t="str">
        <f>VLOOKUP($A508,'Выгр Кат'!$A:$R,C$1,0)</f>
        <v>Универсальные ПТФ "DLAA" LA 1029 B белые</v>
      </c>
      <c r="D508" s="80" t="str">
        <f>VLOOKUP($A508,'Выгр Кат'!$A:$R,D$1,0)</f>
        <v>Y</v>
      </c>
      <c r="E508" s="80" t="str">
        <f>VLOOKUP($A508,'Выгр Кат'!$A:$R,E$1,0)</f>
        <v>0</v>
      </c>
      <c r="F508" s="80" t="str">
        <f>VLOOKUP($A508,'Выгр Кат'!$A:$R,F$1,0)</f>
        <v>LA 1029 B</v>
      </c>
      <c r="G508" s="80">
        <f>VLOOKUP($A508,'Выгр Кат'!$A:$R,G$1,0)</f>
        <v>0</v>
      </c>
      <c r="H508" s="67" t="s">
        <v>3</v>
      </c>
      <c r="I508" s="82">
        <v>1000</v>
      </c>
      <c r="J508" s="5">
        <f>VLOOKUP(I508,Наценка!$A$1:$G$8,2,1)</f>
        <v>1.3</v>
      </c>
      <c r="K508" s="34">
        <f>I508*J508</f>
        <v>1300</v>
      </c>
      <c r="L508" s="70">
        <f>IF(K508&lt;=1000,(ROUNDUP(K508,-1)-1),(ROUNDUP(K508,-2)-10))</f>
        <v>1290</v>
      </c>
      <c r="M508" s="80">
        <f>VLOOKUP($A508,'Выгр Кат'!$A:$R,M$1,0)</f>
        <v>1000</v>
      </c>
      <c r="N508" s="80">
        <f>VLOOKUP($A508,'Выгр Кат'!$A:$R,N$1,0)</f>
        <v>1290</v>
      </c>
      <c r="O508" s="28">
        <f>M508-I508</f>
        <v>0</v>
      </c>
      <c r="P508" s="28">
        <f>N508-L508</f>
        <v>0</v>
      </c>
      <c r="Q508" s="36">
        <f>IFERROR(L508*(1-$Q$2),"")</f>
        <v>1199.6999999999998</v>
      </c>
      <c r="R508" s="38" t="str">
        <f>IFERROR(VLOOKUP($A508,'Из Гугла'!$B:$G,6,0)*S508,VLOOKUP($A508,'Из Гугла'!$B:$G,6,0))</f>
        <v/>
      </c>
      <c r="S508" s="14">
        <v>1</v>
      </c>
      <c r="T508" s="83">
        <f>IFERROR(Q508/I508-1,"")</f>
        <v>0.19969999999999977</v>
      </c>
      <c r="U508" s="83" t="str">
        <f>IFERROR((W508-Q508)/W508,"")</f>
        <v/>
      </c>
      <c r="V508" s="83" t="str">
        <f>IFERROR(IF(W508="","",W508/I508-1),"")</f>
        <v/>
      </c>
      <c r="W508" s="84" t="s">
        <v>1269</v>
      </c>
    </row>
    <row r="509" spans="1:24" ht="30" x14ac:dyDescent="0.25">
      <c r="A509" s="80">
        <v>145549</v>
      </c>
      <c r="B509" s="80">
        <f>VLOOKUP($A509,'Выгр Кат'!$A:$R,B$1,0)</f>
        <v>5117</v>
      </c>
      <c r="C509" s="81" t="str">
        <f>VLOOKUP($A509,'Выгр Кат'!$A:$R,C$1,0)</f>
        <v>Задние фонари (красные, хрусталь) для Лада Нива 4х4</v>
      </c>
      <c r="D509" s="80" t="str">
        <f>VLOOKUP($A509,'Выгр Кат'!$A:$R,D$1,0)</f>
        <v>Y</v>
      </c>
      <c r="E509" s="80" t="str">
        <f>VLOOKUP($A509,'Выгр Кат'!$A:$R,E$1,0)</f>
        <v>0</v>
      </c>
      <c r="F509" s="80">
        <f>VLOOKUP($A509,'Выгр Кат'!$A:$R,F$1,0)</f>
        <v>0</v>
      </c>
      <c r="G509" s="80">
        <f>VLOOKUP($A509,'Выгр Кат'!$A:$R,G$1,0)</f>
        <v>0</v>
      </c>
      <c r="H509" s="67" t="s">
        <v>3</v>
      </c>
      <c r="I509" s="82">
        <v>1100</v>
      </c>
      <c r="J509" s="5">
        <f>VLOOKUP(I509,Наценка!$A$1:$G$8,2,1)</f>
        <v>1.3</v>
      </c>
      <c r="K509" s="34">
        <f>I509*J509</f>
        <v>1430</v>
      </c>
      <c r="L509" s="70">
        <f>IF(K509&lt;=1000,(ROUNDUP(K509,-1)-1),(ROUNDUP(K509,-2)-10))</f>
        <v>1490</v>
      </c>
      <c r="M509" s="80">
        <f>VLOOKUP($A509,'Выгр Кат'!$A:$R,M$1,0)</f>
        <v>1100</v>
      </c>
      <c r="N509" s="80">
        <f>VLOOKUP($A509,'Выгр Кат'!$A:$R,N$1,0)</f>
        <v>1490</v>
      </c>
      <c r="O509" s="28">
        <f>M509-I509</f>
        <v>0</v>
      </c>
      <c r="P509" s="28">
        <f>N509-L509</f>
        <v>0</v>
      </c>
      <c r="Q509" s="36">
        <f>IFERROR(L509*(1-$Q$2),"")</f>
        <v>1385.6999999999998</v>
      </c>
      <c r="R509" s="38" t="str">
        <f>IFERROR(VLOOKUP($A509,'Из Гугла'!$B:$G,6,0)*S509,VLOOKUP($A509,'Из Гугла'!$B:$G,6,0))</f>
        <v/>
      </c>
      <c r="S509" s="14">
        <v>1</v>
      </c>
      <c r="T509" s="83">
        <f>IFERROR(Q509/I509-1,"")</f>
        <v>0.25972727272727258</v>
      </c>
      <c r="U509" s="83" t="str">
        <f>IFERROR((W509-Q509)/W509,"")</f>
        <v/>
      </c>
      <c r="V509" s="83" t="str">
        <f>IFERROR(IF(W509="","",W509/I509-1),"")</f>
        <v/>
      </c>
      <c r="W509" s="84"/>
    </row>
    <row r="510" spans="1:24" ht="30" x14ac:dyDescent="0.25">
      <c r="A510" s="80">
        <v>211476</v>
      </c>
      <c r="B510" s="80">
        <f>VLOOKUP($A510,'Выгр Кат'!$A:$R,B$1,0)</f>
        <v>4496</v>
      </c>
      <c r="C510" s="81" t="str">
        <f>VLOOKUP($A510,'Выгр Кат'!$A:$R,C$1,0)</f>
        <v>Руль Rtech с цветным ободом для ВАЗ</v>
      </c>
      <c r="D510" s="80" t="str">
        <f>VLOOKUP($A510,'Выгр Кат'!$A:$R,D$1,0)</f>
        <v>Y</v>
      </c>
      <c r="E510" s="80" t="str">
        <f>VLOOKUP($A510,'Выгр Кат'!$A:$R,E$1,0)</f>
        <v>0</v>
      </c>
      <c r="F510" s="80" t="str">
        <f>VLOOKUP($A510,'Выгр Кат'!$A:$R,F$1,0)</f>
        <v>8919</v>
      </c>
      <c r="G510" s="80">
        <f>VLOOKUP($A510,'Выгр Кат'!$A:$R,G$1,0)</f>
        <v>0</v>
      </c>
      <c r="H510" s="67" t="s">
        <v>3</v>
      </c>
      <c r="I510" s="82">
        <v>1100</v>
      </c>
      <c r="J510" s="5">
        <f>VLOOKUP(I510,Наценка!$A$1:$G$8,2,1)</f>
        <v>1.3</v>
      </c>
      <c r="K510" s="34">
        <f>I510*J510</f>
        <v>1430</v>
      </c>
      <c r="L510" s="70">
        <f>IF(K510&lt;=1000,(ROUNDUP(K510,-1)-1),(ROUNDUP(K510,-2)-10))</f>
        <v>1490</v>
      </c>
      <c r="M510" s="80">
        <f>VLOOKUP($A510,'Выгр Кат'!$A:$R,M$1,0)</f>
        <v>1100</v>
      </c>
      <c r="N510" s="80">
        <f>VLOOKUP($A510,'Выгр Кат'!$A:$R,N$1,0)</f>
        <v>1490</v>
      </c>
      <c r="O510" s="28">
        <f>M510-I510</f>
        <v>0</v>
      </c>
      <c r="P510" s="28">
        <f>N510-L510</f>
        <v>0</v>
      </c>
      <c r="Q510" s="36">
        <f>IFERROR(L510*(1-$Q$2),"")</f>
        <v>1385.6999999999998</v>
      </c>
      <c r="R510" s="38" t="str">
        <f>IFERROR(VLOOKUP($A510,'Из Гугла'!$B:$G,6,0)*S510,VLOOKUP($A510,'Из Гугла'!$B:$G,6,0))</f>
        <v/>
      </c>
      <c r="S510" s="14">
        <v>1</v>
      </c>
      <c r="T510" s="83">
        <f>IFERROR(Q510/I510-1,"")</f>
        <v>0.25972727272727258</v>
      </c>
      <c r="U510" s="83" t="str">
        <f>IFERROR((W510-Q510)/W510,"")</f>
        <v/>
      </c>
      <c r="V510" s="83" t="str">
        <f>IFERROR(IF(W510="","",W510/I510-1),"")</f>
        <v/>
      </c>
      <c r="W510" s="84"/>
    </row>
    <row r="511" spans="1:24" ht="30" x14ac:dyDescent="0.25">
      <c r="A511" s="80">
        <v>213484</v>
      </c>
      <c r="B511" s="80">
        <f>VLOOKUP($A511,'Выгр Кат'!$A:$R,B$1,0)</f>
        <v>10027</v>
      </c>
      <c r="C511" s="81" t="str">
        <f>VLOOKUP($A511,'Выгр Кат'!$A:$R,C$1,0)</f>
        <v>Самоклеющаяся силиконовая красная диодная лента</v>
      </c>
      <c r="D511" s="80" t="str">
        <f>VLOOKUP($A511,'Выгр Кат'!$A:$R,D$1,0)</f>
        <v>Y</v>
      </c>
      <c r="E511" s="80" t="str">
        <f>VLOOKUP($A511,'Выгр Кат'!$A:$R,E$1,0)</f>
        <v>0</v>
      </c>
      <c r="F511" s="80">
        <f>VLOOKUP($A511,'Выгр Кат'!$A:$R,F$1,0)</f>
        <v>0</v>
      </c>
      <c r="G511" s="80">
        <f>VLOOKUP($A511,'Выгр Кат'!$A:$R,G$1,0)</f>
        <v>0</v>
      </c>
      <c r="H511" s="67" t="s">
        <v>3</v>
      </c>
      <c r="I511" s="82">
        <v>1100</v>
      </c>
      <c r="J511" s="5">
        <f>VLOOKUP(I511,Наценка!$A$1:$G$8,2,1)</f>
        <v>1.3</v>
      </c>
      <c r="K511" s="34">
        <f>I511*J511</f>
        <v>1430</v>
      </c>
      <c r="L511" s="70">
        <f>IF(K511&lt;=1000,(ROUNDUP(K511,-1)-1),(ROUNDUP(K511,-2)-10))</f>
        <v>1490</v>
      </c>
      <c r="M511" s="80">
        <f>VLOOKUP($A511,'Выгр Кат'!$A:$R,M$1,0)</f>
        <v>1100</v>
      </c>
      <c r="N511" s="80">
        <f>VLOOKUP($A511,'Выгр Кат'!$A:$R,N$1,0)</f>
        <v>1490</v>
      </c>
      <c r="O511" s="28">
        <f>M511-I511</f>
        <v>0</v>
      </c>
      <c r="P511" s="28">
        <f>N511-L511</f>
        <v>0</v>
      </c>
      <c r="Q511" s="36">
        <f>IFERROR(L511*(1-$Q$2),"")</f>
        <v>1385.6999999999998</v>
      </c>
      <c r="R511" s="38" t="str">
        <f>IFERROR(VLOOKUP($A511,'Из Гугла'!$B:$G,6,0)*S511,VLOOKUP($A511,'Из Гугла'!$B:$G,6,0))</f>
        <v/>
      </c>
      <c r="S511" s="14">
        <v>1</v>
      </c>
      <c r="T511" s="83">
        <f>IFERROR(Q511/I511-1,"")</f>
        <v>0.25972727272727258</v>
      </c>
      <c r="U511" s="83" t="str">
        <f>IFERROR((W511-Q511)/W511,"")</f>
        <v/>
      </c>
      <c r="V511" s="83" t="str">
        <f>IFERROR(IF(W511="","",W511/I511-1),"")</f>
        <v/>
      </c>
      <c r="W511" s="84"/>
    </row>
    <row r="512" spans="1:24" ht="30" x14ac:dyDescent="0.25">
      <c r="A512" s="80">
        <v>213485</v>
      </c>
      <c r="B512" s="80">
        <f>VLOOKUP($A512,'Выгр Кат'!$A:$R,B$1,0)</f>
        <v>10028</v>
      </c>
      <c r="C512" s="81" t="str">
        <f>VLOOKUP($A512,'Выгр Кат'!$A:$R,C$1,0)</f>
        <v>Самоклеющаяся силиконовая синяя диодная лента</v>
      </c>
      <c r="D512" s="80" t="str">
        <f>VLOOKUP($A512,'Выгр Кат'!$A:$R,D$1,0)</f>
        <v>Y</v>
      </c>
      <c r="E512" s="80" t="str">
        <f>VLOOKUP($A512,'Выгр Кат'!$A:$R,E$1,0)</f>
        <v>0</v>
      </c>
      <c r="F512" s="80">
        <f>VLOOKUP($A512,'Выгр Кат'!$A:$R,F$1,0)</f>
        <v>0</v>
      </c>
      <c r="G512" s="80">
        <f>VLOOKUP($A512,'Выгр Кат'!$A:$R,G$1,0)</f>
        <v>0</v>
      </c>
      <c r="H512" s="67" t="s">
        <v>3</v>
      </c>
      <c r="I512" s="82">
        <v>1100</v>
      </c>
      <c r="J512" s="5">
        <f>VLOOKUP(I512,Наценка!$A$1:$G$8,2,1)</f>
        <v>1.3</v>
      </c>
      <c r="K512" s="34">
        <f>I512*J512</f>
        <v>1430</v>
      </c>
      <c r="L512" s="70">
        <f>IF(K512&lt;=1000,(ROUNDUP(K512,-1)-1),(ROUNDUP(K512,-2)-10))</f>
        <v>1490</v>
      </c>
      <c r="M512" s="80">
        <f>VLOOKUP($A512,'Выгр Кат'!$A:$R,M$1,0)</f>
        <v>1100</v>
      </c>
      <c r="N512" s="80">
        <f>VLOOKUP($A512,'Выгр Кат'!$A:$R,N$1,0)</f>
        <v>1490</v>
      </c>
      <c r="O512" s="28">
        <f>M512-I512</f>
        <v>0</v>
      </c>
      <c r="P512" s="28">
        <f>N512-L512</f>
        <v>0</v>
      </c>
      <c r="Q512" s="36">
        <f>IFERROR(L512*(1-$Q$2),"")</f>
        <v>1385.6999999999998</v>
      </c>
      <c r="R512" s="38" t="str">
        <f>IFERROR(VLOOKUP($A512,'Из Гугла'!$B:$G,6,0)*S512,VLOOKUP($A512,'Из Гугла'!$B:$G,6,0))</f>
        <v/>
      </c>
      <c r="S512" s="14">
        <v>1</v>
      </c>
      <c r="T512" s="83">
        <f>IFERROR(Q512/I512-1,"")</f>
        <v>0.25972727272727258</v>
      </c>
      <c r="U512" s="83" t="str">
        <f>IFERROR((W512-Q512)/W512,"")</f>
        <v/>
      </c>
      <c r="V512" s="83" t="str">
        <f>IFERROR(IF(W512="","",W512/I512-1),"")</f>
        <v/>
      </c>
      <c r="W512" s="84"/>
    </row>
    <row r="513" spans="1:24" ht="30" x14ac:dyDescent="0.25">
      <c r="A513" s="80">
        <v>145567</v>
      </c>
      <c r="B513" s="80">
        <f>VLOOKUP($A513,'Выгр Кат'!$A:$R,B$1,0)</f>
        <v>11441</v>
      </c>
      <c r="C513" s="81" t="str">
        <f>VLOOKUP($A513,'Выгр Кат'!$A:$R,C$1,0)</f>
        <v>Задние фонари с кольцами тонированные для ВАЗ 2105, 2107</v>
      </c>
      <c r="D513" s="80" t="str">
        <f>VLOOKUP($A513,'Выгр Кат'!$A:$R,D$1,0)</f>
        <v>Y</v>
      </c>
      <c r="E513" s="80" t="str">
        <f>VLOOKUP($A513,'Выгр Кат'!$A:$R,E$1,0)</f>
        <v>0</v>
      </c>
      <c r="F513" s="80">
        <f>VLOOKUP($A513,'Выгр Кат'!$A:$R,F$1,0)</f>
        <v>0</v>
      </c>
      <c r="G513" s="80">
        <f>VLOOKUP($A513,'Выгр Кат'!$A:$R,G$1,0)</f>
        <v>0</v>
      </c>
      <c r="H513" s="67" t="s">
        <v>3</v>
      </c>
      <c r="I513" s="82">
        <v>1100</v>
      </c>
      <c r="J513" s="5">
        <f>VLOOKUP(I513,Наценка!$A$1:$G$8,2,1)</f>
        <v>1.3</v>
      </c>
      <c r="K513" s="34">
        <f>I513*J513</f>
        <v>1430</v>
      </c>
      <c r="L513" s="70">
        <f>IF(K513&lt;=1000,(ROUNDUP(K513,-1)-1),(ROUNDUP(K513,-2)-10))</f>
        <v>1490</v>
      </c>
      <c r="M513" s="80">
        <f>VLOOKUP($A513,'Выгр Кат'!$A:$R,M$1,0)</f>
        <v>1100</v>
      </c>
      <c r="N513" s="80">
        <f>VLOOKUP($A513,'Выгр Кат'!$A:$R,N$1,0)</f>
        <v>1490</v>
      </c>
      <c r="O513" s="28">
        <f>M513-I513</f>
        <v>0</v>
      </c>
      <c r="P513" s="28">
        <f>N513-L513</f>
        <v>0</v>
      </c>
      <c r="Q513" s="36">
        <f>IFERROR(L513*(1-$Q$2),"")</f>
        <v>1385.6999999999998</v>
      </c>
      <c r="R513" s="38" t="str">
        <f>IFERROR(VLOOKUP($A513,'Из Гугла'!$B:$G,6,0)*S513,VLOOKUP($A513,'Из Гугла'!$B:$G,6,0))</f>
        <v/>
      </c>
      <c r="S513" s="14">
        <v>1</v>
      </c>
      <c r="T513" s="83">
        <f>IFERROR(Q513/I513-1,"")</f>
        <v>0.25972727272727258</v>
      </c>
      <c r="U513" s="83" t="str">
        <f>IFERROR((W513-Q513)/W513,"")</f>
        <v/>
      </c>
      <c r="V513" s="83" t="str">
        <f>IFERROR(IF(W513="","",W513/I513-1),"")</f>
        <v/>
      </c>
      <c r="W513" s="84"/>
    </row>
    <row r="514" spans="1:24" ht="30" x14ac:dyDescent="0.25">
      <c r="A514" s="80">
        <v>133343</v>
      </c>
      <c r="B514" s="80">
        <f>VLOOKUP($A514,'Выгр Кат'!$A:$R,B$1,0)</f>
        <v>24056</v>
      </c>
      <c r="C514" s="81" t="str">
        <f>VLOOKUP($A514,'Выгр Кат'!$A:$R,C$1,0)</f>
        <v>Балки дополнительного освещения "YS-54" (LED, белый свет)</v>
      </c>
      <c r="D514" s="80" t="str">
        <f>VLOOKUP($A514,'Выгр Кат'!$A:$R,D$1,0)</f>
        <v>N</v>
      </c>
      <c r="E514" s="80" t="str">
        <f>VLOOKUP($A514,'Выгр Кат'!$A:$R,E$1,0)</f>
        <v>1</v>
      </c>
      <c r="F514" s="80" t="str">
        <f>VLOOKUP($A514,'Выгр Кат'!$A:$R,F$1,0)</f>
        <v>YS-54</v>
      </c>
      <c r="G514" s="80" t="str">
        <f>VLOOKUP($A514,'Выгр Кат'!$A:$R,G$1,0)</f>
        <v>https://motorring.ru/product/20181-svetodiodnye-vspyshki-fso-54w</v>
      </c>
      <c r="H514" s="67" t="s">
        <v>3</v>
      </c>
      <c r="I514" s="82">
        <v>1200</v>
      </c>
      <c r="J514" s="5">
        <f>VLOOKUP(I514,Наценка!$A$1:$G$8,2,1)</f>
        <v>1.3</v>
      </c>
      <c r="K514" s="87">
        <f>W514*1.06</f>
        <v>1791.4</v>
      </c>
      <c r="L514" s="70">
        <f>IF(K514&lt;=1000,(ROUNDUP(K514,-1)-1),(ROUNDUP(K514,-2)-10))</f>
        <v>1790</v>
      </c>
      <c r="M514" s="80">
        <f>VLOOKUP($A514,'Выгр Кат'!$A:$R,M$1,0)</f>
        <v>1200</v>
      </c>
      <c r="N514" s="80">
        <f>VLOOKUP($A514,'Выгр Кат'!$A:$R,N$1,0)</f>
        <v>1790</v>
      </c>
      <c r="O514" s="28">
        <f>M514-I514</f>
        <v>0</v>
      </c>
      <c r="P514" s="28">
        <f>N514-L514</f>
        <v>0</v>
      </c>
      <c r="Q514" s="36">
        <f>IFERROR(L514*(1-$Q$2),"")</f>
        <v>1664.6999999999998</v>
      </c>
      <c r="R514" s="38">
        <f>IFERROR(VLOOKUP($A514,'Из Гугла'!$B:$G,6,0)*S514,VLOOKUP($A514,'Из Гугла'!$B:$G,6,0))</f>
        <v>1690</v>
      </c>
      <c r="S514" s="14">
        <v>1</v>
      </c>
      <c r="T514" s="83">
        <f>IFERROR(Q514/I514-1,"")</f>
        <v>0.38724999999999987</v>
      </c>
      <c r="U514" s="83">
        <f>IFERROR((W514-Q514)/W514,"")</f>
        <v>1.497041420118354E-2</v>
      </c>
      <c r="V514" s="83">
        <f>IFERROR(IF(W514="","",W514/I514-1),"")</f>
        <v>0.40833333333333344</v>
      </c>
      <c r="W514" s="84">
        <v>1690</v>
      </c>
      <c r="X514" s="71" t="s">
        <v>1451</v>
      </c>
    </row>
    <row r="515" spans="1:24" ht="30" x14ac:dyDescent="0.25">
      <c r="A515" s="80">
        <v>211477</v>
      </c>
      <c r="B515" s="80">
        <f>VLOOKUP($A515,'Выгр Кат'!$A:$R,B$1,0)</f>
        <v>4494</v>
      </c>
      <c r="C515" s="81" t="str">
        <f>VLOOKUP($A515,'Выгр Кат'!$A:$R,C$1,0)</f>
        <v>Руль Rtech с цветными спицами для ВАЗ</v>
      </c>
      <c r="D515" s="80" t="str">
        <f>VLOOKUP($A515,'Выгр Кат'!$A:$R,D$1,0)</f>
        <v>Y</v>
      </c>
      <c r="E515" s="80" t="str">
        <f>VLOOKUP($A515,'Выгр Кат'!$A:$R,E$1,0)</f>
        <v>0</v>
      </c>
      <c r="F515" s="80" t="str">
        <f>VLOOKUP($A515,'Выгр Кат'!$A:$R,F$1,0)</f>
        <v>8903</v>
      </c>
      <c r="G515" s="80">
        <f>VLOOKUP($A515,'Выгр Кат'!$A:$R,G$1,0)</f>
        <v>0</v>
      </c>
      <c r="H515" s="67" t="s">
        <v>3</v>
      </c>
      <c r="I515" s="82">
        <v>1200</v>
      </c>
      <c r="J515" s="5">
        <f>VLOOKUP(I515,Наценка!$A$1:$G$8,2,1)</f>
        <v>1.3</v>
      </c>
      <c r="K515" s="34">
        <f>I515*J515</f>
        <v>1560</v>
      </c>
      <c r="L515" s="70">
        <f>IF(K515&lt;=1000,(ROUNDUP(K515,-1)-1),(ROUNDUP(K515,-2)-10))</f>
        <v>1590</v>
      </c>
      <c r="M515" s="80">
        <f>VLOOKUP($A515,'Выгр Кат'!$A:$R,M$1,0)</f>
        <v>1200</v>
      </c>
      <c r="N515" s="80">
        <f>VLOOKUP($A515,'Выгр Кат'!$A:$R,N$1,0)</f>
        <v>1590</v>
      </c>
      <c r="O515" s="28">
        <f>M515-I515</f>
        <v>0</v>
      </c>
      <c r="P515" s="28">
        <f>N515-L515</f>
        <v>0</v>
      </c>
      <c r="Q515" s="36">
        <f>IFERROR(L515*(1-$Q$2),"")</f>
        <v>1478.6999999999998</v>
      </c>
      <c r="R515" s="38" t="str">
        <f>IFERROR(VLOOKUP($A515,'Из Гугла'!$B:$G,6,0)*S515,VLOOKUP($A515,'Из Гугла'!$B:$G,6,0))</f>
        <v/>
      </c>
      <c r="S515" s="14">
        <v>1</v>
      </c>
      <c r="T515" s="83">
        <f>IFERROR(Q515/I515-1,"")</f>
        <v>0.23224999999999985</v>
      </c>
      <c r="U515" s="83" t="str">
        <f>IFERROR((W515-Q515)/W515,"")</f>
        <v/>
      </c>
      <c r="V515" s="83" t="str">
        <f>IFERROR(IF(W515="","",W515/I515-1),"")</f>
        <v/>
      </c>
      <c r="W515" s="84"/>
    </row>
    <row r="516" spans="1:24" ht="30" x14ac:dyDescent="0.25">
      <c r="A516" s="80">
        <v>211479</v>
      </c>
      <c r="B516" s="80">
        <f>VLOOKUP($A516,'Выгр Кат'!$A:$R,B$1,0)</f>
        <v>4562</v>
      </c>
      <c r="C516" s="81" t="str">
        <f>VLOOKUP($A516,'Выгр Кат'!$A:$R,C$1,0)</f>
        <v>Руль Vertex для ВАЗ</v>
      </c>
      <c r="D516" s="80" t="str">
        <f>VLOOKUP($A516,'Выгр Кат'!$A:$R,D$1,0)</f>
        <v>Y</v>
      </c>
      <c r="E516" s="80" t="str">
        <f>VLOOKUP($A516,'Выгр Кат'!$A:$R,E$1,0)</f>
        <v>0</v>
      </c>
      <c r="F516" s="80">
        <f>VLOOKUP($A516,'Выгр Кат'!$A:$R,F$1,0)</f>
        <v>0</v>
      </c>
      <c r="G516" s="80">
        <f>VLOOKUP($A516,'Выгр Кат'!$A:$R,G$1,0)</f>
        <v>0</v>
      </c>
      <c r="H516" s="67" t="s">
        <v>3</v>
      </c>
      <c r="I516" s="82">
        <v>1200</v>
      </c>
      <c r="J516" s="5">
        <f>VLOOKUP(I516,Наценка!$A$1:$G$8,2,1)</f>
        <v>1.3</v>
      </c>
      <c r="K516" s="34">
        <f>I516*J516</f>
        <v>1560</v>
      </c>
      <c r="L516" s="70">
        <f>IF(K516&lt;=1000,(ROUNDUP(K516,-1)-1),(ROUNDUP(K516,-2)-10))</f>
        <v>1590</v>
      </c>
      <c r="M516" s="80">
        <f>VLOOKUP($A516,'Выгр Кат'!$A:$R,M$1,0)</f>
        <v>1200</v>
      </c>
      <c r="N516" s="80">
        <f>VLOOKUP($A516,'Выгр Кат'!$A:$R,N$1,0)</f>
        <v>1590</v>
      </c>
      <c r="O516" s="28">
        <f>M516-I516</f>
        <v>0</v>
      </c>
      <c r="P516" s="28">
        <f>N516-L516</f>
        <v>0</v>
      </c>
      <c r="Q516" s="36">
        <f>IFERROR(L516*(1-$Q$2),"")</f>
        <v>1478.6999999999998</v>
      </c>
      <c r="R516" s="38" t="str">
        <f>IFERROR(VLOOKUP($A516,'Из Гугла'!$B:$G,6,0)*S516,VLOOKUP($A516,'Из Гугла'!$B:$G,6,0))</f>
        <v/>
      </c>
      <c r="S516" s="14">
        <v>1</v>
      </c>
      <c r="T516" s="83">
        <f>IFERROR(Q516/I516-1,"")</f>
        <v>0.23224999999999985</v>
      </c>
      <c r="U516" s="83" t="str">
        <f>IFERROR((W516-Q516)/W516,"")</f>
        <v/>
      </c>
      <c r="V516" s="83" t="str">
        <f>IFERROR(IF(W516="","",W516/I516-1),"")</f>
        <v/>
      </c>
      <c r="W516" s="84"/>
    </row>
    <row r="517" spans="1:24" ht="45" x14ac:dyDescent="0.25">
      <c r="A517" s="80">
        <v>138410</v>
      </c>
      <c r="B517" s="80">
        <f>VLOOKUP($A517,'Выгр Кат'!$A:$R,B$1,0)</f>
        <v>6404</v>
      </c>
      <c r="C517" s="81" t="str">
        <f>VLOOKUP($A517,'Выгр Кат'!$A:$R,C$1,0)</f>
        <v>Боковые зеркала "Волна" механические, с повторителем (хром) для ВАЗ 2104, 2105, 2107</v>
      </c>
      <c r="D517" s="80" t="str">
        <f>VLOOKUP($A517,'Выгр Кат'!$A:$R,D$1,0)</f>
        <v>Y</v>
      </c>
      <c r="E517" s="80" t="str">
        <f>VLOOKUP($A517,'Выгр Кат'!$A:$R,E$1,0)</f>
        <v>0</v>
      </c>
      <c r="F517" s="80">
        <f>VLOOKUP($A517,'Выгр Кат'!$A:$R,F$1,0)</f>
        <v>0</v>
      </c>
      <c r="G517" s="80">
        <f>VLOOKUP($A517,'Выгр Кат'!$A:$R,G$1,0)</f>
        <v>0</v>
      </c>
      <c r="H517" s="67" t="s">
        <v>3</v>
      </c>
      <c r="I517" s="82">
        <v>1200</v>
      </c>
      <c r="J517" s="5">
        <f>VLOOKUP(I517,Наценка!$A$1:$G$8,2,1)</f>
        <v>1.3</v>
      </c>
      <c r="K517" s="34">
        <f>I517*J517</f>
        <v>1560</v>
      </c>
      <c r="L517" s="70">
        <f>IF(K517&lt;=1000,(ROUNDUP(K517,-1)-1),(ROUNDUP(K517,-2)-10))</f>
        <v>1590</v>
      </c>
      <c r="M517" s="80">
        <f>VLOOKUP($A517,'Выгр Кат'!$A:$R,M$1,0)</f>
        <v>1200</v>
      </c>
      <c r="N517" s="80">
        <f>VLOOKUP($A517,'Выгр Кат'!$A:$R,N$1,0)</f>
        <v>1590</v>
      </c>
      <c r="O517" s="28">
        <f>M517-I517</f>
        <v>0</v>
      </c>
      <c r="P517" s="28">
        <f>N517-L517</f>
        <v>0</v>
      </c>
      <c r="Q517" s="36">
        <f>IFERROR(L517*(1-$Q$2),"")</f>
        <v>1478.6999999999998</v>
      </c>
      <c r="R517" s="38" t="str">
        <f>IFERROR(VLOOKUP($A517,'Из Гугла'!$B:$G,6,0)*S517,VLOOKUP($A517,'Из Гугла'!$B:$G,6,0))</f>
        <v/>
      </c>
      <c r="S517" s="14">
        <v>1</v>
      </c>
      <c r="T517" s="83">
        <f>IFERROR(Q517/I517-1,"")</f>
        <v>0.23224999999999985</v>
      </c>
      <c r="U517" s="83" t="str">
        <f>IFERROR((W517-Q517)/W517,"")</f>
        <v/>
      </c>
      <c r="V517" s="83" t="str">
        <f>IFERROR(IF(W517="","",W517/I517-1),"")</f>
        <v/>
      </c>
      <c r="W517" s="84"/>
    </row>
    <row r="518" spans="1:24" ht="30" x14ac:dyDescent="0.25">
      <c r="A518" s="80">
        <v>211468</v>
      </c>
      <c r="B518" s="80">
        <f>VLOOKUP($A518,'Выгр Кат'!$A:$R,B$1,0)</f>
        <v>13721</v>
      </c>
      <c r="C518" s="81" t="str">
        <f>VLOOKUP($A518,'Выгр Кат'!$A:$R,C$1,0)</f>
        <v>Руль RTech "MOMO" анатомической формы для ВАЗ "13"</v>
      </c>
      <c r="D518" s="80" t="str">
        <f>VLOOKUP($A518,'Выгр Кат'!$A:$R,D$1,0)</f>
        <v>Y</v>
      </c>
      <c r="E518" s="80" t="str">
        <f>VLOOKUP($A518,'Выгр Кат'!$A:$R,E$1,0)</f>
        <v>0</v>
      </c>
      <c r="F518" s="80">
        <f>VLOOKUP($A518,'Выгр Кат'!$A:$R,F$1,0)</f>
        <v>0</v>
      </c>
      <c r="G518" s="80">
        <f>VLOOKUP($A518,'Выгр Кат'!$A:$R,G$1,0)</f>
        <v>0</v>
      </c>
      <c r="H518" s="67" t="s">
        <v>3</v>
      </c>
      <c r="I518" s="82">
        <v>1200</v>
      </c>
      <c r="J518" s="5">
        <f>VLOOKUP(I518,Наценка!$A$1:$G$8,2,1)</f>
        <v>1.3</v>
      </c>
      <c r="K518" s="34">
        <f>I518*J518</f>
        <v>1560</v>
      </c>
      <c r="L518" s="70">
        <f>IF(K518&lt;=1000,(ROUNDUP(K518,-1)-1),(ROUNDUP(K518,-2)-10))</f>
        <v>1590</v>
      </c>
      <c r="M518" s="80">
        <f>VLOOKUP($A518,'Выгр Кат'!$A:$R,M$1,0)</f>
        <v>1200</v>
      </c>
      <c r="N518" s="80">
        <f>VLOOKUP($A518,'Выгр Кат'!$A:$R,N$1,0)</f>
        <v>1590</v>
      </c>
      <c r="O518" s="28">
        <f>M518-I518</f>
        <v>0</v>
      </c>
      <c r="P518" s="28">
        <f>N518-L518</f>
        <v>0</v>
      </c>
      <c r="Q518" s="36">
        <f>IFERROR(L518*(1-$Q$2),"")</f>
        <v>1478.6999999999998</v>
      </c>
      <c r="R518" s="38" t="str">
        <f>IFERROR(VLOOKUP($A518,'Из Гугла'!$B:$G,6,0)*S518,VLOOKUP($A518,'Из Гугла'!$B:$G,6,0))</f>
        <v/>
      </c>
      <c r="S518" s="14">
        <v>1</v>
      </c>
      <c r="T518" s="83">
        <f>IFERROR(Q518/I518-1,"")</f>
        <v>0.23224999999999985</v>
      </c>
      <c r="U518" s="83" t="str">
        <f>IFERROR((W518-Q518)/W518,"")</f>
        <v/>
      </c>
      <c r="V518" s="83" t="str">
        <f>IFERROR(IF(W518="","",W518/I518-1),"")</f>
        <v/>
      </c>
      <c r="W518" s="84"/>
    </row>
    <row r="519" spans="1:24" ht="30" x14ac:dyDescent="0.25">
      <c r="A519" s="80">
        <v>211415</v>
      </c>
      <c r="B519" s="80">
        <f>VLOOKUP($A519,'Выгр Кат'!$A:$R,B$1,0)</f>
        <v>19224</v>
      </c>
      <c r="C519" s="81" t="str">
        <f>VLOOKUP($A519,'Выгр Кат'!$A:$R,C$1,0)</f>
        <v>Руль "F-1" CANADA синий карбоновый (средний вылет)</v>
      </c>
      <c r="D519" s="80" t="str">
        <f>VLOOKUP($A519,'Выгр Кат'!$A:$R,D$1,0)</f>
        <v>Y</v>
      </c>
      <c r="E519" s="80" t="str">
        <f>VLOOKUP($A519,'Выгр Кат'!$A:$R,E$1,0)</f>
        <v>0</v>
      </c>
      <c r="F519" s="80" t="str">
        <f>VLOOKUP($A519,'Выгр Кат'!$A:$R,F$1,0)</f>
        <v>PT+4125+PVC</v>
      </c>
      <c r="G519" s="80">
        <f>VLOOKUP($A519,'Выгр Кат'!$A:$R,G$1,0)</f>
        <v>0</v>
      </c>
      <c r="H519" s="67" t="s">
        <v>3</v>
      </c>
      <c r="I519" s="82">
        <v>1200</v>
      </c>
      <c r="J519" s="5">
        <f>VLOOKUP(I519,Наценка!$A$1:$G$8,2,1)</f>
        <v>1.3</v>
      </c>
      <c r="K519" s="34">
        <f>I519*J519</f>
        <v>1560</v>
      </c>
      <c r="L519" s="70">
        <f>IF(K519&lt;=1000,(ROUNDUP(K519,-1)-1),(ROUNDUP(K519,-2)-10))</f>
        <v>1590</v>
      </c>
      <c r="M519" s="80">
        <f>VLOOKUP($A519,'Выгр Кат'!$A:$R,M$1,0)</f>
        <v>1200</v>
      </c>
      <c r="N519" s="80">
        <f>VLOOKUP($A519,'Выгр Кат'!$A:$R,N$1,0)</f>
        <v>1590</v>
      </c>
      <c r="O519" s="28">
        <f>M519-I519</f>
        <v>0</v>
      </c>
      <c r="P519" s="28">
        <f>N519-L519</f>
        <v>0</v>
      </c>
      <c r="Q519" s="36">
        <f>IFERROR(L519*(1-$Q$2),"")</f>
        <v>1478.6999999999998</v>
      </c>
      <c r="R519" s="38" t="str">
        <f>IFERROR(VLOOKUP($A519,'Из Гугла'!$B:$G,6,0)*S519,VLOOKUP($A519,'Из Гугла'!$B:$G,6,0))</f>
        <v/>
      </c>
      <c r="S519" s="14">
        <v>1</v>
      </c>
      <c r="T519" s="83">
        <f>IFERROR(Q519/I519-1,"")</f>
        <v>0.23224999999999985</v>
      </c>
      <c r="U519" s="83" t="str">
        <f>IFERROR((W519-Q519)/W519,"")</f>
        <v/>
      </c>
      <c r="V519" s="83" t="str">
        <f>IFERROR(IF(W519="","",W519/I519-1),"")</f>
        <v/>
      </c>
      <c r="W519" s="84"/>
    </row>
    <row r="520" spans="1:24" ht="30" x14ac:dyDescent="0.25">
      <c r="A520" s="80">
        <v>211410</v>
      </c>
      <c r="B520" s="80">
        <f>VLOOKUP($A520,'Выгр Кат'!$A:$R,B$1,0)</f>
        <v>19391</v>
      </c>
      <c r="C520" s="81" t="str">
        <f>VLOOKUP($A520,'Выгр Кат'!$A:$R,C$1,0)</f>
        <v>Руль "F-1" (малый вылет) красный</v>
      </c>
      <c r="D520" s="80" t="str">
        <f>VLOOKUP($A520,'Выгр Кат'!$A:$R,D$1,0)</f>
        <v>Y</v>
      </c>
      <c r="E520" s="80" t="str">
        <f>VLOOKUP($A520,'Выгр Кат'!$A:$R,E$1,0)</f>
        <v>0</v>
      </c>
      <c r="F520" s="80" t="str">
        <f>VLOOKUP($A520,'Выгр Кат'!$A:$R,F$1,0)</f>
        <v>4156K+PVC+красный</v>
      </c>
      <c r="G520" s="80">
        <f>VLOOKUP($A520,'Выгр Кат'!$A:$R,G$1,0)</f>
        <v>0</v>
      </c>
      <c r="H520" s="67" t="s">
        <v>3</v>
      </c>
      <c r="I520" s="82">
        <v>1200</v>
      </c>
      <c r="J520" s="5">
        <f>VLOOKUP(I520,Наценка!$A$1:$G$8,2,1)</f>
        <v>1.3</v>
      </c>
      <c r="K520" s="34">
        <f>I520*J520</f>
        <v>1560</v>
      </c>
      <c r="L520" s="70">
        <f>IF(K520&lt;=1000,(ROUNDUP(K520,-1)-1),(ROUNDUP(K520,-2)-10))</f>
        <v>1590</v>
      </c>
      <c r="M520" s="80">
        <f>VLOOKUP($A520,'Выгр Кат'!$A:$R,M$1,0)</f>
        <v>1200</v>
      </c>
      <c r="N520" s="80">
        <f>VLOOKUP($A520,'Выгр Кат'!$A:$R,N$1,0)</f>
        <v>1590</v>
      </c>
      <c r="O520" s="28">
        <f>M520-I520</f>
        <v>0</v>
      </c>
      <c r="P520" s="28">
        <f>N520-L520</f>
        <v>0</v>
      </c>
      <c r="Q520" s="36">
        <f>IFERROR(L520*(1-$Q$2),"")</f>
        <v>1478.6999999999998</v>
      </c>
      <c r="R520" s="38" t="str">
        <f>IFERROR(VLOOKUP($A520,'Из Гугла'!$B:$G,6,0)*S520,VLOOKUP($A520,'Из Гугла'!$B:$G,6,0))</f>
        <v/>
      </c>
      <c r="S520" s="14">
        <v>1</v>
      </c>
      <c r="T520" s="83">
        <f>IFERROR(Q520/I520-1,"")</f>
        <v>0.23224999999999985</v>
      </c>
      <c r="U520" s="83" t="str">
        <f>IFERROR((W520-Q520)/W520,"")</f>
        <v/>
      </c>
      <c r="V520" s="83" t="str">
        <f>IFERROR(IF(W520="","",W520/I520-1),"")</f>
        <v/>
      </c>
      <c r="W520" s="84"/>
    </row>
    <row r="521" spans="1:24" ht="30" x14ac:dyDescent="0.25">
      <c r="A521" s="80">
        <v>211452</v>
      </c>
      <c r="B521" s="80">
        <f>VLOOKUP($A521,'Выгр Кат'!$A:$R,B$1,0)</f>
        <v>13718</v>
      </c>
      <c r="C521" s="81" t="str">
        <f>VLOOKUP($A521,'Выгр Кат'!$A:$R,C$1,0)</f>
        <v>Руль F1 "MOMO" анатомической формы для ВАЗ</v>
      </c>
      <c r="D521" s="80" t="str">
        <f>VLOOKUP($A521,'Выгр Кат'!$A:$R,D$1,0)</f>
        <v>Y</v>
      </c>
      <c r="E521" s="80" t="str">
        <f>VLOOKUP($A521,'Выгр Кат'!$A:$R,E$1,0)</f>
        <v>0</v>
      </c>
      <c r="F521" s="80" t="str">
        <f>VLOOKUP($A521,'Выгр Кат'!$A:$R,F$1,0)</f>
        <v>5159+PVC+черный</v>
      </c>
      <c r="G521" s="80">
        <f>VLOOKUP($A521,'Выгр Кат'!$A:$R,G$1,0)</f>
        <v>0</v>
      </c>
      <c r="H521" s="67" t="s">
        <v>3</v>
      </c>
      <c r="I521" s="82">
        <v>1300</v>
      </c>
      <c r="J521" s="5">
        <f>VLOOKUP(I521,Наценка!$A$1:$G$8,2,1)</f>
        <v>1.3</v>
      </c>
      <c r="K521" s="34">
        <f>I521*J521</f>
        <v>1690</v>
      </c>
      <c r="L521" s="70">
        <f>IF(K521&lt;=1000,(ROUNDUP(K521,-1)-1),(ROUNDUP(K521,-2)-10))</f>
        <v>1690</v>
      </c>
      <c r="M521" s="80">
        <f>VLOOKUP($A521,'Выгр Кат'!$A:$R,M$1,0)</f>
        <v>1300</v>
      </c>
      <c r="N521" s="80">
        <f>VLOOKUP($A521,'Выгр Кат'!$A:$R,N$1,0)</f>
        <v>1690</v>
      </c>
      <c r="O521" s="28">
        <f>M521-I521</f>
        <v>0</v>
      </c>
      <c r="P521" s="28">
        <f>N521-L521</f>
        <v>0</v>
      </c>
      <c r="Q521" s="36">
        <f>IFERROR(L521*(1-$Q$2),"")</f>
        <v>1571.6999999999998</v>
      </c>
      <c r="R521" s="38" t="str">
        <f>IFERROR(VLOOKUP($A521,'Из Гугла'!$B:$G,6,0)*S521,VLOOKUP($A521,'Из Гугла'!$B:$G,6,0))</f>
        <v/>
      </c>
      <c r="S521" s="14">
        <v>1</v>
      </c>
      <c r="T521" s="83">
        <f>IFERROR(Q521/I521-1,"")</f>
        <v>0.20899999999999985</v>
      </c>
      <c r="U521" s="83" t="str">
        <f>IFERROR((W521-Q521)/W521,"")</f>
        <v/>
      </c>
      <c r="V521" s="83" t="str">
        <f>IFERROR(IF(W521="","",W521/I521-1),"")</f>
        <v/>
      </c>
      <c r="W521" s="84"/>
    </row>
    <row r="522" spans="1:24" ht="30" x14ac:dyDescent="0.25">
      <c r="A522" s="80">
        <v>211420</v>
      </c>
      <c r="B522" s="80">
        <f>VLOOKUP($A522,'Выгр Кат'!$A:$R,B$1,0)</f>
        <v>18920</v>
      </c>
      <c r="C522" s="81" t="str">
        <f>VLOOKUP($A522,'Выгр Кат'!$A:$R,C$1,0)</f>
        <v>Руль "F-1" Pentair-spider серый (средний вылет)</v>
      </c>
      <c r="D522" s="80" t="str">
        <f>VLOOKUP($A522,'Выгр Кат'!$A:$R,D$1,0)</f>
        <v>Y</v>
      </c>
      <c r="E522" s="80" t="str">
        <f>VLOOKUP($A522,'Выгр Кат'!$A:$R,E$1,0)</f>
        <v>0</v>
      </c>
      <c r="F522" s="80" t="str">
        <f>VLOOKUP($A522,'Выгр Кат'!$A:$R,F$1,0)</f>
        <v>5172</v>
      </c>
      <c r="G522" s="80">
        <f>VLOOKUP($A522,'Выгр Кат'!$A:$R,G$1,0)</f>
        <v>0</v>
      </c>
      <c r="H522" s="67" t="s">
        <v>3</v>
      </c>
      <c r="I522" s="82">
        <v>1300</v>
      </c>
      <c r="J522" s="5">
        <f>VLOOKUP(I522,Наценка!$A$1:$G$8,2,1)</f>
        <v>1.3</v>
      </c>
      <c r="K522" s="34">
        <f>I522*J522</f>
        <v>1690</v>
      </c>
      <c r="L522" s="70">
        <f>IF(K522&lt;=1000,(ROUNDUP(K522,-1)-1),(ROUNDUP(K522,-2)-10))</f>
        <v>1690</v>
      </c>
      <c r="M522" s="80">
        <f>VLOOKUP($A522,'Выгр Кат'!$A:$R,M$1,0)</f>
        <v>1300</v>
      </c>
      <c r="N522" s="80">
        <f>VLOOKUP($A522,'Выгр Кат'!$A:$R,N$1,0)</f>
        <v>1690</v>
      </c>
      <c r="O522" s="28">
        <f>M522-I522</f>
        <v>0</v>
      </c>
      <c r="P522" s="28">
        <f>N522-L522</f>
        <v>0</v>
      </c>
      <c r="Q522" s="36">
        <f>IFERROR(L522*(1-$Q$2),"")</f>
        <v>1571.6999999999998</v>
      </c>
      <c r="R522" s="38" t="str">
        <f>IFERROR(VLOOKUP($A522,'Из Гугла'!$B:$G,6,0)*S522,VLOOKUP($A522,'Из Гугла'!$B:$G,6,0))</f>
        <v/>
      </c>
      <c r="S522" s="14">
        <v>1</v>
      </c>
      <c r="T522" s="83">
        <f>IFERROR(Q522/I522-1,"")</f>
        <v>0.20899999999999985</v>
      </c>
      <c r="U522" s="83" t="str">
        <f>IFERROR((W522-Q522)/W522,"")</f>
        <v/>
      </c>
      <c r="V522" s="83" t="str">
        <f>IFERROR(IF(W522="","",W522/I522-1),"")</f>
        <v/>
      </c>
      <c r="W522" s="84"/>
    </row>
    <row r="523" spans="1:24" ht="30" x14ac:dyDescent="0.25">
      <c r="A523" s="80">
        <v>201776</v>
      </c>
      <c r="B523" s="80">
        <f>VLOOKUP($A523,'Выгр Кат'!$A:$R,B$1,0)</f>
        <v>4339</v>
      </c>
      <c r="C523" s="81" t="str">
        <f>VLOOKUP($A523,'Выгр Кат'!$A:$R,C$1,0)</f>
        <v>Противотуманные фары (ПТФ) DLA-091L для ВАЗ 2110-2112, 2113-2115</v>
      </c>
      <c r="D523" s="80" t="str">
        <f>VLOOKUP($A523,'Выгр Кат'!$A:$R,D$1,0)</f>
        <v>Y</v>
      </c>
      <c r="E523" s="80" t="str">
        <f>VLOOKUP($A523,'Выгр Кат'!$A:$R,E$1,0)</f>
        <v>0</v>
      </c>
      <c r="F523" s="80" t="str">
        <f>VLOOKUP($A523,'Выгр Кат'!$A:$R,F$1,0)</f>
        <v>DLA-091L</v>
      </c>
      <c r="G523" s="80">
        <f>VLOOKUP($A523,'Выгр Кат'!$A:$R,G$1,0)</f>
        <v>0</v>
      </c>
      <c r="H523" s="67" t="s">
        <v>3</v>
      </c>
      <c r="I523" s="82">
        <v>1350</v>
      </c>
      <c r="J523" s="5">
        <f>VLOOKUP(I523,Наценка!$A$1:$G$8,2,1)</f>
        <v>1.3</v>
      </c>
      <c r="K523" s="34">
        <f>I523*J523</f>
        <v>1755</v>
      </c>
      <c r="L523" s="70">
        <f>IF(K523&lt;=1000,(ROUNDUP(K523,-1)-1),(ROUNDUP(K523,-2)-10))</f>
        <v>1790</v>
      </c>
      <c r="M523" s="80">
        <f>VLOOKUP($A523,'Выгр Кат'!$A:$R,M$1,0)</f>
        <v>1350</v>
      </c>
      <c r="N523" s="80">
        <f>VLOOKUP($A523,'Выгр Кат'!$A:$R,N$1,0)</f>
        <v>1790</v>
      </c>
      <c r="O523" s="28">
        <f>M523-I523</f>
        <v>0</v>
      </c>
      <c r="P523" s="28">
        <f>N523-L523</f>
        <v>0</v>
      </c>
      <c r="Q523" s="36">
        <f>IFERROR(L523*(1-$Q$2),"")</f>
        <v>1664.6999999999998</v>
      </c>
      <c r="R523" s="38" t="str">
        <f>IFERROR(VLOOKUP($A523,'Из Гугла'!$B:$G,6,0)*S523,VLOOKUP($A523,'Из Гугла'!$B:$G,6,0))</f>
        <v/>
      </c>
      <c r="S523" s="14">
        <v>1</v>
      </c>
      <c r="T523" s="83">
        <f>IFERROR(Q523/I523-1,"")</f>
        <v>0.23311111111111105</v>
      </c>
      <c r="U523" s="83" t="str">
        <f>IFERROR((W523-Q523)/W523,"")</f>
        <v/>
      </c>
      <c r="V523" s="83" t="str">
        <f>IFERROR(IF(W523="","",W523/I523-1),"")</f>
        <v/>
      </c>
      <c r="W523" s="84"/>
    </row>
    <row r="524" spans="1:24" ht="45" x14ac:dyDescent="0.25">
      <c r="A524" s="80">
        <v>138437</v>
      </c>
      <c r="B524" s="80">
        <f>VLOOKUP($A524,'Выгр Кат'!$A:$R,B$1,0)</f>
        <v>6411</v>
      </c>
      <c r="C524" s="81" t="str">
        <f>VLOOKUP($A524,'Выгр Кат'!$A:$R,C$1,0)</f>
        <v>Боковые зеркала "Питер" механические (чёрные) для ВАЗ 2104, 2105, 2107</v>
      </c>
      <c r="D524" s="80" t="str">
        <f>VLOOKUP($A524,'Выгр Кат'!$A:$R,D$1,0)</f>
        <v>Y</v>
      </c>
      <c r="E524" s="80" t="str">
        <f>VLOOKUP($A524,'Выгр Кат'!$A:$R,E$1,0)</f>
        <v>0</v>
      </c>
      <c r="F524" s="80" t="str">
        <f>VLOOKUP($A524,'Выгр Кат'!$A:$R,F$1,0)</f>
        <v>YH-3386-H-B</v>
      </c>
      <c r="G524" s="80" t="str">
        <f>VLOOKUP($A524,'Выгр Кат'!$A:$R,G$1,0)</f>
        <v>https://motorring.ru/product/15996-bokovye-zerkala-piter-chernye-vaz-2101-2107</v>
      </c>
      <c r="H524" s="67" t="s">
        <v>3</v>
      </c>
      <c r="I524" s="82">
        <v>1400</v>
      </c>
      <c r="J524" s="5">
        <f>VLOOKUP(I524,Наценка!$A$1:$G$8,2,1)</f>
        <v>1.3</v>
      </c>
      <c r="K524" s="90">
        <f>W524*1.04</f>
        <v>2069.6</v>
      </c>
      <c r="L524" s="70">
        <f>IF(K524&lt;=1000,(ROUNDUP(K524,-1)-1),(ROUNDUP(K524,-2)-10))</f>
        <v>2090</v>
      </c>
      <c r="M524" s="80">
        <f>VLOOKUP($A524,'Выгр Кат'!$A:$R,M$1,0)</f>
        <v>1400</v>
      </c>
      <c r="N524" s="80">
        <f>VLOOKUP($A524,'Выгр Кат'!$A:$R,N$1,0)</f>
        <v>2090</v>
      </c>
      <c r="O524" s="28">
        <f>M524-I524</f>
        <v>0</v>
      </c>
      <c r="P524" s="28">
        <f>N524-L524</f>
        <v>0</v>
      </c>
      <c r="Q524" s="36">
        <f>IFERROR(L524*(1-$Q$2),"")</f>
        <v>1943.6999999999998</v>
      </c>
      <c r="R524" s="38">
        <f>IFERROR(VLOOKUP($A524,'Из Гугла'!$B:$G,6,0)*S524,VLOOKUP($A524,'Из Гугла'!$B:$G,6,0))</f>
        <v>1990</v>
      </c>
      <c r="S524" s="14">
        <v>1</v>
      </c>
      <c r="T524" s="83">
        <f>IFERROR(Q524/I524-1,"")</f>
        <v>0.38835714285714262</v>
      </c>
      <c r="U524" s="83">
        <f>IFERROR((W524-Q524)/W524,"")</f>
        <v>2.3266331658291547E-2</v>
      </c>
      <c r="V524" s="83">
        <f>IFERROR(IF(W524="","",W524/I524-1),"")</f>
        <v>0.42142857142857149</v>
      </c>
      <c r="W524" s="93">
        <v>1990</v>
      </c>
      <c r="X524" s="71" t="s">
        <v>921</v>
      </c>
    </row>
    <row r="525" spans="1:24" ht="30" x14ac:dyDescent="0.25">
      <c r="A525" s="80">
        <v>213664</v>
      </c>
      <c r="B525" s="80">
        <f>VLOOKUP($A525,'Выгр Кат'!$A:$R,B$1,0)</f>
        <v>18959</v>
      </c>
      <c r="C525" s="81" t="str">
        <f>VLOOKUP($A525,'Выгр Кат'!$A:$R,C$1,0)</f>
        <v>Светодиодные накладки на пороги (передние) для Лада Веста</v>
      </c>
      <c r="D525" s="80" t="str">
        <f>VLOOKUP($A525,'Выгр Кат'!$A:$R,D$1,0)</f>
        <v>Y</v>
      </c>
      <c r="E525" s="80" t="str">
        <f>VLOOKUP($A525,'Выгр Кат'!$A:$R,E$1,0)</f>
        <v>0</v>
      </c>
      <c r="F525" s="80">
        <f>VLOOKUP($A525,'Выгр Кат'!$A:$R,F$1,0)</f>
        <v>0</v>
      </c>
      <c r="G525" s="80">
        <f>VLOOKUP($A525,'Выгр Кат'!$A:$R,G$1,0)</f>
        <v>0</v>
      </c>
      <c r="H525" s="67" t="s">
        <v>3</v>
      </c>
      <c r="I525" s="82">
        <v>1400</v>
      </c>
      <c r="J525" s="5">
        <f>VLOOKUP(I525,Наценка!$A$1:$G$8,2,1)</f>
        <v>1.3</v>
      </c>
      <c r="K525" s="34">
        <f>I525*J525</f>
        <v>1820</v>
      </c>
      <c r="L525" s="70">
        <f>IF(K525&lt;=1000,(ROUNDUP(K525,-1)-1),(ROUNDUP(K525,-2)-10))</f>
        <v>1890</v>
      </c>
      <c r="M525" s="80">
        <f>VLOOKUP($A525,'Выгр Кат'!$A:$R,M$1,0)</f>
        <v>1400</v>
      </c>
      <c r="N525" s="80">
        <f>VLOOKUP($A525,'Выгр Кат'!$A:$R,N$1,0)</f>
        <v>1890</v>
      </c>
      <c r="O525" s="28">
        <f>M525-I525</f>
        <v>0</v>
      </c>
      <c r="P525" s="28">
        <f>N525-L525</f>
        <v>0</v>
      </c>
      <c r="Q525" s="36">
        <f>IFERROR(L525*(1-$Q$2),"")</f>
        <v>1757.6999999999998</v>
      </c>
      <c r="R525" s="38" t="str">
        <f>IFERROR(VLOOKUP($A525,'Из Гугла'!$B:$G,6,0)*S525,VLOOKUP($A525,'Из Гугла'!$B:$G,6,0))</f>
        <v/>
      </c>
      <c r="S525" s="14">
        <v>1</v>
      </c>
      <c r="T525" s="83">
        <f>IFERROR(Q525/I525-1,"")</f>
        <v>0.25549999999999984</v>
      </c>
      <c r="U525" s="83" t="str">
        <f>IFERROR((W525-Q525)/W525,"")</f>
        <v/>
      </c>
      <c r="V525" s="83" t="str">
        <f>IFERROR(IF(W525="","",W525/I525-1),"")</f>
        <v/>
      </c>
      <c r="W525" s="84"/>
    </row>
    <row r="526" spans="1:24" ht="30" x14ac:dyDescent="0.25">
      <c r="A526" s="80">
        <v>145572</v>
      </c>
      <c r="B526" s="80">
        <f>VLOOKUP($A526,'Выгр Кат'!$A:$R,B$1,0)</f>
        <v>4976</v>
      </c>
      <c r="C526" s="81" t="str">
        <f>VLOOKUP($A526,'Выгр Кат'!$A:$R,C$1,0)</f>
        <v>Задние фонари с серой полосой для ВАЗ 2108-21099, 2113, 2114</v>
      </c>
      <c r="D526" s="80" t="str">
        <f>VLOOKUP($A526,'Выгр Кат'!$A:$R,D$1,0)</f>
        <v>Y</v>
      </c>
      <c r="E526" s="80" t="str">
        <f>VLOOKUP($A526,'Выгр Кат'!$A:$R,E$1,0)</f>
        <v>0</v>
      </c>
      <c r="F526" s="80">
        <f>VLOOKUP($A526,'Выгр Кат'!$A:$R,F$1,0)</f>
        <v>0</v>
      </c>
      <c r="G526" s="80" t="str">
        <f>VLOOKUP($A526,'Выгр Кат'!$A:$R,G$1,0)</f>
        <v>https://motorring.ru/product/15994</v>
      </c>
      <c r="H526" s="67" t="s">
        <v>3</v>
      </c>
      <c r="I526" s="82">
        <v>1500</v>
      </c>
      <c r="J526" s="5">
        <f>VLOOKUP(I526,Наценка!$A$1:$G$8,2,1)</f>
        <v>1.3</v>
      </c>
      <c r="K526" s="34">
        <f>I526*J526</f>
        <v>1950</v>
      </c>
      <c r="L526" s="70">
        <f>IF(K526&lt;=1000,(ROUNDUP(K526,-1)-1),(ROUNDUP(K526,-2)-10))</f>
        <v>1990</v>
      </c>
      <c r="M526" s="80">
        <f>VLOOKUP($A526,'Выгр Кат'!$A:$R,M$1,0)</f>
        <v>1500</v>
      </c>
      <c r="N526" s="80">
        <f>VLOOKUP($A526,'Выгр Кат'!$A:$R,N$1,0)</f>
        <v>1990</v>
      </c>
      <c r="O526" s="28">
        <f>M526-I526</f>
        <v>0</v>
      </c>
      <c r="P526" s="28">
        <f>N526-L526</f>
        <v>0</v>
      </c>
      <c r="Q526" s="36">
        <f>IFERROR(L526*(1-$Q$2),"")</f>
        <v>1850.6999999999998</v>
      </c>
      <c r="R526" s="38">
        <f>IFERROR(VLOOKUP($A526,'Из Гугла'!$B:$G,6,0)*S526,VLOOKUP($A526,'Из Гугла'!$B:$G,6,0))</f>
        <v>1990</v>
      </c>
      <c r="S526" s="14">
        <v>1</v>
      </c>
      <c r="T526" s="83">
        <f>IFERROR(Q526/I526-1,"")</f>
        <v>0.23379999999999979</v>
      </c>
      <c r="U526" s="83" t="str">
        <f>IFERROR((W526-Q526)/W526,"")</f>
        <v/>
      </c>
      <c r="V526" s="83" t="str">
        <f>IFERROR(IF(W526="","",W526/I526-1),"")</f>
        <v/>
      </c>
      <c r="W526" s="93" t="s">
        <v>1429</v>
      </c>
      <c r="X526" s="71" t="s">
        <v>845</v>
      </c>
    </row>
    <row r="527" spans="1:24" ht="45" x14ac:dyDescent="0.25">
      <c r="A527" s="80">
        <v>201794</v>
      </c>
      <c r="B527" s="80">
        <f>VLOOKUP($A527,'Выгр Кат'!$A:$R,B$1,0)</f>
        <v>19027</v>
      </c>
      <c r="C527" s="81" t="str">
        <f>VLOOKUP($A527,'Выгр Кат'!$A:$R,C$1,0)</f>
        <v>Противотуманные фары LED (4 линзы, корпус аллюминий, 1 режим) для ВАЗ 2110-2112, 2113-2115</v>
      </c>
      <c r="D527" s="80" t="str">
        <f>VLOOKUP($A527,'Выгр Кат'!$A:$R,D$1,0)</f>
        <v>N</v>
      </c>
      <c r="E527" s="80" t="str">
        <f>VLOOKUP($A527,'Выгр Кат'!$A:$R,E$1,0)</f>
        <v>1</v>
      </c>
      <c r="F527" s="80" t="str">
        <f>VLOOKUP($A527,'Выгр Кат'!$A:$R,F$1,0)</f>
        <v>20S1</v>
      </c>
      <c r="G527" s="80" t="str">
        <f>VLOOKUP($A527,'Выгр Кат'!$A:$R,G$1,0)</f>
        <v>https://motorring.ru/product/24470-svetodiodnye-led-protivotumannye-fary-analog-polosy</v>
      </c>
      <c r="H527" s="67" t="s">
        <v>3</v>
      </c>
      <c r="I527" s="82">
        <v>1500</v>
      </c>
      <c r="J527" s="5">
        <f>VLOOKUP(I527,Наценка!$A$1:$G$8,2,1)</f>
        <v>1.3</v>
      </c>
      <c r="K527" s="90">
        <f>W527*1.04</f>
        <v>2277.6</v>
      </c>
      <c r="L527" s="70">
        <f>IF(K527&lt;=1000,(ROUNDUP(K527,-1)-1),(ROUNDUP(K527,-2)-10))</f>
        <v>2290</v>
      </c>
      <c r="M527" s="80">
        <f>VLOOKUP($A527,'Выгр Кат'!$A:$R,M$1,0)</f>
        <v>1500</v>
      </c>
      <c r="N527" s="80">
        <f>VLOOKUP($A527,'Выгр Кат'!$A:$R,N$1,0)</f>
        <v>2290</v>
      </c>
      <c r="O527" s="28">
        <f>M527-I527</f>
        <v>0</v>
      </c>
      <c r="P527" s="28">
        <f>N527-L527</f>
        <v>0</v>
      </c>
      <c r="Q527" s="36">
        <f>IFERROR(L527*(1-$Q$2),"")</f>
        <v>2129.6999999999998</v>
      </c>
      <c r="R527" s="38">
        <f>IFERROR(VLOOKUP($A527,'Из Гугла'!$B:$G,6,0)*S527,VLOOKUP($A527,'Из Гугла'!$B:$G,6,0))</f>
        <v>2190</v>
      </c>
      <c r="S527" s="14">
        <v>1</v>
      </c>
      <c r="T527" s="83">
        <f>IFERROR(Q527/I527-1,"")</f>
        <v>0.41979999999999995</v>
      </c>
      <c r="U527" s="83">
        <f>IFERROR((W527-Q527)/W527,"")</f>
        <v>2.753424657534255E-2</v>
      </c>
      <c r="V527" s="83">
        <f>IFERROR(IF(W527="","",W527/I527-1),"")</f>
        <v>0.45999999999999996</v>
      </c>
      <c r="W527" s="93">
        <v>2190</v>
      </c>
      <c r="X527" s="71" t="s">
        <v>850</v>
      </c>
    </row>
    <row r="528" spans="1:24" ht="30" x14ac:dyDescent="0.25">
      <c r="A528" s="80">
        <v>211453</v>
      </c>
      <c r="B528" s="80">
        <f>VLOOKUP($A528,'Выгр Кат'!$A:$R,B$1,0)</f>
        <v>4536</v>
      </c>
      <c r="C528" s="81" t="str">
        <f>VLOOKUP($A528,'Выгр Кат'!$A:$R,C$1,0)</f>
        <v xml:space="preserve">Руль F1 Sport черный для ВАЗ </v>
      </c>
      <c r="D528" s="80" t="str">
        <f>VLOOKUP($A528,'Выгр Кат'!$A:$R,D$1,0)</f>
        <v>Y</v>
      </c>
      <c r="E528" s="80" t="str">
        <f>VLOOKUP($A528,'Выгр Кат'!$A:$R,E$1,0)</f>
        <v>0</v>
      </c>
      <c r="F528" s="80" t="str">
        <f>VLOOKUP($A528,'Выгр Кат'!$A:$R,F$1,0)</f>
        <v>4189</v>
      </c>
      <c r="G528" s="80">
        <f>VLOOKUP($A528,'Выгр Кат'!$A:$R,G$1,0)</f>
        <v>0</v>
      </c>
      <c r="H528" s="67" t="s">
        <v>3</v>
      </c>
      <c r="I528" s="82">
        <v>1500</v>
      </c>
      <c r="J528" s="5">
        <f>VLOOKUP(I528,Наценка!$A$1:$G$8,2,1)</f>
        <v>1.3</v>
      </c>
      <c r="K528" s="34">
        <f>I528*J528</f>
        <v>1950</v>
      </c>
      <c r="L528" s="70">
        <f>IF(K528&lt;=1000,(ROUNDUP(K528,-1)-1),(ROUNDUP(K528,-2)-10))</f>
        <v>1990</v>
      </c>
      <c r="M528" s="80">
        <f>VLOOKUP($A528,'Выгр Кат'!$A:$R,M$1,0)</f>
        <v>1500</v>
      </c>
      <c r="N528" s="80">
        <f>VLOOKUP($A528,'Выгр Кат'!$A:$R,N$1,0)</f>
        <v>1990</v>
      </c>
      <c r="O528" s="28">
        <f>M528-I528</f>
        <v>0</v>
      </c>
      <c r="P528" s="28">
        <f>N528-L528</f>
        <v>0</v>
      </c>
      <c r="Q528" s="36">
        <f>IFERROR(L528*(1-$Q$2),"")</f>
        <v>1850.6999999999998</v>
      </c>
      <c r="R528" s="38" t="str">
        <f>IFERROR(VLOOKUP($A528,'Из Гугла'!$B:$G,6,0)*S528,VLOOKUP($A528,'Из Гугла'!$B:$G,6,0))</f>
        <v/>
      </c>
      <c r="S528" s="14">
        <v>1</v>
      </c>
      <c r="T528" s="83">
        <f>IFERROR(Q528/I528-1,"")</f>
        <v>0.23379999999999979</v>
      </c>
      <c r="U528" s="83" t="str">
        <f>IFERROR((W528-Q528)/W528,"")</f>
        <v/>
      </c>
      <c r="V528" s="83" t="str">
        <f>IFERROR(IF(W528="","",W528/I528-1),"")</f>
        <v/>
      </c>
      <c r="W528" s="84"/>
    </row>
    <row r="529" spans="1:24" ht="45" x14ac:dyDescent="0.25">
      <c r="A529" s="80">
        <v>138435</v>
      </c>
      <c r="B529" s="80">
        <f>VLOOKUP($A529,'Выгр Кат'!$A:$R,B$1,0)</f>
        <v>6409</v>
      </c>
      <c r="C529" s="81" t="str">
        <f>VLOOKUP($A529,'Выгр Кат'!$A:$R,C$1,0)</f>
        <v>Боковые зеркала "Питер" механические (карбон) для ВАЗ 2104, 2105, 2107</v>
      </c>
      <c r="D529" s="80" t="str">
        <f>VLOOKUP($A529,'Выгр Кат'!$A:$R,D$1,0)</f>
        <v>Y</v>
      </c>
      <c r="E529" s="80" t="str">
        <f>VLOOKUP($A529,'Выгр Кат'!$A:$R,E$1,0)</f>
        <v>0</v>
      </c>
      <c r="F529" s="80" t="str">
        <f>VLOOKUP($A529,'Выгр Кат'!$A:$R,F$1,0)</f>
        <v>YH-3386-M-CB-07</v>
      </c>
      <c r="G529" s="80">
        <f>VLOOKUP($A529,'Выгр Кат'!$A:$R,G$1,0)</f>
        <v>0</v>
      </c>
      <c r="H529" s="67" t="s">
        <v>3</v>
      </c>
      <c r="I529" s="82">
        <v>1500</v>
      </c>
      <c r="J529" s="5">
        <f>VLOOKUP(I529,Наценка!$A$1:$G$8,2,1)</f>
        <v>1.3</v>
      </c>
      <c r="K529" s="34">
        <f>I529*J529</f>
        <v>1950</v>
      </c>
      <c r="L529" s="70">
        <f>IF(K529&lt;=1000,(ROUNDUP(K529,-1)-1),(ROUNDUP(K529,-2)-10))</f>
        <v>1990</v>
      </c>
      <c r="M529" s="80">
        <f>VLOOKUP($A529,'Выгр Кат'!$A:$R,M$1,0)</f>
        <v>1500</v>
      </c>
      <c r="N529" s="80">
        <f>VLOOKUP($A529,'Выгр Кат'!$A:$R,N$1,0)</f>
        <v>1990</v>
      </c>
      <c r="O529" s="28">
        <f>M529-I529</f>
        <v>0</v>
      </c>
      <c r="P529" s="28">
        <f>N529-L529</f>
        <v>0</v>
      </c>
      <c r="Q529" s="36">
        <f>IFERROR(L529*(1-$Q$2),"")</f>
        <v>1850.6999999999998</v>
      </c>
      <c r="R529" s="38" t="str">
        <f>IFERROR(VLOOKUP($A529,'Из Гугла'!$B:$G,6,0)*S529,VLOOKUP($A529,'Из Гугла'!$B:$G,6,0))</f>
        <v/>
      </c>
      <c r="S529" s="14">
        <v>1</v>
      </c>
      <c r="T529" s="83">
        <f>IFERROR(Q529/I529-1,"")</f>
        <v>0.23379999999999979</v>
      </c>
      <c r="U529" s="83" t="str">
        <f>IFERROR((W529-Q529)/W529,"")</f>
        <v/>
      </c>
      <c r="V529" s="83" t="str">
        <f>IFERROR(IF(W529="","",W529/I529-1),"")</f>
        <v/>
      </c>
      <c r="W529" s="84" t="s">
        <v>1428</v>
      </c>
    </row>
    <row r="530" spans="1:24" ht="45" x14ac:dyDescent="0.25">
      <c r="A530" s="80">
        <v>138407</v>
      </c>
      <c r="B530" s="80">
        <f>VLOOKUP($A530,'Выгр Кат'!$A:$R,B$1,0)</f>
        <v>6408</v>
      </c>
      <c r="C530" s="81" t="str">
        <f>VLOOKUP($A530,'Выгр Кат'!$A:$R,C$1,0)</f>
        <v>Боковые зеркала "Волна" механические (белые) для ВАЗ 2104, 2105, 2107</v>
      </c>
      <c r="D530" s="80" t="str">
        <f>VLOOKUP($A530,'Выгр Кат'!$A:$R,D$1,0)</f>
        <v>Y</v>
      </c>
      <c r="E530" s="80" t="str">
        <f>VLOOKUP($A530,'Выгр Кат'!$A:$R,E$1,0)</f>
        <v>0</v>
      </c>
      <c r="F530" s="80">
        <f>VLOOKUP($A530,'Выгр Кат'!$A:$R,F$1,0)</f>
        <v>0</v>
      </c>
      <c r="G530" s="80">
        <f>VLOOKUP($A530,'Выгр Кат'!$A:$R,G$1,0)</f>
        <v>0</v>
      </c>
      <c r="H530" s="67" t="s">
        <v>3</v>
      </c>
      <c r="I530" s="82">
        <v>1500</v>
      </c>
      <c r="J530" s="5">
        <f>VLOOKUP(I530,Наценка!$A$1:$G$8,2,1)</f>
        <v>1.3</v>
      </c>
      <c r="K530" s="34">
        <f>I530*J530</f>
        <v>1950</v>
      </c>
      <c r="L530" s="70">
        <f>IF(K530&lt;=1000,(ROUNDUP(K530,-1)-1),(ROUNDUP(K530,-2)-10))</f>
        <v>1990</v>
      </c>
      <c r="M530" s="80">
        <f>VLOOKUP($A530,'Выгр Кат'!$A:$R,M$1,0)</f>
        <v>1500</v>
      </c>
      <c r="N530" s="80">
        <f>VLOOKUP($A530,'Выгр Кат'!$A:$R,N$1,0)</f>
        <v>1990</v>
      </c>
      <c r="O530" s="28">
        <f>M530-I530</f>
        <v>0</v>
      </c>
      <c r="P530" s="28">
        <f>N530-L530</f>
        <v>0</v>
      </c>
      <c r="Q530" s="36">
        <f>IFERROR(L530*(1-$Q$2),"")</f>
        <v>1850.6999999999998</v>
      </c>
      <c r="R530" s="38" t="str">
        <f>IFERROR(VLOOKUP($A530,'Из Гугла'!$B:$G,6,0)*S530,VLOOKUP($A530,'Из Гугла'!$B:$G,6,0))</f>
        <v/>
      </c>
      <c r="S530" s="14">
        <v>1</v>
      </c>
      <c r="T530" s="83">
        <f>IFERROR(Q530/I530-1,"")</f>
        <v>0.23379999999999979</v>
      </c>
      <c r="U530" s="83" t="str">
        <f>IFERROR((W530-Q530)/W530,"")</f>
        <v/>
      </c>
      <c r="V530" s="83" t="str">
        <f>IFERROR(IF(W530="","",W530/I530-1),"")</f>
        <v/>
      </c>
      <c r="W530" s="93" t="s">
        <v>1428</v>
      </c>
    </row>
    <row r="531" spans="1:24" ht="30" x14ac:dyDescent="0.25">
      <c r="A531" s="80">
        <v>201809</v>
      </c>
      <c r="B531" s="80">
        <f>VLOOKUP($A531,'Выгр Кат'!$A:$R,B$1,0)</f>
        <v>4249</v>
      </c>
      <c r="C531" s="81" t="str">
        <f>VLOOKUP($A531,'Выгр Кат'!$A:$R,C$1,0)</f>
        <v>Противотуманные фары с линзами, с рамками для Лада Калина</v>
      </c>
      <c r="D531" s="80" t="str">
        <f>VLOOKUP($A531,'Выгр Кат'!$A:$R,D$1,0)</f>
        <v>Y</v>
      </c>
      <c r="E531" s="80" t="str">
        <f>VLOOKUP($A531,'Выгр Кат'!$A:$R,E$1,0)</f>
        <v>0</v>
      </c>
      <c r="F531" s="80" t="str">
        <f>VLOOKUP($A531,'Выгр Кат'!$A:$R,F$1,0)</f>
        <v>LD-271</v>
      </c>
      <c r="G531" s="80">
        <f>VLOOKUP($A531,'Выгр Кат'!$A:$R,G$1,0)</f>
        <v>0</v>
      </c>
      <c r="H531" s="67" t="s">
        <v>3</v>
      </c>
      <c r="I531" s="82">
        <v>1500</v>
      </c>
      <c r="J531" s="5">
        <f>VLOOKUP(I531,Наценка!$A$1:$G$8,2,1)</f>
        <v>1.3</v>
      </c>
      <c r="K531" s="34">
        <f>I531*J531</f>
        <v>1950</v>
      </c>
      <c r="L531" s="70">
        <f>IF(K531&lt;=1000,(ROUNDUP(K531,-1)-1),(ROUNDUP(K531,-2)-10))</f>
        <v>1990</v>
      </c>
      <c r="M531" s="80">
        <f>VLOOKUP($A531,'Выгр Кат'!$A:$R,M$1,0)</f>
        <v>1500</v>
      </c>
      <c r="N531" s="80">
        <f>VLOOKUP($A531,'Выгр Кат'!$A:$R,N$1,0)</f>
        <v>1990</v>
      </c>
      <c r="O531" s="28">
        <f>M531-I531</f>
        <v>0</v>
      </c>
      <c r="P531" s="28">
        <f>N531-L531</f>
        <v>0</v>
      </c>
      <c r="Q531" s="36">
        <f>IFERROR(L531*(1-$Q$2),"")</f>
        <v>1850.6999999999998</v>
      </c>
      <c r="R531" s="38" t="str">
        <f>IFERROR(VLOOKUP($A531,'Из Гугла'!$B:$G,6,0)*S531,VLOOKUP($A531,'Из Гугла'!$B:$G,6,0))</f>
        <v/>
      </c>
      <c r="S531" s="14">
        <v>1</v>
      </c>
      <c r="T531" s="83">
        <f>IFERROR(Q531/I531-1,"")</f>
        <v>0.23379999999999979</v>
      </c>
      <c r="U531" s="83" t="str">
        <f>IFERROR((W531-Q531)/W531,"")</f>
        <v/>
      </c>
      <c r="V531" s="83" t="str">
        <f>IFERROR(IF(W531="","",W531/I531-1),"")</f>
        <v/>
      </c>
      <c r="W531" s="84"/>
    </row>
    <row r="532" spans="1:24" ht="30" x14ac:dyDescent="0.25">
      <c r="A532" s="80">
        <v>145569</v>
      </c>
      <c r="B532" s="80">
        <f>VLOOKUP($A532,'Выгр Кат'!$A:$R,B$1,0)</f>
        <v>4929</v>
      </c>
      <c r="C532" s="81" t="str">
        <f>VLOOKUP($A532,'Выгр Кат'!$A:$R,C$1,0)</f>
        <v>Задние фонари с красной полосой для ВАЗ 2108-21099, 2113, 2114</v>
      </c>
      <c r="D532" s="80" t="str">
        <f>VLOOKUP($A532,'Выгр Кат'!$A:$R,D$1,0)</f>
        <v>Y</v>
      </c>
      <c r="E532" s="80" t="str">
        <f>VLOOKUP($A532,'Выгр Кат'!$A:$R,E$1,0)</f>
        <v>0</v>
      </c>
      <c r="F532" s="80">
        <f>VLOOKUP($A532,'Выгр Кат'!$A:$R,F$1,0)</f>
        <v>0</v>
      </c>
      <c r="G532" s="80" t="str">
        <f>VLOOKUP($A532,'Выгр Кат'!$A:$R,G$1,0)</f>
        <v>https://motorring.ru/product/4252-zadnie-fonari-krasnoy-polosoy-vaz-2108-21099-2113-2114</v>
      </c>
      <c r="H532" s="67" t="s">
        <v>3</v>
      </c>
      <c r="I532" s="82">
        <v>1600</v>
      </c>
      <c r="J532" s="5">
        <f>VLOOKUP(I532,Наценка!$A$1:$G$8,2,1)</f>
        <v>1.3</v>
      </c>
      <c r="K532" s="90">
        <f>W532*1.04</f>
        <v>2069.6</v>
      </c>
      <c r="L532" s="70">
        <f>IF(K532&lt;=1000,(ROUNDUP(K532,-1)-1),(ROUNDUP(K532,-2)-10))</f>
        <v>2090</v>
      </c>
      <c r="M532" s="80">
        <f>VLOOKUP($A532,'Выгр Кат'!$A:$R,M$1,0)</f>
        <v>1600</v>
      </c>
      <c r="N532" s="80">
        <f>VLOOKUP($A532,'Выгр Кат'!$A:$R,N$1,0)</f>
        <v>2090</v>
      </c>
      <c r="O532" s="28">
        <f>M532-I532</f>
        <v>0</v>
      </c>
      <c r="P532" s="28">
        <f>N532-L532</f>
        <v>0</v>
      </c>
      <c r="Q532" s="36">
        <f>IFERROR(L532*(1-$Q$2),"")</f>
        <v>1943.6999999999998</v>
      </c>
      <c r="R532" s="38">
        <f>IFERROR(VLOOKUP($A532,'Из Гугла'!$B:$G,6,0)*S532,VLOOKUP($A532,'Из Гугла'!$B:$G,6,0))</f>
        <v>1990</v>
      </c>
      <c r="S532" s="14">
        <v>1</v>
      </c>
      <c r="T532" s="83">
        <f>IFERROR(Q532/I532-1,"")</f>
        <v>0.21481249999999985</v>
      </c>
      <c r="U532" s="83">
        <f>IFERROR((W532-Q532)/W532,"")</f>
        <v>2.3266331658291547E-2</v>
      </c>
      <c r="V532" s="83">
        <f>IFERROR(IF(W532="","",W532/I532-1),"")</f>
        <v>0.24374999999999991</v>
      </c>
      <c r="W532" s="93">
        <v>1990</v>
      </c>
      <c r="X532" s="71" t="s">
        <v>770</v>
      </c>
    </row>
    <row r="533" spans="1:24" ht="45" x14ac:dyDescent="0.25">
      <c r="A533" s="80">
        <v>138409</v>
      </c>
      <c r="B533" s="80">
        <f>VLOOKUP($A533,'Выгр Кат'!$A:$R,B$1,0)</f>
        <v>6406</v>
      </c>
      <c r="C533" s="81" t="str">
        <f>VLOOKUP($A533,'Выгр Кат'!$A:$R,C$1,0)</f>
        <v>Боковые зеркала "Волна" механические (чёрные) для ВАЗ 2104, 2105, 2107</v>
      </c>
      <c r="D533" s="80" t="str">
        <f>VLOOKUP($A533,'Выгр Кат'!$A:$R,D$1,0)</f>
        <v>Y</v>
      </c>
      <c r="E533" s="80" t="str">
        <f>VLOOKUP($A533,'Выгр Кат'!$A:$R,E$1,0)</f>
        <v>0</v>
      </c>
      <c r="F533" s="80">
        <f>VLOOKUP($A533,'Выгр Кат'!$A:$R,F$1,0)</f>
        <v>0</v>
      </c>
      <c r="G533" s="80" t="str">
        <f>VLOOKUP($A533,'Выгр Кат'!$A:$R,G$1,0)</f>
        <v>https://motorring.ru/product/15995-bokovye-zerkala-volna-chernye-vaz-2104-2105-2107</v>
      </c>
      <c r="H533" s="67" t="s">
        <v>3</v>
      </c>
      <c r="I533" s="82">
        <v>1600</v>
      </c>
      <c r="J533" s="5">
        <f>VLOOKUP(I533,Наценка!$A$1:$G$8,2,1)</f>
        <v>1.3</v>
      </c>
      <c r="K533" s="90">
        <f>W533*1.04</f>
        <v>2069.6</v>
      </c>
      <c r="L533" s="70">
        <f>IF(K533&lt;=1000,(ROUNDUP(K533,-1)-1),(ROUNDUP(K533,-2)-10))</f>
        <v>2090</v>
      </c>
      <c r="M533" s="80">
        <f>VLOOKUP($A533,'Выгр Кат'!$A:$R,M$1,0)</f>
        <v>1600</v>
      </c>
      <c r="N533" s="80">
        <f>VLOOKUP($A533,'Выгр Кат'!$A:$R,N$1,0)</f>
        <v>2090</v>
      </c>
      <c r="O533" s="28">
        <f>M533-I533</f>
        <v>0</v>
      </c>
      <c r="P533" s="28">
        <f>N533-L533</f>
        <v>0</v>
      </c>
      <c r="Q533" s="36">
        <f>IFERROR(L533*(1-$Q$2),"")</f>
        <v>1943.6999999999998</v>
      </c>
      <c r="R533" s="38">
        <f>IFERROR(VLOOKUP($A533,'Из Гугла'!$B:$G,6,0)*S533,VLOOKUP($A533,'Из Гугла'!$B:$G,6,0))</f>
        <v>1990</v>
      </c>
      <c r="S533" s="14">
        <v>1</v>
      </c>
      <c r="T533" s="83">
        <f>IFERROR(Q533/I533-1,"")</f>
        <v>0.21481249999999985</v>
      </c>
      <c r="U533" s="83">
        <f>IFERROR((W533-Q533)/W533,"")</f>
        <v>2.3266331658291547E-2</v>
      </c>
      <c r="V533" s="83">
        <f>IFERROR(IF(W533="","",W533/I533-1),"")</f>
        <v>0.24374999999999991</v>
      </c>
      <c r="W533" s="93">
        <v>1990</v>
      </c>
      <c r="X533" s="71" t="s">
        <v>852</v>
      </c>
    </row>
    <row r="534" spans="1:24" ht="30" x14ac:dyDescent="0.25">
      <c r="A534" s="80">
        <v>211454</v>
      </c>
      <c r="B534" s="80">
        <f>VLOOKUP($A534,'Выгр Кат'!$A:$R,B$1,0)</f>
        <v>4504</v>
      </c>
      <c r="C534" s="81" t="str">
        <f>VLOOKUP($A534,'Выгр Кат'!$A:$R,C$1,0)</f>
        <v>Руль Nardi для ВАЗ, замша</v>
      </c>
      <c r="D534" s="80" t="str">
        <f>VLOOKUP($A534,'Выгр Кат'!$A:$R,D$1,0)</f>
        <v>Y</v>
      </c>
      <c r="E534" s="80" t="str">
        <f>VLOOKUP($A534,'Выгр Кат'!$A:$R,E$1,0)</f>
        <v>0</v>
      </c>
      <c r="F534" s="80" t="str">
        <f>VLOOKUP($A534,'Выгр Кат'!$A:$R,F$1,0)</f>
        <v>8919</v>
      </c>
      <c r="G534" s="80">
        <f>VLOOKUP($A534,'Выгр Кат'!$A:$R,G$1,0)</f>
        <v>0</v>
      </c>
      <c r="H534" s="67" t="s">
        <v>3</v>
      </c>
      <c r="I534" s="82">
        <v>1600</v>
      </c>
      <c r="J534" s="5">
        <f>VLOOKUP(I534,Наценка!$A$1:$G$8,2,1)</f>
        <v>1.3</v>
      </c>
      <c r="K534" s="34">
        <f>I534*J534</f>
        <v>2080</v>
      </c>
      <c r="L534" s="70">
        <f>IF(K534&lt;=1000,(ROUNDUP(K534,-1)-1),(ROUNDUP(K534,-2)-10))</f>
        <v>2090</v>
      </c>
      <c r="M534" s="80">
        <f>VLOOKUP($A534,'Выгр Кат'!$A:$R,M$1,0)</f>
        <v>1600</v>
      </c>
      <c r="N534" s="80">
        <f>VLOOKUP($A534,'Выгр Кат'!$A:$R,N$1,0)</f>
        <v>2090</v>
      </c>
      <c r="O534" s="28">
        <f>M534-I534</f>
        <v>0</v>
      </c>
      <c r="P534" s="28">
        <f>N534-L534</f>
        <v>0</v>
      </c>
      <c r="Q534" s="36">
        <f>IFERROR(L534*(1-$Q$2),"")</f>
        <v>1943.6999999999998</v>
      </c>
      <c r="R534" s="38" t="str">
        <f>IFERROR(VLOOKUP($A534,'Из Гугла'!$B:$G,6,0)*S534,VLOOKUP($A534,'Из Гугла'!$B:$G,6,0))</f>
        <v/>
      </c>
      <c r="S534" s="14">
        <v>1</v>
      </c>
      <c r="T534" s="83">
        <f>IFERROR(Q534/I534-1,"")</f>
        <v>0.21481249999999985</v>
      </c>
      <c r="U534" s="83" t="str">
        <f>IFERROR((W534-Q534)/W534,"")</f>
        <v/>
      </c>
      <c r="V534" s="83" t="str">
        <f>IFERROR(IF(W534="","",W534/I534-1),"")</f>
        <v/>
      </c>
      <c r="W534" s="84"/>
    </row>
    <row r="535" spans="1:24" ht="30" x14ac:dyDescent="0.25">
      <c r="A535" s="80">
        <v>211455</v>
      </c>
      <c r="B535" s="80">
        <f>VLOOKUP($A535,'Выгр Кат'!$A:$R,B$1,0)</f>
        <v>4556</v>
      </c>
      <c r="C535" s="81" t="str">
        <f>VLOOKUP($A535,'Выгр Кат'!$A:$R,C$1,0)</f>
        <v>Руль R1 Drifting "CANADA" синий глубокий для ВАЗ</v>
      </c>
      <c r="D535" s="80" t="str">
        <f>VLOOKUP($A535,'Выгр Кат'!$A:$R,D$1,0)</f>
        <v>Y</v>
      </c>
      <c r="E535" s="80" t="str">
        <f>VLOOKUP($A535,'Выгр Кат'!$A:$R,E$1,0)</f>
        <v>0</v>
      </c>
      <c r="F535" s="80">
        <f>VLOOKUP($A535,'Выгр Кат'!$A:$R,F$1,0)</f>
        <v>0</v>
      </c>
      <c r="G535" s="80">
        <f>VLOOKUP($A535,'Выгр Кат'!$A:$R,G$1,0)</f>
        <v>0</v>
      </c>
      <c r="H535" s="67" t="s">
        <v>3</v>
      </c>
      <c r="I535" s="82">
        <v>1600</v>
      </c>
      <c r="J535" s="5">
        <f>VLOOKUP(I535,Наценка!$A$1:$G$8,2,1)</f>
        <v>1.3</v>
      </c>
      <c r="K535" s="34">
        <f>I535*J535</f>
        <v>2080</v>
      </c>
      <c r="L535" s="70">
        <f>IF(K535&lt;=1000,(ROUNDUP(K535,-1)-1),(ROUNDUP(K535,-2)-10))</f>
        <v>2090</v>
      </c>
      <c r="M535" s="80">
        <f>VLOOKUP($A535,'Выгр Кат'!$A:$R,M$1,0)</f>
        <v>1600</v>
      </c>
      <c r="N535" s="80">
        <f>VLOOKUP($A535,'Выгр Кат'!$A:$R,N$1,0)</f>
        <v>2090</v>
      </c>
      <c r="O535" s="28">
        <f>M535-I535</f>
        <v>0</v>
      </c>
      <c r="P535" s="28">
        <f>N535-L535</f>
        <v>0</v>
      </c>
      <c r="Q535" s="36">
        <f>IFERROR(L535*(1-$Q$2),"")</f>
        <v>1943.6999999999998</v>
      </c>
      <c r="R535" s="38" t="str">
        <f>IFERROR(VLOOKUP($A535,'Из Гугла'!$B:$G,6,0)*S535,VLOOKUP($A535,'Из Гугла'!$B:$G,6,0))</f>
        <v/>
      </c>
      <c r="S535" s="14">
        <v>1</v>
      </c>
      <c r="T535" s="83">
        <f>IFERROR(Q535/I535-1,"")</f>
        <v>0.21481249999999985</v>
      </c>
      <c r="U535" s="83" t="str">
        <f>IFERROR((W535-Q535)/W535,"")</f>
        <v/>
      </c>
      <c r="V535" s="83" t="str">
        <f>IFERROR(IF(W535="","",W535/I535-1),"")</f>
        <v/>
      </c>
      <c r="W535" s="84"/>
    </row>
    <row r="536" spans="1:24" ht="30" x14ac:dyDescent="0.25">
      <c r="A536" s="80">
        <v>145576</v>
      </c>
      <c r="B536" s="80">
        <f>VLOOKUP($A536,'Выгр Кат'!$A:$R,B$1,0)</f>
        <v>5092</v>
      </c>
      <c r="C536" s="81" t="str">
        <f>VLOOKUP($A536,'Выгр Кат'!$A:$R,C$1,0)</f>
        <v>Задние фонари светодиодные (тонированные) для ВАЗ 2105, 2107</v>
      </c>
      <c r="D536" s="80" t="str">
        <f>VLOOKUP($A536,'Выгр Кат'!$A:$R,D$1,0)</f>
        <v>Y</v>
      </c>
      <c r="E536" s="80" t="str">
        <f>VLOOKUP($A536,'Выгр Кат'!$A:$R,E$1,0)</f>
        <v>0</v>
      </c>
      <c r="F536" s="80">
        <f>VLOOKUP($A536,'Выгр Кат'!$A:$R,F$1,0)</f>
        <v>0</v>
      </c>
      <c r="G536" s="80">
        <f>VLOOKUP($A536,'Выгр Кат'!$A:$R,G$1,0)</f>
        <v>0</v>
      </c>
      <c r="H536" s="67" t="s">
        <v>3</v>
      </c>
      <c r="I536" s="82">
        <v>1600</v>
      </c>
      <c r="J536" s="5">
        <f>VLOOKUP(I536,Наценка!$A$1:$G$8,2,1)</f>
        <v>1.3</v>
      </c>
      <c r="K536" s="34">
        <f>I536*J536</f>
        <v>2080</v>
      </c>
      <c r="L536" s="70">
        <f>IF(K536&lt;=1000,(ROUNDUP(K536,-1)-1),(ROUNDUP(K536,-2)-10))</f>
        <v>2090</v>
      </c>
      <c r="M536" s="80">
        <f>VLOOKUP($A536,'Выгр Кат'!$A:$R,M$1,0)</f>
        <v>1600</v>
      </c>
      <c r="N536" s="80">
        <f>VLOOKUP($A536,'Выгр Кат'!$A:$R,N$1,0)</f>
        <v>2090</v>
      </c>
      <c r="O536" s="28">
        <f>M536-I536</f>
        <v>0</v>
      </c>
      <c r="P536" s="28">
        <f>N536-L536</f>
        <v>0</v>
      </c>
      <c r="Q536" s="36">
        <f>IFERROR(L536*(1-$Q$2),"")</f>
        <v>1943.6999999999998</v>
      </c>
      <c r="R536" s="38" t="str">
        <f>IFERROR(VLOOKUP($A536,'Из Гугла'!$B:$G,6,0)*S536,VLOOKUP($A536,'Из Гугла'!$B:$G,6,0))</f>
        <v/>
      </c>
      <c r="S536" s="14">
        <v>1</v>
      </c>
      <c r="T536" s="83">
        <f>IFERROR(Q536/I536-1,"")</f>
        <v>0.21481249999999985</v>
      </c>
      <c r="U536" s="83" t="str">
        <f>IFERROR((W536-Q536)/W536,"")</f>
        <v/>
      </c>
      <c r="V536" s="83" t="str">
        <f>IFERROR(IF(W536="","",W536/I536-1),"")</f>
        <v/>
      </c>
      <c r="W536" s="84"/>
    </row>
    <row r="537" spans="1:24" ht="30" x14ac:dyDescent="0.25">
      <c r="A537" s="80">
        <v>145578</v>
      </c>
      <c r="B537" s="80">
        <f>VLOOKUP($A537,'Выгр Кат'!$A:$R,B$1,0)</f>
        <v>5093</v>
      </c>
      <c r="C537" s="81" t="str">
        <f>VLOOKUP($A537,'Выгр Кат'!$A:$R,C$1,0)</f>
        <v>Задние фонари светодиодные (хром) для ВАЗ 2105, 2107</v>
      </c>
      <c r="D537" s="80" t="str">
        <f>VLOOKUP($A537,'Выгр Кат'!$A:$R,D$1,0)</f>
        <v>Y</v>
      </c>
      <c r="E537" s="80" t="str">
        <f>VLOOKUP($A537,'Выгр Кат'!$A:$R,E$1,0)</f>
        <v>0</v>
      </c>
      <c r="F537" s="80">
        <f>VLOOKUP($A537,'Выгр Кат'!$A:$R,F$1,0)</f>
        <v>0</v>
      </c>
      <c r="G537" s="80">
        <f>VLOOKUP($A537,'Выгр Кат'!$A:$R,G$1,0)</f>
        <v>0</v>
      </c>
      <c r="H537" s="67" t="s">
        <v>3</v>
      </c>
      <c r="I537" s="82">
        <v>1600</v>
      </c>
      <c r="J537" s="5">
        <f>VLOOKUP(I537,Наценка!$A$1:$G$8,2,1)</f>
        <v>1.3</v>
      </c>
      <c r="K537" s="34">
        <f>I537*J537</f>
        <v>2080</v>
      </c>
      <c r="L537" s="70">
        <f>IF(K537&lt;=1000,(ROUNDUP(K537,-1)-1),(ROUNDUP(K537,-2)-10))</f>
        <v>2090</v>
      </c>
      <c r="M537" s="80">
        <f>VLOOKUP($A537,'Выгр Кат'!$A:$R,M$1,0)</f>
        <v>1600</v>
      </c>
      <c r="N537" s="80">
        <f>VLOOKUP($A537,'Выгр Кат'!$A:$R,N$1,0)</f>
        <v>2090</v>
      </c>
      <c r="O537" s="28">
        <f>M537-I537</f>
        <v>0</v>
      </c>
      <c r="P537" s="28">
        <f>N537-L537</f>
        <v>0</v>
      </c>
      <c r="Q537" s="36">
        <f>IFERROR(L537*(1-$Q$2),"")</f>
        <v>1943.6999999999998</v>
      </c>
      <c r="R537" s="38" t="str">
        <f>IFERROR(VLOOKUP($A537,'Из Гугла'!$B:$G,6,0)*S537,VLOOKUP($A537,'Из Гугла'!$B:$G,6,0))</f>
        <v/>
      </c>
      <c r="S537" s="14">
        <v>1</v>
      </c>
      <c r="T537" s="83">
        <f>IFERROR(Q537/I537-1,"")</f>
        <v>0.21481249999999985</v>
      </c>
      <c r="U537" s="83" t="str">
        <f>IFERROR((W537-Q537)/W537,"")</f>
        <v/>
      </c>
      <c r="V537" s="83" t="str">
        <f>IFERROR(IF(W537="","",W537/I537-1),"")</f>
        <v/>
      </c>
      <c r="W537" s="84"/>
    </row>
    <row r="538" spans="1:24" ht="30" x14ac:dyDescent="0.25">
      <c r="A538" s="80">
        <v>187496</v>
      </c>
      <c r="B538" s="80">
        <f>VLOOKUP($A538,'Выгр Кат'!$A:$R,B$1,0)</f>
        <v>5098</v>
      </c>
      <c r="C538" s="81" t="str">
        <f>VLOOKUP($A538,'Выгр Кат'!$A:$R,C$1,0)</f>
        <v>Передние фары с ДХО хром для ВАЗ 2104, 2105, 2107</v>
      </c>
      <c r="D538" s="80" t="str">
        <f>VLOOKUP($A538,'Выгр Кат'!$A:$R,D$1,0)</f>
        <v>Y</v>
      </c>
      <c r="E538" s="80" t="str">
        <f>VLOOKUP($A538,'Выгр Кат'!$A:$R,E$1,0)</f>
        <v>0</v>
      </c>
      <c r="F538" s="80">
        <f>VLOOKUP($A538,'Выгр Кат'!$A:$R,F$1,0)</f>
        <v>0</v>
      </c>
      <c r="G538" s="80">
        <f>VLOOKUP($A538,'Выгр Кат'!$A:$R,G$1,0)</f>
        <v>0</v>
      </c>
      <c r="H538" s="67" t="s">
        <v>3</v>
      </c>
      <c r="I538" s="82">
        <v>1600</v>
      </c>
      <c r="J538" s="5">
        <f>VLOOKUP(I538,Наценка!$A$1:$G$8,2,1)</f>
        <v>1.3</v>
      </c>
      <c r="K538" s="34">
        <f>I538*J538</f>
        <v>2080</v>
      </c>
      <c r="L538" s="70">
        <f>IF(K538&lt;=1000,(ROUNDUP(K538,-1)-1),(ROUNDUP(K538,-2)-10))</f>
        <v>2090</v>
      </c>
      <c r="M538" s="80">
        <f>VLOOKUP($A538,'Выгр Кат'!$A:$R,M$1,0)</f>
        <v>1600</v>
      </c>
      <c r="N538" s="80">
        <f>VLOOKUP($A538,'Выгр Кат'!$A:$R,N$1,0)</f>
        <v>2090</v>
      </c>
      <c r="O538" s="28">
        <f>M538-I538</f>
        <v>0</v>
      </c>
      <c r="P538" s="28">
        <f>N538-L538</f>
        <v>0</v>
      </c>
      <c r="Q538" s="36">
        <f>IFERROR(L538*(1-$Q$2),"")</f>
        <v>1943.6999999999998</v>
      </c>
      <c r="R538" s="38" t="str">
        <f>IFERROR(VLOOKUP($A538,'Из Гугла'!$B:$G,6,0)*S538,VLOOKUP($A538,'Из Гугла'!$B:$G,6,0))</f>
        <v/>
      </c>
      <c r="S538" s="14">
        <v>1</v>
      </c>
      <c r="T538" s="83">
        <f>IFERROR(Q538/I538-1,"")</f>
        <v>0.21481249999999985</v>
      </c>
      <c r="U538" s="83" t="str">
        <f>IFERROR((W538-Q538)/W538,"")</f>
        <v/>
      </c>
      <c r="V538" s="83" t="str">
        <f>IFERROR(IF(W538="","",W538/I538-1),"")</f>
        <v/>
      </c>
      <c r="W538" s="84"/>
    </row>
    <row r="539" spans="1:24" ht="30" x14ac:dyDescent="0.25">
      <c r="A539" s="80">
        <v>211443</v>
      </c>
      <c r="B539" s="80">
        <f>VLOOKUP($A539,'Выгр Кат'!$A:$R,B$1,0)</f>
        <v>13716</v>
      </c>
      <c r="C539" s="81" t="str">
        <f>VLOOKUP($A539,'Выгр Кат'!$A:$R,C$1,0)</f>
        <v>Руль F1 "MOMO" анатомической формы для ВАЗ</v>
      </c>
      <c r="D539" s="80" t="str">
        <f>VLOOKUP($A539,'Выгр Кат'!$A:$R,D$1,0)</f>
        <v>Y</v>
      </c>
      <c r="E539" s="80" t="str">
        <f>VLOOKUP($A539,'Выгр Кат'!$A:$R,E$1,0)</f>
        <v>0</v>
      </c>
      <c r="F539" s="80" t="str">
        <f>VLOOKUP($A539,'Выгр Кат'!$A:$R,F$1,0)</f>
        <v>4125+замша черный</v>
      </c>
      <c r="G539" s="80">
        <f>VLOOKUP($A539,'Выгр Кат'!$A:$R,G$1,0)</f>
        <v>0</v>
      </c>
      <c r="H539" s="67" t="s">
        <v>3</v>
      </c>
      <c r="I539" s="82">
        <v>1600</v>
      </c>
      <c r="J539" s="5">
        <f>VLOOKUP(I539,Наценка!$A$1:$G$8,2,1)</f>
        <v>1.3</v>
      </c>
      <c r="K539" s="34">
        <f>I539*J539</f>
        <v>2080</v>
      </c>
      <c r="L539" s="70">
        <f>IF(K539&lt;=1000,(ROUNDUP(K539,-1)-1),(ROUNDUP(K539,-2)-10))</f>
        <v>2090</v>
      </c>
      <c r="M539" s="80">
        <f>VLOOKUP($A539,'Выгр Кат'!$A:$R,M$1,0)</f>
        <v>1600</v>
      </c>
      <c r="N539" s="80">
        <f>VLOOKUP($A539,'Выгр Кат'!$A:$R,N$1,0)</f>
        <v>2090</v>
      </c>
      <c r="O539" s="28">
        <f>M539-I539</f>
        <v>0</v>
      </c>
      <c r="P539" s="28">
        <f>N539-L539</f>
        <v>0</v>
      </c>
      <c r="Q539" s="36">
        <f>IFERROR(L539*(1-$Q$2),"")</f>
        <v>1943.6999999999998</v>
      </c>
      <c r="R539" s="38" t="str">
        <f>IFERROR(VLOOKUP($A539,'Из Гугла'!$B:$G,6,0)*S539,VLOOKUP($A539,'Из Гугла'!$B:$G,6,0))</f>
        <v/>
      </c>
      <c r="S539" s="14">
        <v>1</v>
      </c>
      <c r="T539" s="83">
        <f>IFERROR(Q539/I539-1,"")</f>
        <v>0.21481249999999985</v>
      </c>
      <c r="U539" s="83" t="str">
        <f>IFERROR((W539-Q539)/W539,"")</f>
        <v/>
      </c>
      <c r="V539" s="83" t="str">
        <f>IFERROR(IF(W539="","",W539/I539-1),"")</f>
        <v/>
      </c>
      <c r="W539" s="84"/>
    </row>
    <row r="540" spans="1:24" ht="30" x14ac:dyDescent="0.25">
      <c r="A540" s="80">
        <v>143741</v>
      </c>
      <c r="B540" s="80">
        <f>VLOOKUP($A540,'Выгр Кат'!$A:$R,B$1,0)</f>
        <v>23844</v>
      </c>
      <c r="C540" s="81" t="str">
        <f>VLOOKUP($A540,'Выгр Кат'!$A:$R,C$1,0)</f>
        <v>Диодные LED ПТФ (алюминиевый корпус радиатора) для Лада Приора 2</v>
      </c>
      <c r="D540" s="80" t="str">
        <f>VLOOKUP($A540,'Выгр Кат'!$A:$R,D$1,0)</f>
        <v>Y</v>
      </c>
      <c r="E540" s="80" t="str">
        <f>VLOOKUP($A540,'Выгр Кат'!$A:$R,E$1,0)</f>
        <v>0</v>
      </c>
      <c r="F540" s="80">
        <f>VLOOKUP($A540,'Выгр Кат'!$A:$R,F$1,0)</f>
        <v>0</v>
      </c>
      <c r="G540" s="80" t="str">
        <f>VLOOKUP($A540,'Выгр Кат'!$A:$R,G$1,0)</f>
        <v>https://motorring.ru/product/22575-protivotumannye-fary-diodnye-polosy-restaylingovyy-bamper</v>
      </c>
      <c r="H540" s="67" t="s">
        <v>3</v>
      </c>
      <c r="I540" s="82">
        <v>1800</v>
      </c>
      <c r="J540" s="5">
        <f>VLOOKUP(I540,Наценка!$A$1:$G$8,2,1)</f>
        <v>1.3</v>
      </c>
      <c r="K540" s="90">
        <f>W540*1.04</f>
        <v>2693.6</v>
      </c>
      <c r="L540" s="70">
        <f>IF(K540&lt;=1000,(ROUNDUP(K540,-1)-1),(ROUNDUP(K540,-2)-10))</f>
        <v>2690</v>
      </c>
      <c r="M540" s="80">
        <f>VLOOKUP($A540,'Выгр Кат'!$A:$R,M$1,0)</f>
        <v>1800</v>
      </c>
      <c r="N540" s="80">
        <f>VLOOKUP($A540,'Выгр Кат'!$A:$R,N$1,0)</f>
        <v>2690</v>
      </c>
      <c r="O540" s="28">
        <f>M540-I540</f>
        <v>0</v>
      </c>
      <c r="P540" s="28">
        <f>N540-L540</f>
        <v>0</v>
      </c>
      <c r="Q540" s="36">
        <f>IFERROR(L540*(1-$Q$2),"")</f>
        <v>2501.6999999999998</v>
      </c>
      <c r="R540" s="38">
        <f>IFERROR(VLOOKUP($A540,'Из Гугла'!$B:$G,6,0)*S540,VLOOKUP($A540,'Из Гугла'!$B:$G,6,0))</f>
        <v>2590</v>
      </c>
      <c r="S540" s="14">
        <v>1</v>
      </c>
      <c r="T540" s="83">
        <f>IFERROR(Q540/I540-1,"")</f>
        <v>0.38983333333333325</v>
      </c>
      <c r="U540" s="83">
        <f>IFERROR((W540-Q540)/W540,"")</f>
        <v>3.4092664092664163E-2</v>
      </c>
      <c r="V540" s="83">
        <f>IFERROR(IF(W540="","",W540/I540-1),"")</f>
        <v>0.43888888888888888</v>
      </c>
      <c r="W540" s="93">
        <v>2590</v>
      </c>
      <c r="X540" s="71" t="s">
        <v>863</v>
      </c>
    </row>
    <row r="541" spans="1:24" ht="45" x14ac:dyDescent="0.25">
      <c r="A541" s="80">
        <v>145526</v>
      </c>
      <c r="B541" s="80">
        <f>VLOOKUP($A541,'Выгр Кат'!$A:$R,B$1,0)</f>
        <v>4882</v>
      </c>
      <c r="C541" s="81" t="str">
        <f>VLOOKUP($A541,'Выгр Кат'!$A:$R,C$1,0)</f>
        <v>Задние фонари "Techno" светодиодные (хром) для Лада Приора, Приора 2</v>
      </c>
      <c r="D541" s="80" t="str">
        <f>VLOOKUP($A541,'Выгр Кат'!$A:$R,D$1,0)</f>
        <v>Y</v>
      </c>
      <c r="E541" s="80" t="str">
        <f>VLOOKUP($A541,'Выгр Кат'!$A:$R,E$1,0)</f>
        <v>0</v>
      </c>
      <c r="F541" s="80">
        <f>VLOOKUP($A541,'Выгр Кат'!$A:$R,F$1,0)</f>
        <v>0</v>
      </c>
      <c r="G541" s="80">
        <f>VLOOKUP($A541,'Выгр Кат'!$A:$R,G$1,0)</f>
        <v>0</v>
      </c>
      <c r="H541" s="67" t="s">
        <v>3</v>
      </c>
      <c r="I541" s="82">
        <v>1800</v>
      </c>
      <c r="J541" s="5">
        <f>VLOOKUP(I541,Наценка!$A$1:$G$8,2,1)</f>
        <v>1.3</v>
      </c>
      <c r="K541" s="34">
        <f>I541*J541</f>
        <v>2340</v>
      </c>
      <c r="L541" s="70">
        <f>IF(K541&lt;=1000,(ROUNDUP(K541,-1)-1),(ROUNDUP(K541,-2)-10))</f>
        <v>2390</v>
      </c>
      <c r="M541" s="80">
        <f>VLOOKUP($A541,'Выгр Кат'!$A:$R,M$1,0)</f>
        <v>1800</v>
      </c>
      <c r="N541" s="80">
        <f>VLOOKUP($A541,'Выгр Кат'!$A:$R,N$1,0)</f>
        <v>2390</v>
      </c>
      <c r="O541" s="28">
        <f>M541-I541</f>
        <v>0</v>
      </c>
      <c r="P541" s="28">
        <f>N541-L541</f>
        <v>0</v>
      </c>
      <c r="Q541" s="36">
        <f>IFERROR(L541*(1-$Q$2),"")</f>
        <v>2222.6999999999998</v>
      </c>
      <c r="R541" s="38" t="str">
        <f>IFERROR(VLOOKUP($A541,'Из Гугла'!$B:$G,6,0)*S541,VLOOKUP($A541,'Из Гугла'!$B:$G,6,0))</f>
        <v/>
      </c>
      <c r="S541" s="14">
        <v>1</v>
      </c>
      <c r="T541" s="83">
        <f>IFERROR(Q541/I541-1,"")</f>
        <v>0.23483333333333323</v>
      </c>
      <c r="U541" s="83" t="str">
        <f>IFERROR((W541-Q541)/W541,"")</f>
        <v/>
      </c>
      <c r="V541" s="83" t="str">
        <f>IFERROR(IF(W541="","",W541/I541-1),"")</f>
        <v/>
      </c>
      <c r="W541" s="84"/>
    </row>
    <row r="542" spans="1:24" ht="45" x14ac:dyDescent="0.25">
      <c r="A542" s="80">
        <v>145560</v>
      </c>
      <c r="B542" s="80">
        <f>VLOOKUP($A542,'Выгр Кат'!$A:$R,B$1,0)</f>
        <v>4932</v>
      </c>
      <c r="C542" s="81" t="str">
        <f>VLOOKUP($A542,'Выгр Кат'!$A:$R,C$1,0)</f>
        <v>Задние фонари диодные (тонированные) для ВАЗ 2108-21099, 2113, 2114</v>
      </c>
      <c r="D542" s="80" t="str">
        <f>VLOOKUP($A542,'Выгр Кат'!$A:$R,D$1,0)</f>
        <v>Y</v>
      </c>
      <c r="E542" s="80" t="str">
        <f>VLOOKUP($A542,'Выгр Кат'!$A:$R,E$1,0)</f>
        <v>0</v>
      </c>
      <c r="F542" s="80">
        <f>VLOOKUP($A542,'Выгр Кат'!$A:$R,F$1,0)</f>
        <v>0</v>
      </c>
      <c r="G542" s="80">
        <f>VLOOKUP($A542,'Выгр Кат'!$A:$R,G$1,0)</f>
        <v>0</v>
      </c>
      <c r="H542" s="67" t="s">
        <v>3</v>
      </c>
      <c r="I542" s="82">
        <v>1800</v>
      </c>
      <c r="J542" s="5">
        <f>VLOOKUP(I542,Наценка!$A$1:$G$8,2,1)</f>
        <v>1.3</v>
      </c>
      <c r="K542" s="34">
        <f>I542*J542</f>
        <v>2340</v>
      </c>
      <c r="L542" s="70">
        <f>IF(K542&lt;=1000,(ROUNDUP(K542,-1)-1),(ROUNDUP(K542,-2)-10))</f>
        <v>2390</v>
      </c>
      <c r="M542" s="80">
        <f>VLOOKUP($A542,'Выгр Кат'!$A:$R,M$1,0)</f>
        <v>1800</v>
      </c>
      <c r="N542" s="80">
        <f>VLOOKUP($A542,'Выгр Кат'!$A:$R,N$1,0)</f>
        <v>2390</v>
      </c>
      <c r="O542" s="28">
        <f>M542-I542</f>
        <v>0</v>
      </c>
      <c r="P542" s="28">
        <f>N542-L542</f>
        <v>0</v>
      </c>
      <c r="Q542" s="36">
        <f>IFERROR(L542*(1-$Q$2),"")</f>
        <v>2222.6999999999998</v>
      </c>
      <c r="R542" s="38" t="str">
        <f>IFERROR(VLOOKUP($A542,'Из Гугла'!$B:$G,6,0)*S542,VLOOKUP($A542,'Из Гугла'!$B:$G,6,0))</f>
        <v/>
      </c>
      <c r="S542" s="14">
        <v>1</v>
      </c>
      <c r="T542" s="83">
        <f>IFERROR(Q542/I542-1,"")</f>
        <v>0.23483333333333323</v>
      </c>
      <c r="U542" s="83" t="str">
        <f>IFERROR((W542-Q542)/W542,"")</f>
        <v/>
      </c>
      <c r="V542" s="83" t="str">
        <f>IFERROR(IF(W542="","",W542/I542-1),"")</f>
        <v/>
      </c>
      <c r="W542" s="84"/>
    </row>
    <row r="543" spans="1:24" ht="45" x14ac:dyDescent="0.25">
      <c r="A543" s="80">
        <v>138548</v>
      </c>
      <c r="B543" s="80">
        <f>VLOOKUP($A543,'Выгр Кат'!$A:$R,B$1,0)</f>
        <v>7466</v>
      </c>
      <c r="C543" s="81" t="str">
        <f>VLOOKUP($A543,'Выгр Кат'!$A:$R,C$1,0)</f>
        <v>Боковые зеркала механические (чёрные, с антибликом) на ВАЗ 2108-21099, 2113-2115</v>
      </c>
      <c r="D543" s="80" t="str">
        <f>VLOOKUP($A543,'Выгр Кат'!$A:$R,D$1,0)</f>
        <v>Y</v>
      </c>
      <c r="E543" s="80" t="str">
        <f>VLOOKUP($A543,'Выгр Кат'!$A:$R,E$1,0)</f>
        <v>0</v>
      </c>
      <c r="F543" s="80">
        <f>VLOOKUP($A543,'Выгр Кат'!$A:$R,F$1,0)</f>
        <v>0</v>
      </c>
      <c r="G543" s="80">
        <f>VLOOKUP($A543,'Выгр Кат'!$A:$R,G$1,0)</f>
        <v>0</v>
      </c>
      <c r="H543" s="67" t="s">
        <v>3</v>
      </c>
      <c r="I543" s="82">
        <v>1800</v>
      </c>
      <c r="J543" s="5">
        <f>VLOOKUP(I543,Наценка!$A$1:$G$8,2,1)</f>
        <v>1.3</v>
      </c>
      <c r="K543" s="34">
        <f>I543*J543</f>
        <v>2340</v>
      </c>
      <c r="L543" s="70">
        <f>IF(K543&lt;=1000,(ROUNDUP(K543,-1)-1),(ROUNDUP(K543,-2)-10))</f>
        <v>2390</v>
      </c>
      <c r="M543" s="80">
        <f>VLOOKUP($A543,'Выгр Кат'!$A:$R,M$1,0)</f>
        <v>1800</v>
      </c>
      <c r="N543" s="80">
        <f>VLOOKUP($A543,'Выгр Кат'!$A:$R,N$1,0)</f>
        <v>2390</v>
      </c>
      <c r="O543" s="28">
        <f>M543-I543</f>
        <v>0</v>
      </c>
      <c r="P543" s="28">
        <f>N543-L543</f>
        <v>0</v>
      </c>
      <c r="Q543" s="36">
        <f>IFERROR(L543*(1-$Q$2),"")</f>
        <v>2222.6999999999998</v>
      </c>
      <c r="R543" s="38" t="str">
        <f>IFERROR(VLOOKUP($A543,'Из Гугла'!$B:$G,6,0)*S543,VLOOKUP($A543,'Из Гугла'!$B:$G,6,0))</f>
        <v/>
      </c>
      <c r="S543" s="14">
        <v>1</v>
      </c>
      <c r="T543" s="83">
        <f>IFERROR(Q543/I543-1,"")</f>
        <v>0.23483333333333323</v>
      </c>
      <c r="U543" s="83" t="str">
        <f>IFERROR((W543-Q543)/W543,"")</f>
        <v/>
      </c>
      <c r="V543" s="83" t="str">
        <f>IFERROR(IF(W543="","",W543/I543-1),"")</f>
        <v/>
      </c>
      <c r="W543" s="84"/>
    </row>
    <row r="544" spans="1:24" ht="45" x14ac:dyDescent="0.25">
      <c r="A544" s="80">
        <v>165550</v>
      </c>
      <c r="B544" s="80">
        <f>VLOOKUP($A544,'Выгр Кат'!$A:$R,B$1,0)</f>
        <v>18875</v>
      </c>
      <c r="C544" s="81" t="str">
        <f>VLOOKUP($A544,'Выгр Кат'!$A:$R,C$1,0)</f>
        <v>Накладка (сабля) заднего номера "LADA NIVA 4x4" с белой подсветкой для Лада Нива 4x4</v>
      </c>
      <c r="D544" s="80" t="str">
        <f>VLOOKUP($A544,'Выгр Кат'!$A:$R,D$1,0)</f>
        <v>Y</v>
      </c>
      <c r="E544" s="80" t="str">
        <f>VLOOKUP($A544,'Выгр Кат'!$A:$R,E$1,0)</f>
        <v>0</v>
      </c>
      <c r="F544" s="80">
        <f>VLOOKUP($A544,'Выгр Кат'!$A:$R,F$1,0)</f>
        <v>0</v>
      </c>
      <c r="G544" s="80">
        <f>VLOOKUP($A544,'Выгр Кат'!$A:$R,G$1,0)</f>
        <v>0</v>
      </c>
      <c r="H544" s="67" t="s">
        <v>3</v>
      </c>
      <c r="I544" s="82">
        <v>1800</v>
      </c>
      <c r="J544" s="5">
        <f>VLOOKUP(I544,Наценка!$A$1:$G$8,2,1)</f>
        <v>1.3</v>
      </c>
      <c r="K544" s="34">
        <f>I544*J544</f>
        <v>2340</v>
      </c>
      <c r="L544" s="70">
        <f>IF(K544&lt;=1000,(ROUNDUP(K544,-1)-1),(ROUNDUP(K544,-2)-10))</f>
        <v>2390</v>
      </c>
      <c r="M544" s="80">
        <f>VLOOKUP($A544,'Выгр Кат'!$A:$R,M$1,0)</f>
        <v>1800</v>
      </c>
      <c r="N544" s="80">
        <f>VLOOKUP($A544,'Выгр Кат'!$A:$R,N$1,0)</f>
        <v>2390</v>
      </c>
      <c r="O544" s="28">
        <f>M544-I544</f>
        <v>0</v>
      </c>
      <c r="P544" s="28">
        <f>N544-L544</f>
        <v>0</v>
      </c>
      <c r="Q544" s="36">
        <f>IFERROR(L544*(1-$Q$2),"")</f>
        <v>2222.6999999999998</v>
      </c>
      <c r="R544" s="38" t="str">
        <f>IFERROR(VLOOKUP($A544,'Из Гугла'!$B:$G,6,0)*S544,VLOOKUP($A544,'Из Гугла'!$B:$G,6,0))</f>
        <v/>
      </c>
      <c r="S544" s="14">
        <v>1</v>
      </c>
      <c r="T544" s="83">
        <f>IFERROR(Q544/I544-1,"")</f>
        <v>0.23483333333333323</v>
      </c>
      <c r="U544" s="83" t="str">
        <f>IFERROR((W544-Q544)/W544,"")</f>
        <v/>
      </c>
      <c r="V544" s="83" t="str">
        <f>IFERROR(IF(W544="","",W544/I544-1),"")</f>
        <v/>
      </c>
      <c r="W544" s="84"/>
    </row>
    <row r="545" spans="1:24" ht="30" x14ac:dyDescent="0.25">
      <c r="A545" s="80">
        <v>223090</v>
      </c>
      <c r="B545" s="80">
        <f>VLOOKUP($A545,'Выгр Кат'!$A:$R,B$1,0)</f>
        <v>8282</v>
      </c>
      <c r="C545" s="81" t="str">
        <f>VLOOKUP($A545,'Выгр Кат'!$A:$R,C$1,0)</f>
        <v>Универсальные ПТФ "DLAA" LA9833B белые</v>
      </c>
      <c r="D545" s="80" t="str">
        <f>VLOOKUP($A545,'Выгр Кат'!$A:$R,D$1,0)</f>
        <v>Y</v>
      </c>
      <c r="E545" s="80" t="str">
        <f>VLOOKUP($A545,'Выгр Кат'!$A:$R,E$1,0)</f>
        <v>0</v>
      </c>
      <c r="F545" s="80" t="str">
        <f>VLOOKUP($A545,'Выгр Кат'!$A:$R,F$1,0)</f>
        <v>LA9833B</v>
      </c>
      <c r="G545" s="80">
        <f>VLOOKUP($A545,'Выгр Кат'!$A:$R,G$1,0)</f>
        <v>0</v>
      </c>
      <c r="H545" s="67" t="s">
        <v>3</v>
      </c>
      <c r="I545" s="82">
        <v>1900</v>
      </c>
      <c r="J545" s="5">
        <f>VLOOKUP(I545,Наценка!$A$1:$G$8,2,1)</f>
        <v>1.3</v>
      </c>
      <c r="K545" s="34">
        <f>I545*J545</f>
        <v>2470</v>
      </c>
      <c r="L545" s="70">
        <f>IF(K545&lt;=1000,(ROUNDUP(K545,-1)-1),(ROUNDUP(K545,-2)-10))</f>
        <v>2490</v>
      </c>
      <c r="M545" s="80">
        <f>VLOOKUP($A545,'Выгр Кат'!$A:$R,M$1,0)</f>
        <v>1900</v>
      </c>
      <c r="N545" s="80">
        <f>VLOOKUP($A545,'Выгр Кат'!$A:$R,N$1,0)</f>
        <v>2490</v>
      </c>
      <c r="O545" s="28">
        <f>M545-I545</f>
        <v>0</v>
      </c>
      <c r="P545" s="28">
        <f>N545-L545</f>
        <v>0</v>
      </c>
      <c r="Q545" s="36">
        <f>IFERROR(L545*(1-$Q$2),"")</f>
        <v>2315.6999999999998</v>
      </c>
      <c r="R545" s="38" t="str">
        <f>IFERROR(VLOOKUP($A545,'Из Гугла'!$B:$G,6,0)*S545,VLOOKUP($A545,'Из Гугла'!$B:$G,6,0))</f>
        <v/>
      </c>
      <c r="S545" s="14">
        <v>1</v>
      </c>
      <c r="T545" s="83">
        <f>IFERROR(Q545/I545-1,"")</f>
        <v>0.21878947368421042</v>
      </c>
      <c r="U545" s="83" t="str">
        <f>IFERROR((W545-Q545)/W545,"")</f>
        <v/>
      </c>
      <c r="V545" s="83" t="str">
        <f>IFERROR(IF(W545="","",W545/I545-1),"")</f>
        <v/>
      </c>
      <c r="W545" s="84"/>
    </row>
    <row r="546" spans="1:24" ht="45" x14ac:dyDescent="0.25">
      <c r="A546" s="80">
        <v>213614</v>
      </c>
      <c r="B546" s="80">
        <f>VLOOKUP($A546,'Выгр Кат'!$A:$R,B$1,0)</f>
        <v>36903</v>
      </c>
      <c r="C546" s="81" t="str">
        <f>VLOOKUP($A546,'Выгр Кат'!$A:$R,C$1,0)</f>
        <v>(дубль) Светодиодные лампы LED H7 для Лада (Калина, Приора, Приора 2, Веста, XRAY), Шевроле Нива</v>
      </c>
      <c r="D546" s="80" t="str">
        <f>VLOOKUP($A546,'Выгр Кат'!$A:$R,D$1,0)</f>
        <v>N</v>
      </c>
      <c r="E546" s="80" t="str">
        <f>VLOOKUP($A546,'Выгр Кат'!$A:$R,E$1,0)</f>
        <v>1</v>
      </c>
      <c r="F546" s="80" t="str">
        <f>VLOOKUP($A546,'Выгр Кат'!$A:$R,F$1,0)</f>
        <v>HP-QCD-033-01</v>
      </c>
      <c r="G546" s="80">
        <f>VLOOKUP($A546,'Выгр Кат'!$A:$R,G$1,0)</f>
        <v>0</v>
      </c>
      <c r="H546" s="67" t="s">
        <v>3</v>
      </c>
      <c r="I546" s="82">
        <v>1900</v>
      </c>
      <c r="J546" s="5">
        <f>VLOOKUP(I546,Наценка!$A$1:$G$8,2,1)</f>
        <v>1.3</v>
      </c>
      <c r="K546" s="34">
        <f>I546*J546</f>
        <v>2470</v>
      </c>
      <c r="L546" s="70">
        <f>IF(K546&lt;=1000,(ROUNDUP(K546,-1)-1),(ROUNDUP(K546,-2)-10))</f>
        <v>2490</v>
      </c>
      <c r="M546" s="80">
        <f>VLOOKUP($A546,'Выгр Кат'!$A:$R,M$1,0)</f>
        <v>1900</v>
      </c>
      <c r="N546" s="80">
        <f>VLOOKUP($A546,'Выгр Кат'!$A:$R,N$1,0)</f>
        <v>2490</v>
      </c>
      <c r="O546" s="28">
        <f>M546-I546</f>
        <v>0</v>
      </c>
      <c r="P546" s="28">
        <f>N546-L546</f>
        <v>0</v>
      </c>
      <c r="Q546" s="36">
        <f>IFERROR(L546*(1-$Q$2),"")</f>
        <v>2315.6999999999998</v>
      </c>
      <c r="R546" s="38" t="str">
        <f>IFERROR(VLOOKUP($A546,'Из Гугла'!$B:$G,6,0)*S546,VLOOKUP($A546,'Из Гугла'!$B:$G,6,0))</f>
        <v/>
      </c>
      <c r="S546" s="14">
        <v>1</v>
      </c>
      <c r="T546" s="83">
        <f>IFERROR(Q546/I546-1,"")</f>
        <v>0.21878947368421042</v>
      </c>
      <c r="U546" s="83" t="str">
        <f>IFERROR((W546-Q546)/W546,"")</f>
        <v/>
      </c>
      <c r="V546" s="83" t="str">
        <f>IFERROR(IF(W546="","",W546/I546-1),"")</f>
        <v/>
      </c>
      <c r="W546" s="84"/>
    </row>
    <row r="547" spans="1:24" ht="45" x14ac:dyDescent="0.25">
      <c r="A547" s="80">
        <v>213591</v>
      </c>
      <c r="B547" s="80">
        <f>VLOOKUP($A547,'Выгр Кат'!$A:$R,B$1,0)</f>
        <v>4838</v>
      </c>
      <c r="C547" s="81" t="str">
        <f>VLOOKUP($A547,'Выгр Кат'!$A:$R,C$1,0)</f>
        <v>Светодиодные задние фонари (тонированные) для Лада Приора, Приора 2</v>
      </c>
      <c r="D547" s="80" t="str">
        <f>VLOOKUP($A547,'Выгр Кат'!$A:$R,D$1,0)</f>
        <v>Y</v>
      </c>
      <c r="E547" s="80" t="str">
        <f>VLOOKUP($A547,'Выгр Кат'!$A:$R,E$1,0)</f>
        <v>0</v>
      </c>
      <c r="F547" s="80">
        <f>VLOOKUP($A547,'Выгр Кат'!$A:$R,F$1,0)</f>
        <v>0</v>
      </c>
      <c r="G547" s="80">
        <f>VLOOKUP($A547,'Выгр Кат'!$A:$R,G$1,0)</f>
        <v>0</v>
      </c>
      <c r="H547" s="67" t="s">
        <v>3</v>
      </c>
      <c r="I547" s="82">
        <v>1900</v>
      </c>
      <c r="J547" s="5">
        <f>VLOOKUP(I547,Наценка!$A$1:$G$8,2,1)</f>
        <v>1.3</v>
      </c>
      <c r="K547" s="34">
        <f>I547*J547</f>
        <v>2470</v>
      </c>
      <c r="L547" s="70">
        <f>IF(K547&lt;=1000,(ROUNDUP(K547,-1)-1),(ROUNDUP(K547,-2)-10))</f>
        <v>2490</v>
      </c>
      <c r="M547" s="80">
        <f>VLOOKUP($A547,'Выгр Кат'!$A:$R,M$1,0)</f>
        <v>1900</v>
      </c>
      <c r="N547" s="80">
        <f>VLOOKUP($A547,'Выгр Кат'!$A:$R,N$1,0)</f>
        <v>2490</v>
      </c>
      <c r="O547" s="28">
        <f>M547-I547</f>
        <v>0</v>
      </c>
      <c r="P547" s="28">
        <f>N547-L547</f>
        <v>0</v>
      </c>
      <c r="Q547" s="36">
        <f>IFERROR(L547*(1-$Q$2),"")</f>
        <v>2315.6999999999998</v>
      </c>
      <c r="R547" s="38" t="str">
        <f>IFERROR(VLOOKUP($A547,'Из Гугла'!$B:$G,6,0)*S547,VLOOKUP($A547,'Из Гугла'!$B:$G,6,0))</f>
        <v/>
      </c>
      <c r="S547" s="14">
        <v>1</v>
      </c>
      <c r="T547" s="83">
        <f>IFERROR(Q547/I547-1,"")</f>
        <v>0.21878947368421042</v>
      </c>
      <c r="U547" s="83" t="str">
        <f>IFERROR((W547-Q547)/W547,"")</f>
        <v/>
      </c>
      <c r="V547" s="83" t="str">
        <f>IFERROR(IF(W547="","",W547/I547-1),"")</f>
        <v/>
      </c>
      <c r="W547" s="84"/>
    </row>
    <row r="548" spans="1:24" ht="30" x14ac:dyDescent="0.25">
      <c r="A548" s="80">
        <v>145558</v>
      </c>
      <c r="B548" s="80">
        <f>VLOOKUP($A548,'Выгр Кат'!$A:$R,B$1,0)</f>
        <v>4973</v>
      </c>
      <c r="C548" s="81" t="str">
        <f>VLOOKUP($A548,'Выгр Кат'!$A:$R,C$1,0)</f>
        <v>Задние фонари диодные (красные) для ВАЗ 2108-21099, 2113, 2114</v>
      </c>
      <c r="D548" s="80" t="str">
        <f>VLOOKUP($A548,'Выгр Кат'!$A:$R,D$1,0)</f>
        <v>Y</v>
      </c>
      <c r="E548" s="80" t="str">
        <f>VLOOKUP($A548,'Выгр Кат'!$A:$R,E$1,0)</f>
        <v>0</v>
      </c>
      <c r="F548" s="80">
        <f>VLOOKUP($A548,'Выгр Кат'!$A:$R,F$1,0)</f>
        <v>0</v>
      </c>
      <c r="G548" s="80">
        <f>VLOOKUP($A548,'Выгр Кат'!$A:$R,G$1,0)</f>
        <v>0</v>
      </c>
      <c r="H548" s="67" t="s">
        <v>3</v>
      </c>
      <c r="I548" s="82">
        <v>1900</v>
      </c>
      <c r="J548" s="5">
        <f>VLOOKUP(I548,Наценка!$A$1:$G$8,2,1)</f>
        <v>1.3</v>
      </c>
      <c r="K548" s="34">
        <f>I548*J548</f>
        <v>2470</v>
      </c>
      <c r="L548" s="70">
        <f>IF(K548&lt;=1000,(ROUNDUP(K548,-1)-1),(ROUNDUP(K548,-2)-10))</f>
        <v>2490</v>
      </c>
      <c r="M548" s="80">
        <f>VLOOKUP($A548,'Выгр Кат'!$A:$R,M$1,0)</f>
        <v>1900</v>
      </c>
      <c r="N548" s="80">
        <f>VLOOKUP($A548,'Выгр Кат'!$A:$R,N$1,0)</f>
        <v>2490</v>
      </c>
      <c r="O548" s="28">
        <f>M548-I548</f>
        <v>0</v>
      </c>
      <c r="P548" s="28">
        <f>N548-L548</f>
        <v>0</v>
      </c>
      <c r="Q548" s="36">
        <f>IFERROR(L548*(1-$Q$2),"")</f>
        <v>2315.6999999999998</v>
      </c>
      <c r="R548" s="38" t="str">
        <f>IFERROR(VLOOKUP($A548,'Из Гугла'!$B:$G,6,0)*S548,VLOOKUP($A548,'Из Гугла'!$B:$G,6,0))</f>
        <v/>
      </c>
      <c r="S548" s="14">
        <v>1</v>
      </c>
      <c r="T548" s="83">
        <f>IFERROR(Q548/I548-1,"")</f>
        <v>0.21878947368421042</v>
      </c>
      <c r="U548" s="83" t="str">
        <f>IFERROR((W548-Q548)/W548,"")</f>
        <v/>
      </c>
      <c r="V548" s="83" t="str">
        <f>IFERROR(IF(W548="","",W548/I548-1),"")</f>
        <v/>
      </c>
      <c r="W548" s="84"/>
    </row>
    <row r="549" spans="1:24" ht="30" x14ac:dyDescent="0.25">
      <c r="A549" s="80">
        <v>211426</v>
      </c>
      <c r="B549" s="80">
        <f>VLOOKUP($A549,'Выгр Кат'!$A:$R,B$1,0)</f>
        <v>24563</v>
      </c>
      <c r="C549" s="81" t="str">
        <f>VLOOKUP($A549,'Выгр Кат'!$A:$R,C$1,0)</f>
        <v>Руль "OMP" (вынос 90 мм, замшевый)</v>
      </c>
      <c r="D549" s="80" t="str">
        <f>VLOOKUP($A549,'Выгр Кат'!$A:$R,D$1,0)</f>
        <v>Y</v>
      </c>
      <c r="E549" s="80" t="str">
        <f>VLOOKUP($A549,'Выгр Кат'!$A:$R,E$1,0)</f>
        <v>0</v>
      </c>
      <c r="F549" s="80">
        <f>VLOOKUP($A549,'Выгр Кат'!$A:$R,F$1,0)</f>
        <v>0</v>
      </c>
      <c r="G549" s="80">
        <f>VLOOKUP($A549,'Выгр Кат'!$A:$R,G$1,0)</f>
        <v>0</v>
      </c>
      <c r="H549" s="67" t="s">
        <v>3</v>
      </c>
      <c r="I549" s="82">
        <v>1900</v>
      </c>
      <c r="J549" s="5">
        <f>VLOOKUP(I549,Наценка!$A$1:$G$8,2,1)</f>
        <v>1.3</v>
      </c>
      <c r="K549" s="34">
        <f>I549*J549</f>
        <v>2470</v>
      </c>
      <c r="L549" s="70">
        <f>IF(K549&lt;=1000,(ROUNDUP(K549,-1)-1),(ROUNDUP(K549,-2)-10))</f>
        <v>2490</v>
      </c>
      <c r="M549" s="80">
        <f>VLOOKUP($A549,'Выгр Кат'!$A:$R,M$1,0)</f>
        <v>1900</v>
      </c>
      <c r="N549" s="80">
        <f>VLOOKUP($A549,'Выгр Кат'!$A:$R,N$1,0)</f>
        <v>2490</v>
      </c>
      <c r="O549" s="28">
        <f>M549-I549</f>
        <v>0</v>
      </c>
      <c r="P549" s="28">
        <f>N549-L549</f>
        <v>0</v>
      </c>
      <c r="Q549" s="36">
        <f>IFERROR(L549*(1-$Q$2),"")</f>
        <v>2315.6999999999998</v>
      </c>
      <c r="R549" s="38" t="str">
        <f>IFERROR(VLOOKUP($A549,'Из Гугла'!$B:$G,6,0)*S549,VLOOKUP($A549,'Из Гугла'!$B:$G,6,0))</f>
        <v/>
      </c>
      <c r="S549" s="14">
        <v>1</v>
      </c>
      <c r="T549" s="83">
        <f>IFERROR(Q549/I549-1,"")</f>
        <v>0.21878947368421042</v>
      </c>
      <c r="U549" s="83" t="str">
        <f>IFERROR((W549-Q549)/W549,"")</f>
        <v/>
      </c>
      <c r="V549" s="83" t="str">
        <f>IFERROR(IF(W549="","",W549/I549-1),"")</f>
        <v/>
      </c>
      <c r="W549" s="84"/>
    </row>
    <row r="550" spans="1:24" ht="75" x14ac:dyDescent="0.25">
      <c r="A550" s="80">
        <v>201768</v>
      </c>
      <c r="B550" s="80">
        <f>VLOOKUP($A550,'Выгр Кат'!$A:$R,B$1,0)</f>
        <v>25034</v>
      </c>
      <c r="C550" s="81" t="str">
        <f>VLOOKUP($A550,'Выгр Кат'!$A:$R,C$1,0)</f>
        <v>Противотуманные фары (LED, 2-х режимные) для Лада (Нива 4х4, Нива 4х4 Урбан, Гранта FL, Веста, XRAY), Renault (Duster, Kaptur, Logan, Sandero)</v>
      </c>
      <c r="D550" s="80" t="str">
        <f>VLOOKUP($A550,'Выгр Кат'!$A:$R,D$1,0)</f>
        <v>N</v>
      </c>
      <c r="E550" s="80" t="str">
        <f>VLOOKUP($A550,'Выгр Кат'!$A:$R,E$1,0)</f>
        <v>1</v>
      </c>
      <c r="F550" s="80" t="str">
        <f>VLOOKUP($A550,'Выгр Кат'!$A:$R,F$1,0)</f>
        <v>HP-GZD-071-012</v>
      </c>
      <c r="G550" s="80" t="str">
        <f>VLOOKUP($A550,'Выгр Кат'!$A:$R,G$1,0)</f>
        <v>https://motorring.ru/product/27724-diodnye-dvuhcvetnye-ptf-polos-analog-lada-granta-lada-vesta</v>
      </c>
      <c r="H550" s="67" t="s">
        <v>3</v>
      </c>
      <c r="I550" s="82">
        <v>1950</v>
      </c>
      <c r="J550" s="5">
        <f>VLOOKUP(I550,Наценка!$A$1:$G$8,2,1)</f>
        <v>1.3</v>
      </c>
      <c r="K550" s="90">
        <f>W550*1.04</f>
        <v>2693.6</v>
      </c>
      <c r="L550" s="70">
        <f>IF(K550&lt;=1000,(ROUNDUP(K550,-1)-1),(ROUNDUP(K550,-2)-10))</f>
        <v>2690</v>
      </c>
      <c r="M550" s="80">
        <f>VLOOKUP($A550,'Выгр Кат'!$A:$R,M$1,0)</f>
        <v>1950</v>
      </c>
      <c r="N550" s="80">
        <f>VLOOKUP($A550,'Выгр Кат'!$A:$R,N$1,0)</f>
        <v>2690</v>
      </c>
      <c r="O550" s="28">
        <f>M550-I550</f>
        <v>0</v>
      </c>
      <c r="P550" s="28">
        <f>N550-L550</f>
        <v>0</v>
      </c>
      <c r="Q550" s="36">
        <f>IFERROR(L550*(1-$Q$2),"")</f>
        <v>2501.6999999999998</v>
      </c>
      <c r="R550" s="38">
        <f>IFERROR(VLOOKUP($A550,'Из Гугла'!$B:$G,6,0)*S550,VLOOKUP($A550,'Из Гугла'!$B:$G,6,0))</f>
        <v>2590</v>
      </c>
      <c r="S550" s="14">
        <v>1</v>
      </c>
      <c r="T550" s="83">
        <f>IFERROR(Q550/I550-1,"")</f>
        <v>0.28292307692307683</v>
      </c>
      <c r="U550" s="83">
        <f>IFERROR((W550-Q550)/W550,"")</f>
        <v>3.4092664092664163E-2</v>
      </c>
      <c r="V550" s="83">
        <f>IFERROR(IF(W550="","",W550/I550-1),"")</f>
        <v>0.32820512820512815</v>
      </c>
      <c r="W550" s="93">
        <v>2590</v>
      </c>
      <c r="X550" s="71" t="s">
        <v>866</v>
      </c>
    </row>
    <row r="551" spans="1:24" ht="45" x14ac:dyDescent="0.25">
      <c r="A551" s="80">
        <v>213718</v>
      </c>
      <c r="B551" s="80">
        <f>VLOOKUP($A551,'Выгр Кат'!$A:$R,B$1,0)</f>
        <v>5103</v>
      </c>
      <c r="C551" s="81" t="str">
        <f>VLOOKUP($A551,'Выгр Кат'!$A:$R,C$1,0)</f>
        <v>Светодиодные фары передние с ангельскими глазками (хром) для ВАЗ 2104, 2105, 2107</v>
      </c>
      <c r="D551" s="80" t="str">
        <f>VLOOKUP($A551,'Выгр Кат'!$A:$R,D$1,0)</f>
        <v>Y</v>
      </c>
      <c r="E551" s="80" t="str">
        <f>VLOOKUP($A551,'Выгр Кат'!$A:$R,E$1,0)</f>
        <v>0</v>
      </c>
      <c r="F551" s="80">
        <f>VLOOKUP($A551,'Выгр Кат'!$A:$R,F$1,0)</f>
        <v>0</v>
      </c>
      <c r="G551" s="80">
        <f>VLOOKUP($A551,'Выгр Кат'!$A:$R,G$1,0)</f>
        <v>0</v>
      </c>
      <c r="H551" s="67" t="s">
        <v>3</v>
      </c>
      <c r="I551" s="82">
        <v>2000</v>
      </c>
      <c r="J551" s="5">
        <f>VLOOKUP(I551,Наценка!$A$1:$G$8,2,1)</f>
        <v>1.27</v>
      </c>
      <c r="K551" s="34">
        <f>I551*J551</f>
        <v>2540</v>
      </c>
      <c r="L551" s="70">
        <f>IF(K551&lt;=1000,(ROUNDUP(K551,-1)-1),(ROUNDUP(K551,-2)-10))</f>
        <v>2590</v>
      </c>
      <c r="M551" s="80">
        <f>VLOOKUP($A551,'Выгр Кат'!$A:$R,M$1,0)</f>
        <v>2000</v>
      </c>
      <c r="N551" s="80">
        <f>VLOOKUP($A551,'Выгр Кат'!$A:$R,N$1,0)</f>
        <v>2590</v>
      </c>
      <c r="O551" s="28">
        <f>M551-I551</f>
        <v>0</v>
      </c>
      <c r="P551" s="28">
        <f>N551-L551</f>
        <v>0</v>
      </c>
      <c r="Q551" s="36">
        <f>IFERROR(L551*(1-$Q$2),"")</f>
        <v>2408.6999999999998</v>
      </c>
      <c r="R551" s="38" t="str">
        <f>IFERROR(VLOOKUP($A551,'Из Гугла'!$B:$G,6,0)*S551,VLOOKUP($A551,'Из Гугла'!$B:$G,6,0))</f>
        <v/>
      </c>
      <c r="S551" s="14">
        <v>1</v>
      </c>
      <c r="T551" s="83">
        <f>IFERROR(Q551/I551-1,"")</f>
        <v>0.20434999999999981</v>
      </c>
      <c r="U551" s="83" t="str">
        <f>IFERROR((W551-Q551)/W551,"")</f>
        <v/>
      </c>
      <c r="V551" s="83" t="str">
        <f>IFERROR(IF(W551="","",W551/I551-1),"")</f>
        <v/>
      </c>
      <c r="W551" s="84"/>
    </row>
    <row r="552" spans="1:24" ht="30" x14ac:dyDescent="0.25">
      <c r="A552" s="80">
        <v>145566</v>
      </c>
      <c r="B552" s="80">
        <f>VLOOKUP($A552,'Выгр Кат'!$A:$R,B$1,0)</f>
        <v>13757</v>
      </c>
      <c r="C552" s="81" t="str">
        <f>VLOOKUP($A552,'Выгр Кат'!$A:$R,C$1,0)</f>
        <v>Задние фонари с диодными секциями для Лада Нива 4х4</v>
      </c>
      <c r="D552" s="80" t="str">
        <f>VLOOKUP($A552,'Выгр Кат'!$A:$R,D$1,0)</f>
        <v>Y</v>
      </c>
      <c r="E552" s="80" t="str">
        <f>VLOOKUP($A552,'Выгр Кат'!$A:$R,E$1,0)</f>
        <v>0</v>
      </c>
      <c r="F552" s="80">
        <f>VLOOKUP($A552,'Выгр Кат'!$A:$R,F$1,0)</f>
        <v>0</v>
      </c>
      <c r="G552" s="80">
        <f>VLOOKUP($A552,'Выгр Кат'!$A:$R,G$1,0)</f>
        <v>0</v>
      </c>
      <c r="H552" s="67" t="s">
        <v>3</v>
      </c>
      <c r="I552" s="82">
        <v>2000</v>
      </c>
      <c r="J552" s="5">
        <f>VLOOKUP(I552,Наценка!$A$1:$G$8,2,1)</f>
        <v>1.27</v>
      </c>
      <c r="K552" s="34">
        <f>I552*J552</f>
        <v>2540</v>
      </c>
      <c r="L552" s="70">
        <f>IF(K552&lt;=1000,(ROUNDUP(K552,-1)-1),(ROUNDUP(K552,-2)-10))</f>
        <v>2590</v>
      </c>
      <c r="M552" s="80">
        <f>VLOOKUP($A552,'Выгр Кат'!$A:$R,M$1,0)</f>
        <v>2000</v>
      </c>
      <c r="N552" s="80">
        <f>VLOOKUP($A552,'Выгр Кат'!$A:$R,N$1,0)</f>
        <v>2590</v>
      </c>
      <c r="O552" s="28">
        <f>M552-I552</f>
        <v>0</v>
      </c>
      <c r="P552" s="28">
        <f>N552-L552</f>
        <v>0</v>
      </c>
      <c r="Q552" s="36">
        <f>IFERROR(L552*(1-$Q$2),"")</f>
        <v>2408.6999999999998</v>
      </c>
      <c r="R552" s="38" t="str">
        <f>IFERROR(VLOOKUP($A552,'Из Гугла'!$B:$G,6,0)*S552,VLOOKUP($A552,'Из Гугла'!$B:$G,6,0))</f>
        <v/>
      </c>
      <c r="S552" s="14">
        <v>1</v>
      </c>
      <c r="T552" s="83">
        <f>IFERROR(Q552/I552-1,"")</f>
        <v>0.20434999999999981</v>
      </c>
      <c r="U552" s="83" t="str">
        <f>IFERROR((W552-Q552)/W552,"")</f>
        <v/>
      </c>
      <c r="V552" s="83" t="str">
        <f>IFERROR(IF(W552="","",W552/I552-1),"")</f>
        <v/>
      </c>
      <c r="W552" s="84"/>
    </row>
    <row r="553" spans="1:24" ht="45" x14ac:dyDescent="0.25">
      <c r="A553" s="80">
        <v>143760</v>
      </c>
      <c r="B553" s="80">
        <f>VLOOKUP($A553,'Выгр Кат'!$A:$R,B$1,0)</f>
        <v>21866</v>
      </c>
      <c r="C553" s="81" t="str">
        <f>VLOOKUP($A553,'Выгр Кат'!$A:$R,C$1,0)</f>
        <v>Диодные подфарники (поворотник в стиле "Lexus") для Лада Нива 4x4, Нива 4x4 Урбан</v>
      </c>
      <c r="D553" s="80" t="str">
        <f>VLOOKUP($A553,'Выгр Кат'!$A:$R,D$1,0)</f>
        <v>N</v>
      </c>
      <c r="E553" s="80" t="str">
        <f>VLOOKUP($A553,'Выгр Кат'!$A:$R,E$1,0)</f>
        <v>1</v>
      </c>
      <c r="F553" s="80" t="str">
        <f>VLOOKUP($A553,'Выгр Кат'!$A:$R,F$1,0)</f>
        <v>PL 2022</v>
      </c>
      <c r="G553" s="80" t="str">
        <f>VLOOKUP($A553,'Выгр Кат'!$A:$R,G$1,0)</f>
        <v>https://motorring.ru/product/25053-svetodiodnye-podfarniki-plavniye-dho-povtoritel-4x4-niva</v>
      </c>
      <c r="H553" s="67" t="s">
        <v>3</v>
      </c>
      <c r="I553" s="82">
        <v>2400</v>
      </c>
      <c r="J553" s="5">
        <f>VLOOKUP(I553,Наценка!$A$1:$G$8,2,1)</f>
        <v>1.27</v>
      </c>
      <c r="K553" s="87">
        <f>W553*1.06</f>
        <v>3381.4</v>
      </c>
      <c r="L553" s="70">
        <f>IF(K553&lt;=1000,(ROUNDUP(K553,-1)-1),(ROUNDUP(K553,-2)-10))</f>
        <v>3390</v>
      </c>
      <c r="M553" s="80">
        <f>VLOOKUP($A553,'Выгр Кат'!$A:$R,M$1,0)</f>
        <v>2400</v>
      </c>
      <c r="N553" s="80">
        <f>VLOOKUP($A553,'Выгр Кат'!$A:$R,N$1,0)</f>
        <v>3390</v>
      </c>
      <c r="O553" s="28">
        <f>M553-I553</f>
        <v>0</v>
      </c>
      <c r="P553" s="28">
        <f>N553-L553</f>
        <v>0</v>
      </c>
      <c r="Q553" s="36">
        <f>IFERROR(L553*(1-$Q$2),"")</f>
        <v>3152.7</v>
      </c>
      <c r="R553" s="38">
        <f>IFERROR(VLOOKUP($A553,'Из Гугла'!$B:$G,6,0)*S553,VLOOKUP($A553,'Из Гугла'!$B:$G,6,0))</f>
        <v>3190</v>
      </c>
      <c r="S553" s="14">
        <v>1</v>
      </c>
      <c r="T553" s="83">
        <f>IFERROR(Q553/I553-1,"")</f>
        <v>0.31362499999999982</v>
      </c>
      <c r="U553" s="83">
        <f>IFERROR((W553-Q553)/W553,"")</f>
        <v>1.1692789968652095E-2</v>
      </c>
      <c r="V553" s="83">
        <f>IFERROR(IF(W553="","",W553/I553-1),"")</f>
        <v>0.32916666666666661</v>
      </c>
      <c r="W553" s="93">
        <v>3190</v>
      </c>
      <c r="X553" s="71" t="s">
        <v>740</v>
      </c>
    </row>
    <row r="554" spans="1:24" ht="30" x14ac:dyDescent="0.25">
      <c r="A554" s="80">
        <v>213724</v>
      </c>
      <c r="B554" s="80">
        <f>VLOOKUP($A554,'Выгр Кат'!$A:$R,B$1,0)</f>
        <v>4822</v>
      </c>
      <c r="C554" s="81" t="str">
        <f>VLOOKUP($A554,'Выгр Кат'!$A:$R,C$1,0)</f>
        <v>Светодиодные фонари (красные) для Лада Приора</v>
      </c>
      <c r="D554" s="80" t="str">
        <f>VLOOKUP($A554,'Выгр Кат'!$A:$R,D$1,0)</f>
        <v>Y</v>
      </c>
      <c r="E554" s="80" t="str">
        <f>VLOOKUP($A554,'Выгр Кат'!$A:$R,E$1,0)</f>
        <v>0</v>
      </c>
      <c r="F554" s="80">
        <f>VLOOKUP($A554,'Выгр Кат'!$A:$R,F$1,0)</f>
        <v>0</v>
      </c>
      <c r="G554" s="80">
        <f>VLOOKUP($A554,'Выгр Кат'!$A:$R,G$1,0)</f>
        <v>0</v>
      </c>
      <c r="H554" s="67" t="s">
        <v>3</v>
      </c>
      <c r="I554" s="82">
        <v>2400</v>
      </c>
      <c r="J554" s="5">
        <f>VLOOKUP(I554,Наценка!$A$1:$G$8,2,1)</f>
        <v>1.27</v>
      </c>
      <c r="K554" s="34">
        <f>I554*J554</f>
        <v>3048</v>
      </c>
      <c r="L554" s="70">
        <f>IF(K554&lt;=1000,(ROUNDUP(K554,-1)-1),(ROUNDUP(K554,-2)-10))</f>
        <v>3090</v>
      </c>
      <c r="M554" s="80">
        <f>VLOOKUP($A554,'Выгр Кат'!$A:$R,M$1,0)</f>
        <v>2400</v>
      </c>
      <c r="N554" s="80">
        <f>VLOOKUP($A554,'Выгр Кат'!$A:$R,N$1,0)</f>
        <v>3090</v>
      </c>
      <c r="O554" s="28">
        <f>M554-I554</f>
        <v>0</v>
      </c>
      <c r="P554" s="28">
        <f>N554-L554</f>
        <v>0</v>
      </c>
      <c r="Q554" s="36">
        <f>IFERROR(L554*(1-$Q$2),"")</f>
        <v>2873.7</v>
      </c>
      <c r="R554" s="38" t="str">
        <f>IFERROR(VLOOKUP($A554,'Из Гугла'!$B:$G,6,0)*S554,VLOOKUP($A554,'Из Гугла'!$B:$G,6,0))</f>
        <v/>
      </c>
      <c r="S554" s="14">
        <v>1</v>
      </c>
      <c r="T554" s="83">
        <f>IFERROR(Q554/I554-1,"")</f>
        <v>0.19737499999999986</v>
      </c>
      <c r="U554" s="83" t="str">
        <f>IFERROR((W554-Q554)/W554,"")</f>
        <v/>
      </c>
      <c r="V554" s="83" t="str">
        <f>IFERROR(IF(W554="","",W554/I554-1),"")</f>
        <v/>
      </c>
      <c r="W554" s="84"/>
    </row>
    <row r="555" spans="1:24" ht="60" x14ac:dyDescent="0.25">
      <c r="A555" s="80">
        <v>137264</v>
      </c>
      <c r="B555" s="80">
        <f>VLOOKUP($A555,'Выгр Кат'!$A:$R,B$1,0)</f>
        <v>10227</v>
      </c>
      <c r="C555" s="81" t="str">
        <f>VLOOKUP($A555,'Выгр Кат'!$A:$R,C$1,0)</f>
        <v>Боковые зеркала "3381+набор подключения" с электроприводом, обогревом и антибликом для ВАЗ 2108-21099</v>
      </c>
      <c r="D555" s="80" t="str">
        <f>VLOOKUP($A555,'Выгр Кат'!$A:$R,D$1,0)</f>
        <v>Y</v>
      </c>
      <c r="E555" s="80" t="str">
        <f>VLOOKUP($A555,'Выгр Кат'!$A:$R,E$1,0)</f>
        <v>0</v>
      </c>
      <c r="F555" s="80">
        <f>VLOOKUP($A555,'Выгр Кат'!$A:$R,F$1,0)</f>
        <v>0</v>
      </c>
      <c r="G555" s="80">
        <f>VLOOKUP($A555,'Выгр Кат'!$A:$R,G$1,0)</f>
        <v>0</v>
      </c>
      <c r="H555" s="67" t="s">
        <v>3</v>
      </c>
      <c r="I555" s="82">
        <v>2400</v>
      </c>
      <c r="J555" s="5">
        <f>VLOOKUP(I555,Наценка!$A$1:$G$8,2,1)</f>
        <v>1.27</v>
      </c>
      <c r="K555" s="34">
        <f>I555*J555</f>
        <v>3048</v>
      </c>
      <c r="L555" s="70">
        <f>IF(K555&lt;=1000,(ROUNDUP(K555,-1)-1),(ROUNDUP(K555,-2)-10))</f>
        <v>3090</v>
      </c>
      <c r="M555" s="80">
        <f>VLOOKUP($A555,'Выгр Кат'!$A:$R,M$1,0)</f>
        <v>2400</v>
      </c>
      <c r="N555" s="80">
        <f>VLOOKUP($A555,'Выгр Кат'!$A:$R,N$1,0)</f>
        <v>3090</v>
      </c>
      <c r="O555" s="28">
        <f>M555-I555</f>
        <v>0</v>
      </c>
      <c r="P555" s="28">
        <f>N555-L555</f>
        <v>0</v>
      </c>
      <c r="Q555" s="36">
        <f>IFERROR(L555*(1-$Q$2),"")</f>
        <v>2873.7</v>
      </c>
      <c r="R555" s="38" t="str">
        <f>IFERROR(VLOOKUP($A555,'Из Гугла'!$B:$G,6,0)*S555,VLOOKUP($A555,'Из Гугла'!$B:$G,6,0))</f>
        <v/>
      </c>
      <c r="S555" s="14">
        <v>1</v>
      </c>
      <c r="T555" s="83">
        <f>IFERROR(Q555/I555-1,"")</f>
        <v>0.19737499999999986</v>
      </c>
      <c r="U555" s="83" t="str">
        <f>IFERROR((W555-Q555)/W555,"")</f>
        <v/>
      </c>
      <c r="V555" s="83" t="str">
        <f>IFERROR(IF(W555="","",W555/I555-1),"")</f>
        <v/>
      </c>
      <c r="W555" s="84"/>
    </row>
    <row r="556" spans="1:24" ht="45" x14ac:dyDescent="0.25">
      <c r="A556" s="80">
        <v>117276</v>
      </c>
      <c r="B556" s="80">
        <f>VLOOKUP($A556,'Выгр Кат'!$A:$R,B$1,0)</f>
        <v>19812</v>
      </c>
      <c r="C556" s="81" t="str">
        <f>VLOOKUP($A556,'Выгр Кат'!$A:$R,C$1,0)</f>
        <v>LED (диодные "DLAA") подфарники c бегающим повторителем для Лада Нива 4x4, Урбан</v>
      </c>
      <c r="D556" s="80" t="str">
        <f>VLOOKUP($A556,'Выгр Кат'!$A:$R,D$1,0)</f>
        <v>Y</v>
      </c>
      <c r="E556" s="80" t="str">
        <f>VLOOKUP($A556,'Выгр Кат'!$A:$R,E$1,0)</f>
        <v>0</v>
      </c>
      <c r="F556" s="80" t="str">
        <f>VLOOKUP($A556,'Выгр Кат'!$A:$R,F$1,0)</f>
        <v>PL-2020</v>
      </c>
      <c r="G556" s="80">
        <f>VLOOKUP($A556,'Выгр Кат'!$A:$R,G$1,0)</f>
        <v>0</v>
      </c>
      <c r="H556" s="67" t="s">
        <v>3</v>
      </c>
      <c r="I556" s="82">
        <v>2600</v>
      </c>
      <c r="J556" s="5">
        <f>VLOOKUP(I556,Наценка!$A$1:$G$8,2,1)</f>
        <v>1.27</v>
      </c>
      <c r="K556" s="34">
        <f>I556*J556</f>
        <v>3302</v>
      </c>
      <c r="L556" s="70">
        <f>IF(K556&lt;=1000,(ROUNDUP(K556,-1)-1),(ROUNDUP(K556,-2)-10))</f>
        <v>3390</v>
      </c>
      <c r="M556" s="80">
        <f>VLOOKUP($A556,'Выгр Кат'!$A:$R,M$1,0)</f>
        <v>2600</v>
      </c>
      <c r="N556" s="80">
        <f>VLOOKUP($A556,'Выгр Кат'!$A:$R,N$1,0)</f>
        <v>3390</v>
      </c>
      <c r="O556" s="28">
        <f>M556-I556</f>
        <v>0</v>
      </c>
      <c r="P556" s="28">
        <f>N556-L556</f>
        <v>0</v>
      </c>
      <c r="Q556" s="36">
        <f>IFERROR(L556*(1-$Q$2),"")</f>
        <v>3152.7</v>
      </c>
      <c r="R556" s="38" t="str">
        <f>IFERROR(VLOOKUP($A556,'Из Гугла'!$B:$G,6,0)*S556,VLOOKUP($A556,'Из Гугла'!$B:$G,6,0))</f>
        <v/>
      </c>
      <c r="S556" s="14">
        <v>1</v>
      </c>
      <c r="T556" s="83">
        <f>IFERROR(Q556/I556-1,"")</f>
        <v>0.212576923076923</v>
      </c>
      <c r="U556" s="83" t="str">
        <f>IFERROR((W556-Q556)/W556,"")</f>
        <v/>
      </c>
      <c r="V556" s="83" t="str">
        <f>IFERROR(IF(W556="","",W556/I556-1),"")</f>
        <v/>
      </c>
      <c r="W556" s="84"/>
    </row>
    <row r="557" spans="1:24" ht="75" x14ac:dyDescent="0.25">
      <c r="A557" s="80">
        <v>213707</v>
      </c>
      <c r="B557" s="80">
        <f>VLOOKUP($A557,'Выгр Кат'!$A:$R,B$1,0)</f>
        <v>18696</v>
      </c>
      <c r="C557" s="81" t="str">
        <f>VLOOKUP($A557,'Выгр Кат'!$A:$R,C$1,0)</f>
        <v>Светодиодные фары 90W, 7 дюймов, чёрные HP-HLD-008 (с повторителем поворота и ДХО) для ВАЗ (2101, 2102), Лада (Нива 4x4, Урбан), УАЗ, Jeep Wrangler</v>
      </c>
      <c r="D557" s="80" t="str">
        <f>VLOOKUP($A557,'Выгр Кат'!$A:$R,D$1,0)</f>
        <v>Y</v>
      </c>
      <c r="E557" s="80" t="str">
        <f>VLOOKUP($A557,'Выгр Кат'!$A:$R,E$1,0)</f>
        <v>0</v>
      </c>
      <c r="F557" s="80" t="str">
        <f>VLOOKUP($A557,'Выгр Кат'!$A:$R,F$1,0)</f>
        <v>HP-HLD-008</v>
      </c>
      <c r="G557" s="80" t="str">
        <f>VLOOKUP($A557,'Выгр Кат'!$A:$R,G$1,0)</f>
        <v>https://motorring.ru/product/15120-svetodiodnye-fary-90w-dyuymov-chernye-povtoritelem-povorota</v>
      </c>
      <c r="H557" s="67" t="s">
        <v>3</v>
      </c>
      <c r="I557" s="82">
        <v>2800</v>
      </c>
      <c r="J557" s="5">
        <f>VLOOKUP(I557,Наценка!$A$1:$G$8,2,1)</f>
        <v>1.27</v>
      </c>
      <c r="K557" s="87">
        <f>W557*1.06</f>
        <v>5077.4000000000005</v>
      </c>
      <c r="L557" s="70">
        <f>IF(K557&lt;=1000,(ROUNDUP(K557,-1)-1),(ROUNDUP(K557,-2)-10))</f>
        <v>5090</v>
      </c>
      <c r="M557" s="80">
        <f>VLOOKUP($A557,'Выгр Кат'!$A:$R,M$1,0)</f>
        <v>2800</v>
      </c>
      <c r="N557" s="80">
        <f>VLOOKUP($A557,'Выгр Кат'!$A:$R,N$1,0)</f>
        <v>5090</v>
      </c>
      <c r="O557" s="28">
        <f>M557-I557</f>
        <v>0</v>
      </c>
      <c r="P557" s="28">
        <f>N557-L557</f>
        <v>0</v>
      </c>
      <c r="Q557" s="36">
        <f>IFERROR(L557*(1-$Q$2),"")</f>
        <v>4733.7</v>
      </c>
      <c r="R557" s="38">
        <f>IFERROR(VLOOKUP($A557,'Из Гугла'!$B:$G,6,0)*S557,VLOOKUP($A557,'Из Гугла'!$B:$G,6,0))</f>
        <v>4790</v>
      </c>
      <c r="S557" s="14">
        <v>1</v>
      </c>
      <c r="T557" s="83">
        <f>IFERROR(Q557/I557-1,"")</f>
        <v>0.69060714285714275</v>
      </c>
      <c r="U557" s="83">
        <f>IFERROR((W557-Q557)/W557,"")</f>
        <v>1.1753653444676448E-2</v>
      </c>
      <c r="V557" s="83">
        <f>IFERROR(IF(W557="","",W557/I557-1),"")</f>
        <v>0.71071428571428563</v>
      </c>
      <c r="W557" s="93">
        <v>4790</v>
      </c>
      <c r="X557" s="71" t="s">
        <v>767</v>
      </c>
    </row>
    <row r="558" spans="1:24" ht="30" x14ac:dyDescent="0.25">
      <c r="A558" s="80">
        <v>145532</v>
      </c>
      <c r="B558" s="80">
        <f>VLOOKUP($A558,'Выгр Кат'!$A:$R,B$1,0)</f>
        <v>4955</v>
      </c>
      <c r="C558" s="81" t="str">
        <f>VLOOKUP($A558,'Выгр Кат'!$A:$R,C$1,0)</f>
        <v>Задние фонари "Глаза" диодные для ВАЗ 2108-21099, 2113, 2114</v>
      </c>
      <c r="D558" s="80" t="str">
        <f>VLOOKUP($A558,'Выгр Кат'!$A:$R,D$1,0)</f>
        <v>Y</v>
      </c>
      <c r="E558" s="80" t="str">
        <f>VLOOKUP($A558,'Выгр Кат'!$A:$R,E$1,0)</f>
        <v>0</v>
      </c>
      <c r="F558" s="80" t="str">
        <f>VLOOKUP($A558,'Выгр Кат'!$A:$R,F$1,0)</f>
        <v>0013H</v>
      </c>
      <c r="G558" s="80">
        <f>VLOOKUP($A558,'Выгр Кат'!$A:$R,G$1,0)</f>
        <v>0</v>
      </c>
      <c r="H558" s="67" t="s">
        <v>3</v>
      </c>
      <c r="I558" s="82">
        <v>2800</v>
      </c>
      <c r="J558" s="5">
        <f>VLOOKUP(I558,Наценка!$A$1:$G$8,2,1)</f>
        <v>1.27</v>
      </c>
      <c r="K558" s="34">
        <f>I558*J558</f>
        <v>3556</v>
      </c>
      <c r="L558" s="70">
        <f>IF(K558&lt;=1000,(ROUNDUP(K558,-1)-1),(ROUNDUP(K558,-2)-10))</f>
        <v>3590</v>
      </c>
      <c r="M558" s="80">
        <f>VLOOKUP($A558,'Выгр Кат'!$A:$R,M$1,0)</f>
        <v>2800</v>
      </c>
      <c r="N558" s="80">
        <f>VLOOKUP($A558,'Выгр Кат'!$A:$R,N$1,0)</f>
        <v>3590</v>
      </c>
      <c r="O558" s="28">
        <f>M558-I558</f>
        <v>0</v>
      </c>
      <c r="P558" s="28">
        <f>N558-L558</f>
        <v>0</v>
      </c>
      <c r="Q558" s="36">
        <f>IFERROR(L558*(1-$Q$2),"")</f>
        <v>3338.7</v>
      </c>
      <c r="R558" s="38" t="str">
        <f>IFERROR(VLOOKUP($A558,'Из Гугла'!$B:$G,6,0)*S558,VLOOKUP($A558,'Из Гугла'!$B:$G,6,0))</f>
        <v/>
      </c>
      <c r="S558" s="14">
        <v>1</v>
      </c>
      <c r="T558" s="83">
        <f>IFERROR(Q558/I558-1,"")</f>
        <v>0.19239285714285703</v>
      </c>
      <c r="U558" s="83" t="str">
        <f>IFERROR((W558-Q558)/W558,"")</f>
        <v/>
      </c>
      <c r="V558" s="83" t="str">
        <f>IFERROR(IF(W558="","",W558/I558-1),"")</f>
        <v/>
      </c>
      <c r="W558" s="84"/>
    </row>
    <row r="559" spans="1:24" ht="30" x14ac:dyDescent="0.25">
      <c r="A559" s="80">
        <v>143810</v>
      </c>
      <c r="B559" s="80">
        <f>VLOOKUP($A559,'Выгр Кат'!$A:$R,B$1,0)</f>
        <v>134779</v>
      </c>
      <c r="C559" s="81" t="str">
        <f>VLOOKUP($A559,'Выгр Кат'!$A:$R,C$1,0)</f>
        <v>Диодные ПТФ с линзой для Лада Веста, Веста NG, XRAY, Нива 4x4</v>
      </c>
      <c r="D559" s="80" t="str">
        <f>VLOOKUP($A559,'Выгр Кат'!$A:$R,D$1,0)</f>
        <v>N</v>
      </c>
      <c r="E559" s="80" t="str">
        <f>VLOOKUP($A559,'Выгр Кат'!$A:$R,E$1,0)</f>
        <v>1</v>
      </c>
      <c r="F559" s="80" t="str">
        <f>VLOOKUP($A559,'Выгр Кат'!$A:$R,F$1,0)</f>
        <v>RN-098LED</v>
      </c>
      <c r="G559" s="80">
        <f>VLOOKUP($A559,'Выгр Кат'!$A:$R,G$1,0)</f>
        <v>0</v>
      </c>
      <c r="H559" s="67" t="s">
        <v>3</v>
      </c>
      <c r="I559" s="82">
        <v>3000</v>
      </c>
      <c r="J559" s="5">
        <f>VLOOKUP(I559,Наценка!$A$1:$G$8,2,1)</f>
        <v>1.27</v>
      </c>
      <c r="K559" s="34">
        <f>I559*J559</f>
        <v>3810</v>
      </c>
      <c r="L559" s="70">
        <f>IF(K559&lt;=1000,(ROUNDUP(K559,-1)-1),(ROUNDUP(K559,-2)-10))</f>
        <v>3890</v>
      </c>
      <c r="M559" s="80">
        <f>VLOOKUP($A559,'Выгр Кат'!$A:$R,M$1,0)</f>
        <v>3000</v>
      </c>
      <c r="N559" s="80">
        <f>VLOOKUP($A559,'Выгр Кат'!$A:$R,N$1,0)</f>
        <v>3890</v>
      </c>
      <c r="O559" s="28">
        <f>M559-I559</f>
        <v>0</v>
      </c>
      <c r="P559" s="28">
        <f>N559-L559</f>
        <v>0</v>
      </c>
      <c r="Q559" s="36">
        <f>IFERROR(L559*(1-$Q$2),"")</f>
        <v>3617.7</v>
      </c>
      <c r="R559" s="38" t="str">
        <f>IFERROR(VLOOKUP($A559,'Из Гугла'!$B:$G,6,0)*S559,VLOOKUP($A559,'Из Гугла'!$B:$G,6,0))</f>
        <v/>
      </c>
      <c r="S559" s="14">
        <v>1</v>
      </c>
      <c r="T559" s="83">
        <f>IFERROR(Q559/I559-1,"")</f>
        <v>0.20589999999999997</v>
      </c>
      <c r="U559" s="83" t="str">
        <f>IFERROR((W559-Q559)/W559,"")</f>
        <v/>
      </c>
      <c r="V559" s="83" t="str">
        <f>IFERROR(IF(W559="","",W559/I559-1),"")</f>
        <v/>
      </c>
      <c r="W559" s="84"/>
    </row>
    <row r="560" spans="1:24" ht="45" x14ac:dyDescent="0.25">
      <c r="A560" s="80">
        <v>251651</v>
      </c>
      <c r="B560" s="80">
        <f>VLOOKUP($A560,'Выгр Кат'!$A:$R,B$1,0)</f>
        <v>176625</v>
      </c>
      <c r="C560" s="81" t="str">
        <f>VLOOKUP($A560,'Выгр Кат'!$A:$R,C$1,0)</f>
        <v>Противотуманные фары "DLAA" для Лада (Гранта FL, Веста, XRAY, Нива), Renault</v>
      </c>
      <c r="D560" s="80" t="str">
        <f>VLOOKUP($A560,'Выгр Кат'!$A:$R,D$1,0)</f>
        <v>Y</v>
      </c>
      <c r="E560" s="80" t="str">
        <f>VLOOKUP($A560,'Выгр Кат'!$A:$R,E$1,0)</f>
        <v>0</v>
      </c>
      <c r="F560" s="80" t="str">
        <f>VLOOKUP($A560,'Выгр Кат'!$A:$R,F$1,0)</f>
        <v>RN198LED</v>
      </c>
      <c r="G560" s="80">
        <f>VLOOKUP($A560,'Выгр Кат'!$A:$R,G$1,0)</f>
        <v>0</v>
      </c>
      <c r="H560" s="67" t="s">
        <v>3</v>
      </c>
      <c r="I560" s="82">
        <v>3000</v>
      </c>
      <c r="J560" s="5">
        <f>VLOOKUP(I560,Наценка!$A$1:$G$8,2,1)</f>
        <v>1.27</v>
      </c>
      <c r="K560" s="34">
        <f>I560*J560</f>
        <v>3810</v>
      </c>
      <c r="L560" s="70">
        <f>IF(K560&lt;=1000,(ROUNDUP(K560,-1)-1),(ROUNDUP(K560,-2)-10))</f>
        <v>3890</v>
      </c>
      <c r="M560" s="80">
        <f>VLOOKUP($A560,'Выгр Кат'!$A:$R,M$1,0)</f>
        <v>3000</v>
      </c>
      <c r="N560" s="80">
        <f>VLOOKUP($A560,'Выгр Кат'!$A:$R,N$1,0)</f>
        <v>3890</v>
      </c>
      <c r="O560" s="28">
        <f>M560-I560</f>
        <v>0</v>
      </c>
      <c r="P560" s="28">
        <f>N560-L560</f>
        <v>0</v>
      </c>
      <c r="Q560" s="36">
        <f>IFERROR(L560*(1-$Q$2),"")</f>
        <v>3617.7</v>
      </c>
      <c r="R560" s="38" t="str">
        <f>IFERROR(VLOOKUP($A560,'Из Гугла'!$B:$G,6,0)*S560,VLOOKUP($A560,'Из Гугла'!$B:$G,6,0))</f>
        <v/>
      </c>
      <c r="S560" s="14">
        <v>1</v>
      </c>
      <c r="T560" s="83">
        <f>IFERROR(Q560/I560-1,"")</f>
        <v>0.20589999999999997</v>
      </c>
      <c r="U560" s="83" t="str">
        <f>IFERROR((W560-Q560)/W560,"")</f>
        <v/>
      </c>
      <c r="V560" s="83" t="str">
        <f>IFERROR(IF(W560="","",W560/I560-1),"")</f>
        <v/>
      </c>
      <c r="W560" s="84"/>
    </row>
    <row r="561" spans="1:24" ht="45" x14ac:dyDescent="0.25">
      <c r="A561" s="80">
        <v>220054</v>
      </c>
      <c r="B561" s="80">
        <f>VLOOKUP($A561,'Выгр Кат'!$A:$R,B$1,0)</f>
        <v>4684</v>
      </c>
      <c r="C561" s="81" t="str">
        <f>VLOOKUP($A561,'Выгр Кат'!$A:$R,C$1,0)</f>
        <v>Тюнинг задние фонари диодные (красно-серые) для Лада Гранта (седан)</v>
      </c>
      <c r="D561" s="80" t="str">
        <f>VLOOKUP($A561,'Выгр Кат'!$A:$R,D$1,0)</f>
        <v>Y</v>
      </c>
      <c r="E561" s="80" t="str">
        <f>VLOOKUP($A561,'Выгр Кат'!$A:$R,E$1,0)</f>
        <v>0</v>
      </c>
      <c r="F561" s="80">
        <f>VLOOKUP($A561,'Выгр Кат'!$A:$R,F$1,0)</f>
        <v>0</v>
      </c>
      <c r="G561" s="80" t="str">
        <f>VLOOKUP($A561,'Выгр Кат'!$A:$R,G$1,0)</f>
        <v>https://motorring.ru/product/8172-diodnye-krasno-serye-fonari-lada-granta-sedan</v>
      </c>
      <c r="H561" s="67" t="s">
        <v>3</v>
      </c>
      <c r="I561" s="82">
        <v>3100</v>
      </c>
      <c r="J561" s="5">
        <f>VLOOKUP(I561,Наценка!$A$1:$G$8,2,1)</f>
        <v>1.27</v>
      </c>
      <c r="K561" s="90">
        <f>W561*1.04</f>
        <v>4149.6000000000004</v>
      </c>
      <c r="L561" s="70">
        <f>IF(K561&lt;=1000,(ROUNDUP(K561,-1)-1),(ROUNDUP(K561,-2)-10))</f>
        <v>4190</v>
      </c>
      <c r="M561" s="80">
        <f>VLOOKUP($A561,'Выгр Кат'!$A:$R,M$1,0)</f>
        <v>3100</v>
      </c>
      <c r="N561" s="80">
        <f>VLOOKUP($A561,'Выгр Кат'!$A:$R,N$1,0)</f>
        <v>4190</v>
      </c>
      <c r="O561" s="28">
        <f>M561-I561</f>
        <v>0</v>
      </c>
      <c r="P561" s="28">
        <f>N561-L561</f>
        <v>0</v>
      </c>
      <c r="Q561" s="36">
        <f>IFERROR(L561*(1-$Q$2),"")</f>
        <v>3896.7</v>
      </c>
      <c r="R561" s="38" t="str">
        <f>IFERROR(VLOOKUP($A561,'Из Гугла'!$B:$G,6,0)*S561,VLOOKUP($A561,'Из Гугла'!$B:$G,6,0))</f>
        <v/>
      </c>
      <c r="S561" s="14">
        <v>1</v>
      </c>
      <c r="T561" s="83">
        <f>IFERROR(Q561/I561-1,"")</f>
        <v>0.2569999999999999</v>
      </c>
      <c r="U561" s="83">
        <f>IFERROR((W561-Q561)/W561,"")</f>
        <v>2.3383458646616586E-2</v>
      </c>
      <c r="V561" s="83">
        <f>IFERROR(IF(W561="","",W561/I561-1),"")</f>
        <v>0.2870967741935484</v>
      </c>
      <c r="W561" s="93">
        <v>3990</v>
      </c>
      <c r="X561" s="71" t="s">
        <v>880</v>
      </c>
    </row>
    <row r="562" spans="1:24" ht="30" x14ac:dyDescent="0.25">
      <c r="A562" s="80">
        <v>213659</v>
      </c>
      <c r="B562" s="80">
        <f>VLOOKUP($A562,'Выгр Кат'!$A:$R,B$1,0)</f>
        <v>38484</v>
      </c>
      <c r="C562" s="81" t="str">
        <f>VLOOKUP($A562,'Выгр Кат'!$A:$R,C$1,0)</f>
        <v>(дубль) Светодиодные лампы Y9 mini LED HB4</v>
      </c>
      <c r="D562" s="80" t="str">
        <f>VLOOKUP($A562,'Выгр Кат'!$A:$R,D$1,0)</f>
        <v>N</v>
      </c>
      <c r="E562" s="80" t="str">
        <f>VLOOKUP($A562,'Выгр Кат'!$A:$R,E$1,0)</f>
        <v>1</v>
      </c>
      <c r="F562" s="80" t="str">
        <f>VLOOKUP($A562,'Выгр Кат'!$A:$R,F$1,0)</f>
        <v>9006</v>
      </c>
      <c r="G562" s="80">
        <f>VLOOKUP($A562,'Выгр Кат'!$A:$R,G$1,0)</f>
        <v>0</v>
      </c>
      <c r="H562" s="67" t="s">
        <v>3</v>
      </c>
      <c r="I562" s="82">
        <v>3200</v>
      </c>
      <c r="J562" s="5">
        <f>VLOOKUP(I562,Наценка!$A$1:$G$8,2,1)</f>
        <v>1.27</v>
      </c>
      <c r="K562" s="34">
        <f>I562*J562</f>
        <v>4064</v>
      </c>
      <c r="L562" s="70">
        <f>IF(K562&lt;=1000,(ROUNDUP(K562,-1)-1),(ROUNDUP(K562,-2)-10))</f>
        <v>4090</v>
      </c>
      <c r="M562" s="80">
        <f>VLOOKUP($A562,'Выгр Кат'!$A:$R,M$1,0)</f>
        <v>3200</v>
      </c>
      <c r="N562" s="80">
        <f>VLOOKUP($A562,'Выгр Кат'!$A:$R,N$1,0)</f>
        <v>4090</v>
      </c>
      <c r="O562" s="28">
        <f>M562-I562</f>
        <v>0</v>
      </c>
      <c r="P562" s="28">
        <f>N562-L562</f>
        <v>0</v>
      </c>
      <c r="Q562" s="36">
        <f>IFERROR(L562*(1-$Q$2),"")</f>
        <v>3803.7</v>
      </c>
      <c r="R562" s="38" t="str">
        <f>IFERROR(VLOOKUP($A562,'Из Гугла'!$B:$G,6,0)*S562,VLOOKUP($A562,'Из Гугла'!$B:$G,6,0))</f>
        <v/>
      </c>
      <c r="S562" s="14">
        <v>1</v>
      </c>
      <c r="T562" s="83">
        <f>IFERROR(Q562/I562-1,"")</f>
        <v>0.18865624999999997</v>
      </c>
      <c r="U562" s="83" t="str">
        <f>IFERROR((W562-Q562)/W562,"")</f>
        <v/>
      </c>
      <c r="V562" s="83" t="str">
        <f>IFERROR(IF(W562="","",W562/I562-1),"")</f>
        <v/>
      </c>
      <c r="W562" s="84"/>
    </row>
    <row r="563" spans="1:24" ht="30" x14ac:dyDescent="0.25">
      <c r="A563" s="80">
        <v>213658</v>
      </c>
      <c r="B563" s="80">
        <f>VLOOKUP($A563,'Выгр Кат'!$A:$R,B$1,0)</f>
        <v>38483</v>
      </c>
      <c r="C563" s="81" t="str">
        <f>VLOOKUP($A563,'Выгр Кат'!$A:$R,C$1,0)</f>
        <v>Светодиодные лампы Y9 mini LED HB3</v>
      </c>
      <c r="D563" s="80" t="str">
        <f>VLOOKUP($A563,'Выгр Кат'!$A:$R,D$1,0)</f>
        <v>N</v>
      </c>
      <c r="E563" s="80" t="str">
        <f>VLOOKUP($A563,'Выгр Кат'!$A:$R,E$1,0)</f>
        <v>1</v>
      </c>
      <c r="F563" s="80" t="str">
        <f>VLOOKUP($A563,'Выгр Кат'!$A:$R,F$1,0)</f>
        <v>9005</v>
      </c>
      <c r="G563" s="80">
        <f>VLOOKUP($A563,'Выгр Кат'!$A:$R,G$1,0)</f>
        <v>0</v>
      </c>
      <c r="H563" s="67" t="s">
        <v>3</v>
      </c>
      <c r="I563" s="82">
        <v>3200</v>
      </c>
      <c r="J563" s="5">
        <f>VLOOKUP(I563,Наценка!$A$1:$G$8,2,1)</f>
        <v>1.27</v>
      </c>
      <c r="K563" s="34">
        <f>I563*J563</f>
        <v>4064</v>
      </c>
      <c r="L563" s="39">
        <f>IF(K563&lt;=1000,(ROUNDUP(K563,-1)-1),(ROUNDUP(K563,-2)-10))</f>
        <v>4090</v>
      </c>
      <c r="M563" s="80">
        <f>VLOOKUP($A563,'Выгр Кат'!$A:$R,M$1,0)</f>
        <v>3200</v>
      </c>
      <c r="N563" s="80">
        <f>VLOOKUP($A563,'Выгр Кат'!$A:$R,N$1,0)</f>
        <v>4090</v>
      </c>
      <c r="O563" s="28">
        <f>M563-I563</f>
        <v>0</v>
      </c>
      <c r="P563" s="28">
        <f>N563-L563</f>
        <v>0</v>
      </c>
      <c r="Q563" s="36">
        <f>IFERROR(L563*(1-$Q$2),"")</f>
        <v>3803.7</v>
      </c>
      <c r="R563" s="38" t="str">
        <f>IFERROR(VLOOKUP($A563,'Из Гугла'!$B:$G,6,0)*S563,VLOOKUP($A563,'Из Гугла'!$B:$G,6,0))</f>
        <v/>
      </c>
      <c r="S563" s="14">
        <v>1</v>
      </c>
      <c r="T563" s="83">
        <f>IFERROR(Q563/I563-1,"")</f>
        <v>0.18865624999999997</v>
      </c>
      <c r="U563" s="83" t="str">
        <f>IFERROR((W563-Q563)/W563,"")</f>
        <v/>
      </c>
      <c r="V563" s="83" t="str">
        <f>IFERROR(IF(W563="","",W563/I563-1),"")</f>
        <v/>
      </c>
      <c r="W563" s="84"/>
    </row>
    <row r="564" spans="1:24" ht="60" x14ac:dyDescent="0.25">
      <c r="A564" s="80">
        <v>213657</v>
      </c>
      <c r="B564" s="80">
        <f>VLOOKUP($A564,'Выгр Кат'!$A:$R,B$1,0)</f>
        <v>38481</v>
      </c>
      <c r="C564" s="81" t="str">
        <f>VLOOKUP($A564,'Выгр Кат'!$A:$R,C$1,0)</f>
        <v>Светодиодные лампы Y9 mini LED H7 для Лада (Калина, Калина 2, Приора, Приора 2, Веста, XRAY), Шевроле Нива</v>
      </c>
      <c r="D564" s="80" t="str">
        <f>VLOOKUP($A564,'Выгр Кат'!$A:$R,D$1,0)</f>
        <v>N</v>
      </c>
      <c r="E564" s="80" t="str">
        <f>VLOOKUP($A564,'Выгр Кат'!$A:$R,E$1,0)</f>
        <v>1</v>
      </c>
      <c r="F564" s="80">
        <f>VLOOKUP($A564,'Выгр Кат'!$A:$R,F$1,0)</f>
        <v>0</v>
      </c>
      <c r="G564" s="80">
        <f>VLOOKUP($A564,'Выгр Кат'!$A:$R,G$1,0)</f>
        <v>0</v>
      </c>
      <c r="H564" s="67" t="s">
        <v>3</v>
      </c>
      <c r="I564" s="82">
        <v>3200</v>
      </c>
      <c r="J564" s="5">
        <f>VLOOKUP(I564,Наценка!$A$1:$G$8,2,1)</f>
        <v>1.27</v>
      </c>
      <c r="K564" s="34">
        <f>I564*J564</f>
        <v>4064</v>
      </c>
      <c r="L564" s="39">
        <f>IF(K564&lt;=1000,(ROUNDUP(K564,-1)-1),(ROUNDUP(K564,-2)-10))</f>
        <v>4090</v>
      </c>
      <c r="M564" s="80">
        <f>VLOOKUP($A564,'Выгр Кат'!$A:$R,M$1,0)</f>
        <v>3200</v>
      </c>
      <c r="N564" s="80">
        <f>VLOOKUP($A564,'Выгр Кат'!$A:$R,N$1,0)</f>
        <v>4090</v>
      </c>
      <c r="O564" s="28">
        <f>M564-I564</f>
        <v>0</v>
      </c>
      <c r="P564" s="28">
        <f>N564-L564</f>
        <v>0</v>
      </c>
      <c r="Q564" s="36">
        <f>IFERROR(L564*(1-$Q$2),"")</f>
        <v>3803.7</v>
      </c>
      <c r="R564" s="38" t="str">
        <f>IFERROR(VLOOKUP($A564,'Из Гугла'!$B:$G,6,0)*S564,VLOOKUP($A564,'Из Гугла'!$B:$G,6,0))</f>
        <v/>
      </c>
      <c r="S564" s="14">
        <v>1</v>
      </c>
      <c r="T564" s="83">
        <f>IFERROR(Q564/I564-1,"")</f>
        <v>0.18865624999999997</v>
      </c>
      <c r="U564" s="83" t="str">
        <f>IFERROR((W564-Q564)/W564,"")</f>
        <v/>
      </c>
      <c r="V564" s="83" t="str">
        <f>IFERROR(IF(W564="","",W564/I564-1),"")</f>
        <v/>
      </c>
      <c r="W564" s="84"/>
    </row>
    <row r="565" spans="1:24" ht="45" x14ac:dyDescent="0.25">
      <c r="A565" s="80">
        <v>117032</v>
      </c>
      <c r="B565" s="80">
        <f>VLOOKUP($A565,'Выгр Кат'!$A:$R,B$1,0)</f>
        <v>5102</v>
      </c>
      <c r="C565" s="81" t="str">
        <f>VLOOKUP($A565,'Выгр Кат'!$A:$R,C$1,0)</f>
        <v>Передние фары с ангельскими глазками (черные) для ВАЗ 2104, 2105, 2107</v>
      </c>
      <c r="D565" s="80" t="str">
        <f>VLOOKUP($A565,'Выгр Кат'!$A:$R,D$1,0)</f>
        <v>Y</v>
      </c>
      <c r="E565" s="80" t="str">
        <f>VLOOKUP($A565,'Выгр Кат'!$A:$R,E$1,0)</f>
        <v>0</v>
      </c>
      <c r="F565" s="80">
        <f>VLOOKUP($A565,'Выгр Кат'!$A:$R,F$1,0)</f>
        <v>0</v>
      </c>
      <c r="G565" s="80">
        <f>VLOOKUP($A565,'Выгр Кат'!$A:$R,G$1,0)</f>
        <v>0</v>
      </c>
      <c r="H565" s="67" t="s">
        <v>3</v>
      </c>
      <c r="I565" s="82">
        <v>3200</v>
      </c>
      <c r="J565" s="5">
        <f>VLOOKUP(I565,Наценка!$A$1:$G$8,2,1)</f>
        <v>1.27</v>
      </c>
      <c r="K565" s="34">
        <f>I565*J565</f>
        <v>4064</v>
      </c>
      <c r="L565" s="70">
        <f>IF(K565&lt;=1000,(ROUNDUP(K565,-1)-1),(ROUNDUP(K565,-2)-10))</f>
        <v>4090</v>
      </c>
      <c r="M565" s="80">
        <f>VLOOKUP($A565,'Выгр Кат'!$A:$R,M$1,0)</f>
        <v>3200</v>
      </c>
      <c r="N565" s="80">
        <f>VLOOKUP($A565,'Выгр Кат'!$A:$R,N$1,0)</f>
        <v>4090</v>
      </c>
      <c r="O565" s="28">
        <f>M565-I565</f>
        <v>0</v>
      </c>
      <c r="P565" s="28">
        <f>N565-L565</f>
        <v>0</v>
      </c>
      <c r="Q565" s="36">
        <f>IFERROR(L565*(1-$Q$2),"")</f>
        <v>3803.7</v>
      </c>
      <c r="R565" s="38" t="str">
        <f>IFERROR(VLOOKUP($A565,'Из Гугла'!$B:$G,6,0)*S565,VLOOKUP($A565,'Из Гугла'!$B:$G,6,0))</f>
        <v/>
      </c>
      <c r="S565" s="14">
        <v>1</v>
      </c>
      <c r="T565" s="83">
        <f>IFERROR(Q565/I565-1,"")</f>
        <v>0.18865624999999997</v>
      </c>
      <c r="U565" s="83" t="str">
        <f>IFERROR((W565-Q565)/W565,"")</f>
        <v/>
      </c>
      <c r="V565" s="83" t="str">
        <f>IFERROR(IF(W565="","",W565/I565-1),"")</f>
        <v/>
      </c>
      <c r="W565" s="84"/>
    </row>
    <row r="566" spans="1:24" ht="60" x14ac:dyDescent="0.25">
      <c r="A566" s="80">
        <v>201810</v>
      </c>
      <c r="B566" s="80">
        <f>VLOOKUP($A566,'Выгр Кат'!$A:$R,B$1,0)</f>
        <v>30939</v>
      </c>
      <c r="C566" s="81" t="str">
        <f>VLOOKUP($A566,'Выгр Кат'!$A:$R,C$1,0)</f>
        <v>Противотуманные фары с линзой для Лада (Гранта FL, Нива 4х4 Урбан, Веста, XRAY), Renault, Suzuki, Citroen, Ford, Honda, Mitsubishi, Mazda, Nissan</v>
      </c>
      <c r="D566" s="80" t="str">
        <f>VLOOKUP($A566,'Выгр Кат'!$A:$R,D$1,0)</f>
        <v>N</v>
      </c>
      <c r="E566" s="80" t="str">
        <f>VLOOKUP($A566,'Выгр Кат'!$A:$R,E$1,0)</f>
        <v>1</v>
      </c>
      <c r="F566" s="80" t="str">
        <f>VLOOKUP($A566,'Выгр Кат'!$A:$R,F$1,0)</f>
        <v>PN098 LED</v>
      </c>
      <c r="G566" s="80">
        <f>VLOOKUP($A566,'Выгр Кат'!$A:$R,G$1,0)</f>
        <v>0</v>
      </c>
      <c r="H566" s="67" t="s">
        <v>3</v>
      </c>
      <c r="I566" s="82">
        <v>3300</v>
      </c>
      <c r="J566" s="5">
        <f>VLOOKUP(I566,Наценка!$A$1:$G$8,2,1)</f>
        <v>1.27</v>
      </c>
      <c r="K566" s="34">
        <f>I566*J566</f>
        <v>4191</v>
      </c>
      <c r="L566" s="39">
        <f>IF(K566&lt;=1000,(ROUNDUP(K566,-1)-1),(ROUNDUP(K566,-2)-10))</f>
        <v>4190</v>
      </c>
      <c r="M566" s="80">
        <f>VLOOKUP($A566,'Выгр Кат'!$A:$R,M$1,0)</f>
        <v>3300</v>
      </c>
      <c r="N566" s="80">
        <f>VLOOKUP($A566,'Выгр Кат'!$A:$R,N$1,0)</f>
        <v>4190</v>
      </c>
      <c r="O566" s="28">
        <f>M566-I566</f>
        <v>0</v>
      </c>
      <c r="P566" s="28">
        <f>N566-L566</f>
        <v>0</v>
      </c>
      <c r="Q566" s="36">
        <f>IFERROR(L566*(1-$Q$2),"")</f>
        <v>3896.7</v>
      </c>
      <c r="R566" s="38" t="str">
        <f>IFERROR(VLOOKUP($A566,'Из Гугла'!$B:$G,6,0)*S566,VLOOKUP($A566,'Из Гугла'!$B:$G,6,0))</f>
        <v/>
      </c>
      <c r="S566" s="14">
        <v>1</v>
      </c>
      <c r="T566" s="83">
        <f>IFERROR(Q566/I566-1,"")</f>
        <v>0.18081818181818177</v>
      </c>
      <c r="U566" s="83" t="str">
        <f>IFERROR((W566-Q566)/W566,"")</f>
        <v/>
      </c>
      <c r="V566" s="83" t="str">
        <f>IFERROR(IF(W566="","",W566/I566-1),"")</f>
        <v/>
      </c>
      <c r="W566" s="84"/>
    </row>
    <row r="567" spans="1:24" ht="30" x14ac:dyDescent="0.25">
      <c r="A567" s="80">
        <v>187495</v>
      </c>
      <c r="B567" s="80">
        <f>VLOOKUP($A567,'Выгр Кат'!$A:$R,B$1,0)</f>
        <v>4921</v>
      </c>
      <c r="C567" s="81" t="str">
        <f>VLOOKUP($A567,'Выгр Кат'!$A:$R,C$1,0)</f>
        <v>Передние фары с ангельскими глазками, чёрные для ВАЗ 2108-21099</v>
      </c>
      <c r="D567" s="80" t="str">
        <f>VLOOKUP($A567,'Выгр Кат'!$A:$R,D$1,0)</f>
        <v>Y</v>
      </c>
      <c r="E567" s="80" t="str">
        <f>VLOOKUP($A567,'Выгр Кат'!$A:$R,E$1,0)</f>
        <v>0</v>
      </c>
      <c r="F567" s="80" t="str">
        <f>VLOOKUP($A567,'Выгр Кат'!$A:$R,F$1,0)</f>
        <v>DH408</v>
      </c>
      <c r="G567" s="80">
        <f>VLOOKUP($A567,'Выгр Кат'!$A:$R,G$1,0)</f>
        <v>0</v>
      </c>
      <c r="H567" s="67" t="s">
        <v>3</v>
      </c>
      <c r="I567" s="82">
        <v>3500</v>
      </c>
      <c r="J567" s="5">
        <f>VLOOKUP(I567,Наценка!$A$1:$G$8,2,1)</f>
        <v>1.27</v>
      </c>
      <c r="K567" s="34">
        <f>I567*J567</f>
        <v>4445</v>
      </c>
      <c r="L567" s="39">
        <f>IF(K567&lt;=1000,(ROUNDUP(K567,-1)-1),(ROUNDUP(K567,-2)-10))</f>
        <v>4490</v>
      </c>
      <c r="M567" s="80">
        <f>VLOOKUP($A567,'Выгр Кат'!$A:$R,M$1,0)</f>
        <v>3500</v>
      </c>
      <c r="N567" s="80">
        <f>VLOOKUP($A567,'Выгр Кат'!$A:$R,N$1,0)</f>
        <v>4490</v>
      </c>
      <c r="O567" s="28">
        <f>M567-I567</f>
        <v>0</v>
      </c>
      <c r="P567" s="28">
        <f>N567-L567</f>
        <v>0</v>
      </c>
      <c r="Q567" s="36">
        <f>IFERROR(L567*(1-$Q$2),"")</f>
        <v>4175.7</v>
      </c>
      <c r="R567" s="38" t="str">
        <f>IFERROR(VLOOKUP($A567,'Из Гугла'!$B:$G,6,0)*S567,VLOOKUP($A567,'Из Гугла'!$B:$G,6,0))</f>
        <v/>
      </c>
      <c r="S567" s="14">
        <v>1</v>
      </c>
      <c r="T567" s="83">
        <f>IFERROR(Q567/I567-1,"")</f>
        <v>0.19305714285714282</v>
      </c>
      <c r="U567" s="83" t="str">
        <f>IFERROR((W567-Q567)/W567,"")</f>
        <v/>
      </c>
      <c r="V567" s="83" t="str">
        <f>IFERROR(IF(W567="","",W567/I567-1),"")</f>
        <v/>
      </c>
      <c r="W567" s="84"/>
    </row>
    <row r="568" spans="1:24" ht="45" x14ac:dyDescent="0.25">
      <c r="A568" s="80">
        <v>213719</v>
      </c>
      <c r="B568" s="80">
        <f>VLOOKUP($A568,'Выгр Кат'!$A:$R,B$1,0)</f>
        <v>5094</v>
      </c>
      <c r="C568" s="81" t="str">
        <f>VLOOKUP($A568,'Выгр Кат'!$A:$R,C$1,0)</f>
        <v>Светодиодные фары передние с ангельскими глазками (черные) для ВАЗ 2104, 2105, 2107</v>
      </c>
      <c r="D568" s="80" t="str">
        <f>VLOOKUP($A568,'Выгр Кат'!$A:$R,D$1,0)</f>
        <v>Y</v>
      </c>
      <c r="E568" s="80" t="str">
        <f>VLOOKUP($A568,'Выгр Кат'!$A:$R,E$1,0)</f>
        <v>0</v>
      </c>
      <c r="F568" s="80">
        <f>VLOOKUP($A568,'Выгр Кат'!$A:$R,F$1,0)</f>
        <v>0</v>
      </c>
      <c r="G568" s="80">
        <f>VLOOKUP($A568,'Выгр Кат'!$A:$R,G$1,0)</f>
        <v>0</v>
      </c>
      <c r="H568" s="67" t="s">
        <v>3</v>
      </c>
      <c r="I568" s="82">
        <v>3500</v>
      </c>
      <c r="J568" s="5">
        <f>VLOOKUP(I568,Наценка!$A$1:$G$8,2,1)</f>
        <v>1.27</v>
      </c>
      <c r="K568" s="34">
        <f>I568*J568</f>
        <v>4445</v>
      </c>
      <c r="L568" s="70">
        <f>IF(K568&lt;=1000,(ROUNDUP(K568,-1)-1),(ROUNDUP(K568,-2)-10))</f>
        <v>4490</v>
      </c>
      <c r="M568" s="80">
        <f>VLOOKUP($A568,'Выгр Кат'!$A:$R,M$1,0)</f>
        <v>3500</v>
      </c>
      <c r="N568" s="80">
        <f>VLOOKUP($A568,'Выгр Кат'!$A:$R,N$1,0)</f>
        <v>4490</v>
      </c>
      <c r="O568" s="28">
        <f>M568-I568</f>
        <v>0</v>
      </c>
      <c r="P568" s="28">
        <f>N568-L568</f>
        <v>0</v>
      </c>
      <c r="Q568" s="36">
        <f>IFERROR(L568*(1-$Q$2),"")</f>
        <v>4175.7</v>
      </c>
      <c r="R568" s="38" t="str">
        <f>IFERROR(VLOOKUP($A568,'Из Гугла'!$B:$G,6,0)*S568,VLOOKUP($A568,'Из Гугла'!$B:$G,6,0))</f>
        <v/>
      </c>
      <c r="S568" s="14">
        <v>1</v>
      </c>
      <c r="T568" s="83">
        <f>IFERROR(Q568/I568-1,"")</f>
        <v>0.19305714285714282</v>
      </c>
      <c r="U568" s="83" t="str">
        <f>IFERROR((W568-Q568)/W568,"")</f>
        <v/>
      </c>
      <c r="V568" s="83" t="str">
        <f>IFERROR(IF(W568="","",W568/I568-1),"")</f>
        <v/>
      </c>
      <c r="W568" s="84"/>
    </row>
    <row r="569" spans="1:24" ht="30" x14ac:dyDescent="0.25">
      <c r="A569" s="80">
        <v>223951</v>
      </c>
      <c r="B569" s="80">
        <f>VLOOKUP($A569,'Выгр Кат'!$A:$R,B$1,0)</f>
        <v>4856</v>
      </c>
      <c r="C569" s="81" t="str">
        <f>VLOOKUP($A569,'Выгр Кат'!$A:$R,C$1,0)</f>
        <v>Фары с ДХО (хром) для Лада Приора</v>
      </c>
      <c r="D569" s="80" t="str">
        <f>VLOOKUP($A569,'Выгр Кат'!$A:$R,D$1,0)</f>
        <v>Y</v>
      </c>
      <c r="E569" s="80" t="str">
        <f>VLOOKUP($A569,'Выгр Кат'!$A:$R,E$1,0)</f>
        <v>0</v>
      </c>
      <c r="F569" s="80">
        <f>VLOOKUP($A569,'Выгр Кат'!$A:$R,F$1,0)</f>
        <v>0</v>
      </c>
      <c r="G569" s="80">
        <f>VLOOKUP($A569,'Выгр Кат'!$A:$R,G$1,0)</f>
        <v>0</v>
      </c>
      <c r="H569" s="67" t="s">
        <v>3</v>
      </c>
      <c r="I569" s="82">
        <v>3600</v>
      </c>
      <c r="J569" s="5">
        <f>VLOOKUP(I569,Наценка!$A$1:$G$8,2,1)</f>
        <v>1.27</v>
      </c>
      <c r="K569" s="34">
        <f>I569*J569</f>
        <v>4572</v>
      </c>
      <c r="L569" s="70">
        <f>IF(K569&lt;=1000,(ROUNDUP(K569,-1)-1),(ROUNDUP(K569,-2)-10))</f>
        <v>4590</v>
      </c>
      <c r="M569" s="80">
        <f>VLOOKUP($A569,'Выгр Кат'!$A:$R,M$1,0)</f>
        <v>3600</v>
      </c>
      <c r="N569" s="80">
        <f>VLOOKUP($A569,'Выгр Кат'!$A:$R,N$1,0)</f>
        <v>4590</v>
      </c>
      <c r="O569" s="28">
        <f>M569-I569</f>
        <v>0</v>
      </c>
      <c r="P569" s="28">
        <f>N569-L569</f>
        <v>0</v>
      </c>
      <c r="Q569" s="36">
        <f>IFERROR(L569*(1-$Q$2),"")</f>
        <v>4268.7</v>
      </c>
      <c r="R569" s="38" t="str">
        <f>IFERROR(VLOOKUP($A569,'Из Гугла'!$B:$G,6,0)*S569,VLOOKUP($A569,'Из Гугла'!$B:$G,6,0))</f>
        <v/>
      </c>
      <c r="S569" s="14">
        <v>1</v>
      </c>
      <c r="T569" s="83">
        <f>IFERROR(Q569/I569-1,"")</f>
        <v>0.18574999999999986</v>
      </c>
      <c r="U569" s="83" t="str">
        <f>IFERROR((W569-Q569)/W569,"")</f>
        <v/>
      </c>
      <c r="V569" s="83" t="str">
        <f>IFERROR(IF(W569="","",W569/I569-1),"")</f>
        <v/>
      </c>
      <c r="W569" s="84"/>
    </row>
    <row r="570" spans="1:24" ht="75" x14ac:dyDescent="0.25">
      <c r="A570" s="80">
        <v>213710</v>
      </c>
      <c r="B570" s="80">
        <f>VLOOKUP($A570,'Выгр Кат'!$A:$R,B$1,0)</f>
        <v>18705</v>
      </c>
      <c r="C570" s="81" t="str">
        <f>VLOOKUP($A570,'Выгр Кат'!$A:$R,C$1,0)</f>
        <v>Светодиодные фары 90W, чёрные (ДХО, повторитель) для ВАЗ (2101, 2102), Лада (Нива 4х4, Нива 4х4 Урбан), УАЗ (3303, 469, Хантер), Jeep Wrangler</v>
      </c>
      <c r="D570" s="80" t="str">
        <f>VLOOKUP($A570,'Выгр Кат'!$A:$R,D$1,0)</f>
        <v>Y</v>
      </c>
      <c r="E570" s="80" t="str">
        <f>VLOOKUP($A570,'Выгр Кат'!$A:$R,E$1,0)</f>
        <v>0</v>
      </c>
      <c r="F570" s="80" t="str">
        <f>VLOOKUP($A570,'Выгр Кат'!$A:$R,F$1,0)</f>
        <v>HP-HLD-012W</v>
      </c>
      <c r="G570" s="80" t="str">
        <f>VLOOKUP($A570,'Выгр Кат'!$A:$R,G$1,0)</f>
        <v>https://motorring.ru/product/18762-svetodiodnye-fary-chernom-korpuse-90w-dyuymov-povtoritelem</v>
      </c>
      <c r="H570" s="67" t="s">
        <v>3</v>
      </c>
      <c r="I570" s="82">
        <v>3700</v>
      </c>
      <c r="J570" s="5">
        <f>VLOOKUP(I570,Наценка!$A$1:$G$8,2,1)</f>
        <v>1.27</v>
      </c>
      <c r="K570" s="34">
        <f>I570*J570</f>
        <v>4699</v>
      </c>
      <c r="L570" s="70">
        <f>IF(K570&lt;=1000,(ROUNDUP(K570,-1)-1),(ROUNDUP(K570,-2)-10))</f>
        <v>4690</v>
      </c>
      <c r="M570" s="80">
        <f>VLOOKUP($A570,'Выгр Кат'!$A:$R,M$1,0)</f>
        <v>3700</v>
      </c>
      <c r="N570" s="80">
        <f>VLOOKUP($A570,'Выгр Кат'!$A:$R,N$1,0)</f>
        <v>4690</v>
      </c>
      <c r="O570" s="28">
        <f>M570-I570</f>
        <v>0</v>
      </c>
      <c r="P570" s="28">
        <f>N570-L570</f>
        <v>0</v>
      </c>
      <c r="Q570" s="36">
        <f>IFERROR(L570*(1-$Q$2),"")</f>
        <v>4361.7</v>
      </c>
      <c r="R570" s="38" t="str">
        <f>IFERROR(VLOOKUP($A570,'Из Гугла'!$B:$G,6,0)*S570,VLOOKUP($A570,'Из Гугла'!$B:$G,6,0))</f>
        <v/>
      </c>
      <c r="S570" s="14">
        <v>1</v>
      </c>
      <c r="T570" s="83">
        <f>IFERROR(Q570/I570-1,"")</f>
        <v>0.17883783783783769</v>
      </c>
      <c r="U570" s="83" t="str">
        <f>IFERROR((W570-Q570)/W570,"")</f>
        <v/>
      </c>
      <c r="V570" s="83" t="str">
        <f>IFERROR(IF(W570="","",W570/I570-1),"")</f>
        <v/>
      </c>
      <c r="W570" s="93" t="s">
        <v>686</v>
      </c>
      <c r="X570" s="71" t="s">
        <v>741</v>
      </c>
    </row>
    <row r="571" spans="1:24" ht="30" x14ac:dyDescent="0.25">
      <c r="A571" s="80">
        <v>222870</v>
      </c>
      <c r="B571" s="80">
        <f>VLOOKUP($A571,'Выгр Кат'!$A:$R,B$1,0)</f>
        <v>4648</v>
      </c>
      <c r="C571" s="81" t="str">
        <f>VLOOKUP($A571,'Выгр Кат'!$A:$R,C$1,0)</f>
        <v>Тюнинг фары с ДХО (хром) для Лада Гранта</v>
      </c>
      <c r="D571" s="80" t="str">
        <f>VLOOKUP($A571,'Выгр Кат'!$A:$R,D$1,0)</f>
        <v>Y</v>
      </c>
      <c r="E571" s="80" t="str">
        <f>VLOOKUP($A571,'Выгр Кат'!$A:$R,E$1,0)</f>
        <v>0</v>
      </c>
      <c r="F571" s="80">
        <f>VLOOKUP($A571,'Выгр Кат'!$A:$R,F$1,0)</f>
        <v>0</v>
      </c>
      <c r="G571" s="80">
        <f>VLOOKUP($A571,'Выгр Кат'!$A:$R,G$1,0)</f>
        <v>0</v>
      </c>
      <c r="H571" s="67" t="s">
        <v>3</v>
      </c>
      <c r="I571" s="82">
        <v>3900</v>
      </c>
      <c r="J571" s="5">
        <f>VLOOKUP(I571,Наценка!$A$1:$G$8,2,1)</f>
        <v>1.27</v>
      </c>
      <c r="K571" s="34">
        <f>I571*J571</f>
        <v>4953</v>
      </c>
      <c r="L571" s="70">
        <f>IF(K571&lt;=1000,(ROUNDUP(K571,-1)-1),(ROUNDUP(K571,-2)-10))</f>
        <v>4990</v>
      </c>
      <c r="M571" s="80">
        <f>VLOOKUP($A571,'Выгр Кат'!$A:$R,M$1,0)</f>
        <v>3900</v>
      </c>
      <c r="N571" s="80">
        <f>VLOOKUP($A571,'Выгр Кат'!$A:$R,N$1,0)</f>
        <v>4990</v>
      </c>
      <c r="O571" s="28">
        <f>M571-I571</f>
        <v>0</v>
      </c>
      <c r="P571" s="28">
        <f>N571-L571</f>
        <v>0</v>
      </c>
      <c r="Q571" s="36">
        <f>IFERROR(L571*(1-$Q$2),"")</f>
        <v>4640.7</v>
      </c>
      <c r="R571" s="38" t="str">
        <f>IFERROR(VLOOKUP($A571,'Из Гугла'!$B:$G,6,0)*S571,VLOOKUP($A571,'Из Гугла'!$B:$G,6,0))</f>
        <v/>
      </c>
      <c r="S571" s="14">
        <v>1</v>
      </c>
      <c r="T571" s="83">
        <f>IFERROR(Q571/I571-1,"")</f>
        <v>0.18992307692307686</v>
      </c>
      <c r="U571" s="83" t="str">
        <f>IFERROR((W571-Q571)/W571,"")</f>
        <v/>
      </c>
      <c r="V571" s="83" t="str">
        <f>IFERROR(IF(W571="","",W571/I571-1),"")</f>
        <v/>
      </c>
      <c r="W571" s="84"/>
    </row>
    <row r="572" spans="1:24" ht="30" x14ac:dyDescent="0.25">
      <c r="A572" s="80">
        <v>187497</v>
      </c>
      <c r="B572" s="80">
        <f>VLOOKUP($A572,'Выгр Кат'!$A:$R,B$1,0)</f>
        <v>5099</v>
      </c>
      <c r="C572" s="81" t="str">
        <f>VLOOKUP($A572,'Выгр Кат'!$A:$R,C$1,0)</f>
        <v>Передние фары с ДХО черные для ВАЗ 2104, 2105, 2107</v>
      </c>
      <c r="D572" s="80" t="str">
        <f>VLOOKUP($A572,'Выгр Кат'!$A:$R,D$1,0)</f>
        <v>Y</v>
      </c>
      <c r="E572" s="80" t="str">
        <f>VLOOKUP($A572,'Выгр Кат'!$A:$R,E$1,0)</f>
        <v>0</v>
      </c>
      <c r="F572" s="80" t="str">
        <f>VLOOKUP($A572,'Выгр Кат'!$A:$R,F$1,0)</f>
        <v>DH265</v>
      </c>
      <c r="G572" s="80">
        <f>VLOOKUP($A572,'Выгр Кат'!$A:$R,G$1,0)</f>
        <v>0</v>
      </c>
      <c r="H572" s="67" t="s">
        <v>3</v>
      </c>
      <c r="I572" s="82">
        <v>4000</v>
      </c>
      <c r="J572" s="5">
        <f>VLOOKUP(I572,Наценка!$A$1:$G$8,2,1)</f>
        <v>1.27</v>
      </c>
      <c r="K572" s="34">
        <f>I572*J572</f>
        <v>5080</v>
      </c>
      <c r="L572" s="70">
        <f>IF(K572&lt;=1000,(ROUNDUP(K572,-1)-1),(ROUNDUP(K572,-2)-10))</f>
        <v>5090</v>
      </c>
      <c r="M572" s="80">
        <f>VLOOKUP($A572,'Выгр Кат'!$A:$R,M$1,0)</f>
        <v>4000</v>
      </c>
      <c r="N572" s="80">
        <f>VLOOKUP($A572,'Выгр Кат'!$A:$R,N$1,0)</f>
        <v>5090</v>
      </c>
      <c r="O572" s="28">
        <f>M572-I572</f>
        <v>0</v>
      </c>
      <c r="P572" s="28">
        <f>N572-L572</f>
        <v>0</v>
      </c>
      <c r="Q572" s="36">
        <f>IFERROR(L572*(1-$Q$2),"")</f>
        <v>4733.7</v>
      </c>
      <c r="R572" s="38" t="str">
        <f>IFERROR(VLOOKUP($A572,'Из Гугла'!$B:$G,6,0)*S572,VLOOKUP($A572,'Из Гугла'!$B:$G,6,0))</f>
        <v/>
      </c>
      <c r="S572" s="14">
        <v>1</v>
      </c>
      <c r="T572" s="83">
        <f>IFERROR(Q572/I572-1,"")</f>
        <v>0.18342499999999995</v>
      </c>
      <c r="U572" s="83" t="str">
        <f>IFERROR((W572-Q572)/W572,"")</f>
        <v/>
      </c>
      <c r="V572" s="83" t="str">
        <f>IFERROR(IF(W572="","",W572/I572-1),"")</f>
        <v/>
      </c>
      <c r="W572" s="84"/>
    </row>
    <row r="573" spans="1:24" ht="30" x14ac:dyDescent="0.25">
      <c r="A573" s="80">
        <v>187498</v>
      </c>
      <c r="B573" s="80">
        <f>VLOOKUP($A573,'Выгр Кат'!$A:$R,B$1,0)</f>
        <v>4941</v>
      </c>
      <c r="C573" s="81" t="str">
        <f>VLOOKUP($A573,'Выгр Кат'!$A:$R,C$1,0)</f>
        <v>Передние фары с ДХО черные для ВАЗ 2108-21099</v>
      </c>
      <c r="D573" s="80" t="str">
        <f>VLOOKUP($A573,'Выгр Кат'!$A:$R,D$1,0)</f>
        <v>Y</v>
      </c>
      <c r="E573" s="80" t="str">
        <f>VLOOKUP($A573,'Выгр Кат'!$A:$R,E$1,0)</f>
        <v>0</v>
      </c>
      <c r="F573" s="80">
        <f>VLOOKUP($A573,'Выгр Кат'!$A:$R,F$1,0)</f>
        <v>0</v>
      </c>
      <c r="G573" s="80">
        <f>VLOOKUP($A573,'Выгр Кат'!$A:$R,G$1,0)</f>
        <v>0</v>
      </c>
      <c r="H573" s="67" t="s">
        <v>3</v>
      </c>
      <c r="I573" s="82">
        <v>4400</v>
      </c>
      <c r="J573" s="5">
        <f>VLOOKUP(I573,Наценка!$A$1:$G$8,2,1)</f>
        <v>1.27</v>
      </c>
      <c r="K573" s="34">
        <f>I573*J573</f>
        <v>5588</v>
      </c>
      <c r="L573" s="70">
        <f>IF(K573&lt;=1000,(ROUNDUP(K573,-1)-1),(ROUNDUP(K573,-2)-10))</f>
        <v>5590</v>
      </c>
      <c r="M573" s="80">
        <f>VLOOKUP($A573,'Выгр Кат'!$A:$R,M$1,0)</f>
        <v>4400</v>
      </c>
      <c r="N573" s="80">
        <f>VLOOKUP($A573,'Выгр Кат'!$A:$R,N$1,0)</f>
        <v>5590</v>
      </c>
      <c r="O573" s="28">
        <f>M573-I573</f>
        <v>0</v>
      </c>
      <c r="P573" s="28">
        <f>N573-L573</f>
        <v>0</v>
      </c>
      <c r="Q573" s="36">
        <f>IFERROR(L573*(1-$Q$2),"")</f>
        <v>5198.7</v>
      </c>
      <c r="R573" s="38" t="str">
        <f>IFERROR(VLOOKUP($A573,'Из Гугла'!$B:$G,6,0)*S573,VLOOKUP($A573,'Из Гугла'!$B:$G,6,0))</f>
        <v/>
      </c>
      <c r="S573" s="14">
        <v>1</v>
      </c>
      <c r="T573" s="83">
        <f>IFERROR(Q573/I573-1,"")</f>
        <v>0.18152272727272734</v>
      </c>
      <c r="U573" s="83" t="str">
        <f>IFERROR((W573-Q573)/W573,"")</f>
        <v/>
      </c>
      <c r="V573" s="83" t="str">
        <f>IFERROR(IF(W573="","",W573/I573-1),"")</f>
        <v/>
      </c>
      <c r="W573" s="84"/>
    </row>
    <row r="574" spans="1:24" ht="30" x14ac:dyDescent="0.25">
      <c r="A574" s="80">
        <v>164909</v>
      </c>
      <c r="B574" s="80">
        <f>VLOOKUP($A574,'Выгр Кат'!$A:$R,B$1,0)</f>
        <v>10709</v>
      </c>
      <c r="C574" s="81" t="str">
        <f>VLOOKUP($A574,'Выгр Кат'!$A:$R,C$1,0)</f>
        <v>НАБОР АВТОИНСТРУМЕНТА «AEROFORCE» 86PCS-M МАЛЫЙ</v>
      </c>
      <c r="D574" s="80" t="str">
        <f>VLOOKUP($A574,'Выгр Кат'!$A:$R,D$1,0)</f>
        <v>N</v>
      </c>
      <c r="E574" s="80" t="str">
        <f>VLOOKUP($A574,'Выгр Кат'!$A:$R,E$1,0)</f>
        <v>0</v>
      </c>
      <c r="F574" s="80">
        <f>VLOOKUP($A574,'Выгр Кат'!$A:$R,F$1,0)</f>
        <v>0</v>
      </c>
      <c r="G574" s="80">
        <f>VLOOKUP($A574,'Выгр Кат'!$A:$R,G$1,0)</f>
        <v>0</v>
      </c>
      <c r="H574" s="67" t="s">
        <v>3</v>
      </c>
      <c r="I574" s="82">
        <v>4400</v>
      </c>
      <c r="J574" s="5">
        <f>VLOOKUP(I574,Наценка!$A$1:$G$8,2,1)</f>
        <v>1.27</v>
      </c>
      <c r="K574" s="34">
        <f>I574*J574</f>
        <v>5588</v>
      </c>
      <c r="L574" s="39">
        <f>IF(K574&lt;=1000,(ROUNDUP(K574,-1)-1),(ROUNDUP(K574,-2)-10))</f>
        <v>5590</v>
      </c>
      <c r="M574" s="80">
        <f>VLOOKUP($A574,'Выгр Кат'!$A:$R,M$1,0)</f>
        <v>4400</v>
      </c>
      <c r="N574" s="80">
        <f>VLOOKUP($A574,'Выгр Кат'!$A:$R,N$1,0)</f>
        <v>5590</v>
      </c>
      <c r="O574" s="28">
        <f>M574-I574</f>
        <v>0</v>
      </c>
      <c r="P574" s="28">
        <f>N574-L574</f>
        <v>0</v>
      </c>
      <c r="Q574" s="36">
        <f>IFERROR(L574*(1-$Q$2),"")</f>
        <v>5198.7</v>
      </c>
      <c r="R574" s="38" t="str">
        <f>IFERROR(VLOOKUP($A574,'Из Гугла'!$B:$G,6,0)*S574,VLOOKUP($A574,'Из Гугла'!$B:$G,6,0))</f>
        <v/>
      </c>
      <c r="S574" s="14">
        <v>1</v>
      </c>
      <c r="T574" s="83">
        <f>IFERROR(Q574/I574-1,"")</f>
        <v>0.18152272727272734</v>
      </c>
      <c r="U574" s="83" t="str">
        <f>IFERROR((W574-Q574)/W574,"")</f>
        <v/>
      </c>
      <c r="V574" s="83" t="str">
        <f>IFERROR(IF(W574="","",W574/I574-1),"")</f>
        <v/>
      </c>
      <c r="W574" s="84"/>
    </row>
    <row r="575" spans="1:24" ht="30" x14ac:dyDescent="0.25">
      <c r="A575" s="80">
        <v>164907</v>
      </c>
      <c r="B575" s="80">
        <f>VLOOKUP($A575,'Выгр Кат'!$A:$R,B$1,0)</f>
        <v>10729</v>
      </c>
      <c r="C575" s="81" t="str">
        <f>VLOOKUP($A575,'Выгр Кат'!$A:$R,C$1,0)</f>
        <v>Набор автоинструмента «AEROFORCE» 71PCS.</v>
      </c>
      <c r="D575" s="80" t="str">
        <f>VLOOKUP($A575,'Выгр Кат'!$A:$R,D$1,0)</f>
        <v>N</v>
      </c>
      <c r="E575" s="80" t="str">
        <f>VLOOKUP($A575,'Выгр Кат'!$A:$R,E$1,0)</f>
        <v>0</v>
      </c>
      <c r="F575" s="80">
        <f>VLOOKUP($A575,'Выгр Кат'!$A:$R,F$1,0)</f>
        <v>0</v>
      </c>
      <c r="G575" s="80">
        <f>VLOOKUP($A575,'Выгр Кат'!$A:$R,G$1,0)</f>
        <v>0</v>
      </c>
      <c r="H575" s="67" t="s">
        <v>3</v>
      </c>
      <c r="I575" s="82">
        <v>4400</v>
      </c>
      <c r="J575" s="5">
        <f>VLOOKUP(I575,Наценка!$A$1:$G$8,2,1)</f>
        <v>1.27</v>
      </c>
      <c r="K575" s="88">
        <f>I575*J575</f>
        <v>5588</v>
      </c>
      <c r="L575" s="70">
        <f>IF(K575&lt;=1000,(ROUNDUP(K575,-1)-1),(ROUNDUP(K575,-2)-10))</f>
        <v>5590</v>
      </c>
      <c r="M575" s="80">
        <f>VLOOKUP($A575,'Выгр Кат'!$A:$R,M$1,0)</f>
        <v>4400</v>
      </c>
      <c r="N575" s="80">
        <f>VLOOKUP($A575,'Выгр Кат'!$A:$R,N$1,0)</f>
        <v>5590</v>
      </c>
      <c r="O575" s="28">
        <f>M575-I575</f>
        <v>0</v>
      </c>
      <c r="P575" s="28">
        <f>N575-L575</f>
        <v>0</v>
      </c>
      <c r="Q575" s="36">
        <f>IFERROR(L575*(1-$Q$2),"")</f>
        <v>5198.7</v>
      </c>
      <c r="R575" s="38" t="str">
        <f>IFERROR(VLOOKUP($A575,'Из Гугла'!$B:$G,6,0)*S575,VLOOKUP($A575,'Из Гугла'!$B:$G,6,0))</f>
        <v/>
      </c>
      <c r="S575" s="14">
        <v>1</v>
      </c>
      <c r="T575" s="83">
        <f>IFERROR(Q575/I575-1,"")</f>
        <v>0.18152272727272734</v>
      </c>
      <c r="U575" s="83" t="str">
        <f>IFERROR((W575-Q575)/W575,"")</f>
        <v/>
      </c>
      <c r="V575" s="83" t="str">
        <f>IFERROR(IF(W575="","",W575/I575-1),"")</f>
        <v/>
      </c>
      <c r="W575" s="84"/>
    </row>
    <row r="576" spans="1:24" ht="30" x14ac:dyDescent="0.25">
      <c r="A576" s="80">
        <v>226472</v>
      </c>
      <c r="B576" s="80">
        <f>VLOOKUP($A576,'Выгр Кат'!$A:$R,B$1,0)</f>
        <v>12107</v>
      </c>
      <c r="C576" s="81" t="str">
        <f>VLOOKUP($A576,'Выгр Кат'!$A:$R,C$1,0)</f>
        <v>Штатные фары тюнингованные с линзой и ДХО для Лада Калина 2</v>
      </c>
      <c r="D576" s="80" t="str">
        <f>VLOOKUP($A576,'Выгр Кат'!$A:$R,D$1,0)</f>
        <v>Y</v>
      </c>
      <c r="E576" s="80" t="str">
        <f>VLOOKUP($A576,'Выгр Кат'!$A:$R,E$1,0)</f>
        <v>0</v>
      </c>
      <c r="F576" s="80">
        <f>VLOOKUP($A576,'Выгр Кат'!$A:$R,F$1,0)</f>
        <v>0</v>
      </c>
      <c r="G576" s="80">
        <f>VLOOKUP($A576,'Выгр Кат'!$A:$R,G$1,0)</f>
        <v>0</v>
      </c>
      <c r="H576" s="67" t="s">
        <v>3</v>
      </c>
      <c r="I576" s="82">
        <v>4700</v>
      </c>
      <c r="J576" s="5">
        <f>VLOOKUP(I576,Наценка!$A$1:$G$8,2,1)</f>
        <v>1.27</v>
      </c>
      <c r="K576" s="34">
        <f>I576*J576</f>
        <v>5969</v>
      </c>
      <c r="L576" s="70">
        <f>IF(K576&lt;=1000,(ROUNDUP(K576,-1)-1),(ROUNDUP(K576,-2)-10))</f>
        <v>5990</v>
      </c>
      <c r="M576" s="80">
        <f>VLOOKUP($A576,'Выгр Кат'!$A:$R,M$1,0)</f>
        <v>4700</v>
      </c>
      <c r="N576" s="80">
        <f>VLOOKUP($A576,'Выгр Кат'!$A:$R,N$1,0)</f>
        <v>5990</v>
      </c>
      <c r="O576" s="28">
        <f>M576-I576</f>
        <v>0</v>
      </c>
      <c r="P576" s="28">
        <f>N576-L576</f>
        <v>0</v>
      </c>
      <c r="Q576" s="36">
        <f>IFERROR(L576*(1-$Q$2),"")</f>
        <v>5570.7</v>
      </c>
      <c r="R576" s="38" t="str">
        <f>IFERROR(VLOOKUP($A576,'Из Гугла'!$B:$G,6,0)*S576,VLOOKUP($A576,'Из Гугла'!$B:$G,6,0))</f>
        <v/>
      </c>
      <c r="S576" s="14">
        <v>1</v>
      </c>
      <c r="T576" s="83">
        <f>IFERROR(Q576/I576-1,"")</f>
        <v>0.18525531914893612</v>
      </c>
      <c r="U576" s="83" t="str">
        <f>IFERROR((W576-Q576)/W576,"")</f>
        <v/>
      </c>
      <c r="V576" s="83" t="str">
        <f>IFERROR(IF(W576="","",W576/I576-1),"")</f>
        <v/>
      </c>
      <c r="W576" s="84"/>
    </row>
    <row r="577" spans="1:24" ht="30" x14ac:dyDescent="0.25">
      <c r="A577" s="80">
        <v>164908</v>
      </c>
      <c r="B577" s="80">
        <f>VLOOKUP($A577,'Выгр Кат'!$A:$R,B$1,0)</f>
        <v>10712</v>
      </c>
      <c r="C577" s="81" t="str">
        <f>VLOOKUP($A577,'Выгр Кат'!$A:$R,C$1,0)</f>
        <v>Набор автоинструмента «AEROFORCE» 86PCS</v>
      </c>
      <c r="D577" s="80" t="str">
        <f>VLOOKUP($A577,'Выгр Кат'!$A:$R,D$1,0)</f>
        <v>N</v>
      </c>
      <c r="E577" s="80" t="str">
        <f>VLOOKUP($A577,'Выгр Кат'!$A:$R,E$1,0)</f>
        <v>0</v>
      </c>
      <c r="F577" s="80">
        <f>VLOOKUP($A577,'Выгр Кат'!$A:$R,F$1,0)</f>
        <v>0</v>
      </c>
      <c r="G577" s="80">
        <f>VLOOKUP($A577,'Выгр Кат'!$A:$R,G$1,0)</f>
        <v>0</v>
      </c>
      <c r="H577" s="67" t="s">
        <v>3</v>
      </c>
      <c r="I577" s="82">
        <v>4800</v>
      </c>
      <c r="J577" s="5">
        <f>VLOOKUP(I577,Наценка!$A$1:$G$8,2,1)</f>
        <v>1.27</v>
      </c>
      <c r="K577" s="34">
        <f>I577*J577</f>
        <v>6096</v>
      </c>
      <c r="L577" s="70">
        <f>IF(K577&lt;=1000,(ROUNDUP(K577,-1)-1),(ROUNDUP(K577,-2)-10))</f>
        <v>6090</v>
      </c>
      <c r="M577" s="80">
        <f>VLOOKUP($A577,'Выгр Кат'!$A:$R,M$1,0)</f>
        <v>4800</v>
      </c>
      <c r="N577" s="80">
        <f>VLOOKUP($A577,'Выгр Кат'!$A:$R,N$1,0)</f>
        <v>6090</v>
      </c>
      <c r="O577" s="28">
        <f>M577-I577</f>
        <v>0</v>
      </c>
      <c r="P577" s="28">
        <f>N577-L577</f>
        <v>0</v>
      </c>
      <c r="Q577" s="36">
        <f>IFERROR(L577*(1-$Q$2),"")</f>
        <v>5663.7</v>
      </c>
      <c r="R577" s="38" t="str">
        <f>IFERROR(VLOOKUP($A577,'Из Гугла'!$B:$G,6,0)*S577,VLOOKUP($A577,'Из Гугла'!$B:$G,6,0))</f>
        <v/>
      </c>
      <c r="S577" s="14">
        <v>1</v>
      </c>
      <c r="T577" s="83">
        <f>IFERROR(Q577/I577-1,"")</f>
        <v>0.17993749999999986</v>
      </c>
      <c r="U577" s="83" t="str">
        <f>IFERROR((W577-Q577)/W577,"")</f>
        <v/>
      </c>
      <c r="V577" s="83" t="str">
        <f>IFERROR(IF(W577="","",W577/I577-1),"")</f>
        <v/>
      </c>
      <c r="W577" s="84"/>
    </row>
    <row r="578" spans="1:24" ht="45" x14ac:dyDescent="0.25">
      <c r="A578" s="80">
        <v>226469</v>
      </c>
      <c r="B578" s="80">
        <f>VLOOKUP($A578,'Выгр Кат'!$A:$R,B$1,0)</f>
        <v>12108</v>
      </c>
      <c r="C578" s="81" t="str">
        <f>VLOOKUP($A578,'Выгр Кат'!$A:$R,C$1,0)</f>
        <v>Штатные тюнингованные фары с линзой и ДХО, хром для Лада Калина 2</v>
      </c>
      <c r="D578" s="80" t="str">
        <f>VLOOKUP($A578,'Выгр Кат'!$A:$R,D$1,0)</f>
        <v>Y</v>
      </c>
      <c r="E578" s="80" t="str">
        <f>VLOOKUP($A578,'Выгр Кат'!$A:$R,E$1,0)</f>
        <v>0</v>
      </c>
      <c r="F578" s="80">
        <f>VLOOKUP($A578,'Выгр Кат'!$A:$R,F$1,0)</f>
        <v>0</v>
      </c>
      <c r="G578" s="80">
        <f>VLOOKUP($A578,'Выгр Кат'!$A:$R,G$1,0)</f>
        <v>0</v>
      </c>
      <c r="H578" s="67" t="s">
        <v>3</v>
      </c>
      <c r="I578" s="82">
        <v>4800</v>
      </c>
      <c r="J578" s="5">
        <f>VLOOKUP(I578,Наценка!$A$1:$G$8,2,1)</f>
        <v>1.27</v>
      </c>
      <c r="K578" s="34">
        <f>I578*J578</f>
        <v>6096</v>
      </c>
      <c r="L578" s="70">
        <f>IF(K578&lt;=1000,(ROUNDUP(K578,-1)-1),(ROUNDUP(K578,-2)-10))</f>
        <v>6090</v>
      </c>
      <c r="M578" s="80">
        <f>VLOOKUP($A578,'Выгр Кат'!$A:$R,M$1,0)</f>
        <v>4800</v>
      </c>
      <c r="N578" s="80">
        <f>VLOOKUP($A578,'Выгр Кат'!$A:$R,N$1,0)</f>
        <v>6090</v>
      </c>
      <c r="O578" s="28">
        <f>M578-I578</f>
        <v>0</v>
      </c>
      <c r="P578" s="28">
        <f>N578-L578</f>
        <v>0</v>
      </c>
      <c r="Q578" s="36">
        <f>IFERROR(L578*(1-$Q$2),"")</f>
        <v>5663.7</v>
      </c>
      <c r="R578" s="38" t="str">
        <f>IFERROR(VLOOKUP($A578,'Из Гугла'!$B:$G,6,0)*S578,VLOOKUP($A578,'Из Гугла'!$B:$G,6,0))</f>
        <v/>
      </c>
      <c r="S578" s="14">
        <v>1</v>
      </c>
      <c r="T578" s="83">
        <f>IFERROR(Q578/I578-1,"")</f>
        <v>0.17993749999999986</v>
      </c>
      <c r="U578" s="83" t="str">
        <f>IFERROR((W578-Q578)/W578,"")</f>
        <v/>
      </c>
      <c r="V578" s="83" t="str">
        <f>IFERROR(IF(W578="","",W578/I578-1),"")</f>
        <v/>
      </c>
      <c r="W578" s="84"/>
    </row>
    <row r="579" spans="1:24" ht="30" x14ac:dyDescent="0.25">
      <c r="A579" s="80">
        <v>164906</v>
      </c>
      <c r="B579" s="80">
        <f>VLOOKUP($A579,'Выгр Кат'!$A:$R,B$1,0)</f>
        <v>10730</v>
      </c>
      <c r="C579" s="81" t="str">
        <f>VLOOKUP($A579,'Выгр Кат'!$A:$R,C$1,0)</f>
        <v>Набор автоинструмента «AEROFORCE» 59PCS</v>
      </c>
      <c r="D579" s="80" t="str">
        <f>VLOOKUP($A579,'Выгр Кат'!$A:$R,D$1,0)</f>
        <v>N</v>
      </c>
      <c r="E579" s="80" t="str">
        <f>VLOOKUP($A579,'Выгр Кат'!$A:$R,E$1,0)</f>
        <v>0</v>
      </c>
      <c r="F579" s="80">
        <f>VLOOKUP($A579,'Выгр Кат'!$A:$R,F$1,0)</f>
        <v>0</v>
      </c>
      <c r="G579" s="80" t="str">
        <f>VLOOKUP($A579,'Выгр Кат'!$A:$R,G$1,0)</f>
        <v>https://motorring.ru/product/10675-nabor-instrumentov-aerofors-59-pc-predmetov</v>
      </c>
      <c r="H579" s="67" t="s">
        <v>3</v>
      </c>
      <c r="I579" s="82">
        <v>5000</v>
      </c>
      <c r="J579" s="5">
        <f>VLOOKUP(I579,Наценка!$A$1:$G$8,2,1)</f>
        <v>1.31</v>
      </c>
      <c r="K579" s="89">
        <f>W579*1.07</f>
        <v>6302.3</v>
      </c>
      <c r="L579" s="70">
        <f>IF(K579&lt;=1000,(ROUNDUP(K579,-1)-1),(ROUNDUP(K579,-2)-10))</f>
        <v>6390</v>
      </c>
      <c r="M579" s="80">
        <f>VLOOKUP($A579,'Выгр Кат'!$A:$R,M$1,0)</f>
        <v>5000</v>
      </c>
      <c r="N579" s="80">
        <f>VLOOKUP($A579,'Выгр Кат'!$A:$R,N$1,0)</f>
        <v>6390</v>
      </c>
      <c r="O579" s="28">
        <f>M579-I579</f>
        <v>0</v>
      </c>
      <c r="P579" s="28">
        <f>N579-L579</f>
        <v>0</v>
      </c>
      <c r="Q579" s="36">
        <f>IFERROR(L579*(1-$Q$2),"")</f>
        <v>5942.7</v>
      </c>
      <c r="R579" s="38">
        <f>IFERROR(VLOOKUP($A579,'Из Гугла'!$B:$G,6,0)*S579,VLOOKUP($A579,'Из Гугла'!$B:$G,6,0))</f>
        <v>5890</v>
      </c>
      <c r="S579" s="14">
        <v>1</v>
      </c>
      <c r="T579" s="83">
        <f>IFERROR(Q579/I579-1,"")</f>
        <v>0.18853999999999993</v>
      </c>
      <c r="U579" s="83">
        <f>IFERROR((W579-Q579)/W579,"")</f>
        <v>-8.9473684210526015E-3</v>
      </c>
      <c r="V579" s="83">
        <f>IFERROR(IF(W579="","",W579/I579-1),"")</f>
        <v>0.17799999999999994</v>
      </c>
      <c r="W579" s="93">
        <v>5890</v>
      </c>
      <c r="X579" s="71" t="s">
        <v>752</v>
      </c>
    </row>
    <row r="580" spans="1:24" ht="30" x14ac:dyDescent="0.25">
      <c r="A580" s="80">
        <v>223963</v>
      </c>
      <c r="B580" s="80">
        <f>VLOOKUP($A580,'Выгр Кат'!$A:$R,B$1,0)</f>
        <v>17801</v>
      </c>
      <c r="C580" s="81" t="str">
        <f>VLOOKUP($A580,'Выгр Кат'!$A:$R,C$1,0)</f>
        <v>Фары чёрные с ДХО и поворотниками в стиле Лексус для Лада Приора</v>
      </c>
      <c r="D580" s="80" t="str">
        <f>VLOOKUP($A580,'Выгр Кат'!$A:$R,D$1,0)</f>
        <v>Y</v>
      </c>
      <c r="E580" s="80" t="str">
        <f>VLOOKUP($A580,'Выгр Кат'!$A:$R,E$1,0)</f>
        <v>0</v>
      </c>
      <c r="F580" s="80">
        <f>VLOOKUP($A580,'Выгр Кат'!$A:$R,F$1,0)</f>
        <v>0</v>
      </c>
      <c r="G580" s="80">
        <f>VLOOKUP($A580,'Выгр Кат'!$A:$R,G$1,0)</f>
        <v>0</v>
      </c>
      <c r="H580" s="67" t="s">
        <v>3</v>
      </c>
      <c r="I580" s="82">
        <v>5100</v>
      </c>
      <c r="J580" s="5">
        <f>VLOOKUP(I580,Наценка!$A$1:$G$8,2,1)</f>
        <v>1.31</v>
      </c>
      <c r="K580" s="34">
        <f>I580*J580</f>
        <v>6681</v>
      </c>
      <c r="L580" s="70">
        <f>IF(K580&lt;=1000,(ROUNDUP(K580,-1)-1),(ROUNDUP(K580,-2)-10))</f>
        <v>6690</v>
      </c>
      <c r="M580" s="80">
        <f>VLOOKUP($A580,'Выгр Кат'!$A:$R,M$1,0)</f>
        <v>5100</v>
      </c>
      <c r="N580" s="80">
        <f>VLOOKUP($A580,'Выгр Кат'!$A:$R,N$1,0)</f>
        <v>6690</v>
      </c>
      <c r="O580" s="28">
        <f>M580-I580</f>
        <v>0</v>
      </c>
      <c r="P580" s="28">
        <f>N580-L580</f>
        <v>0</v>
      </c>
      <c r="Q580" s="36">
        <f>IFERROR(L580*(1-$Q$2),"")</f>
        <v>6221.7</v>
      </c>
      <c r="R580" s="38" t="str">
        <f>IFERROR(VLOOKUP($A580,'Из Гугла'!$B:$G,6,0)*S580,VLOOKUP($A580,'Из Гугла'!$B:$G,6,0))</f>
        <v/>
      </c>
      <c r="S580" s="14">
        <v>1</v>
      </c>
      <c r="T580" s="83">
        <f>IFERROR(Q580/I580-1,"")</f>
        <v>0.21994117647058831</v>
      </c>
      <c r="U580" s="83" t="str">
        <f>IFERROR((W580-Q580)/W580,"")</f>
        <v/>
      </c>
      <c r="V580" s="83" t="str">
        <f>IFERROR(IF(W580="","",W580/I580-1),"")</f>
        <v/>
      </c>
      <c r="W580" s="84"/>
    </row>
    <row r="581" spans="1:24" ht="30" x14ac:dyDescent="0.25">
      <c r="A581" s="80">
        <v>164914</v>
      </c>
      <c r="B581" s="80">
        <f>VLOOKUP($A581,'Выгр Кат'!$A:$R,B$1,0)</f>
        <v>10708</v>
      </c>
      <c r="C581" s="81" t="str">
        <f>VLOOKUP($A581,'Выгр Кат'!$A:$R,C$1,0)</f>
        <v>Набор автоинструмента 84PCS «AEROFORCE»</v>
      </c>
      <c r="D581" s="80" t="str">
        <f>VLOOKUP($A581,'Выгр Кат'!$A:$R,D$1,0)</f>
        <v>N</v>
      </c>
      <c r="E581" s="80" t="str">
        <f>VLOOKUP($A581,'Выгр Кат'!$A:$R,E$1,0)</f>
        <v>0</v>
      </c>
      <c r="F581" s="80">
        <f>VLOOKUP($A581,'Выгр Кат'!$A:$R,F$1,0)</f>
        <v>0</v>
      </c>
      <c r="G581" s="80" t="str">
        <f>VLOOKUP($A581,'Выгр Кат'!$A:$R,G$1,0)</f>
        <v>https://motorring.ru/product/15197</v>
      </c>
      <c r="H581" s="67" t="s">
        <v>3</v>
      </c>
      <c r="I581" s="82">
        <v>5500</v>
      </c>
      <c r="J581" s="5">
        <f>VLOOKUP(I581,Наценка!$A$1:$G$8,2,1)</f>
        <v>1.31</v>
      </c>
      <c r="K581" s="56">
        <f>W581*1.06</f>
        <v>6985.4000000000005</v>
      </c>
      <c r="L581" s="70">
        <f>IF(K581&lt;=1000,(ROUNDUP(K581,-1)-1),(ROUNDUP(K581,-2)-10))</f>
        <v>6990</v>
      </c>
      <c r="M581" s="80">
        <f>VLOOKUP($A581,'Выгр Кат'!$A:$R,M$1,0)</f>
        <v>5500</v>
      </c>
      <c r="N581" s="80">
        <f>VLOOKUP($A581,'Выгр Кат'!$A:$R,N$1,0)</f>
        <v>6990</v>
      </c>
      <c r="O581" s="28">
        <f>M581-I581</f>
        <v>0</v>
      </c>
      <c r="P581" s="28">
        <f>N581-L581</f>
        <v>0</v>
      </c>
      <c r="Q581" s="36">
        <f>IFERROR(L581*(1-$Q$2),"")</f>
        <v>6500.7</v>
      </c>
      <c r="R581" s="38">
        <f>IFERROR(VLOOKUP($A581,'Из Гугла'!$B:$G,6,0)*S581,VLOOKUP($A581,'Из Гугла'!$B:$G,6,0))</f>
        <v>6590</v>
      </c>
      <c r="S581" s="14">
        <v>1</v>
      </c>
      <c r="T581" s="83">
        <f>IFERROR(Q581/I581-1,"")</f>
        <v>0.18194545454545441</v>
      </c>
      <c r="U581" s="83">
        <f>IFERROR((W581-Q581)/W581,"")</f>
        <v>1.3550834597875597E-2</v>
      </c>
      <c r="V581" s="83">
        <f>IFERROR(IF(W581="","",W581/I581-1),"")</f>
        <v>0.19818181818181824</v>
      </c>
      <c r="W581" s="93">
        <v>6590</v>
      </c>
      <c r="X581" s="71" t="s">
        <v>938</v>
      </c>
    </row>
    <row r="582" spans="1:24" ht="30" x14ac:dyDescent="0.25">
      <c r="A582" s="80">
        <v>164913</v>
      </c>
      <c r="B582" s="80">
        <f>VLOOKUP($A582,'Выгр Кат'!$A:$R,B$1,0)</f>
        <v>10728</v>
      </c>
      <c r="C582" s="81" t="str">
        <f>VLOOKUP($A582,'Выгр Кат'!$A:$R,C$1,0)</f>
        <v>Набор автоинструмента 76PCS «AEROFORCE»</v>
      </c>
      <c r="D582" s="80" t="str">
        <f>VLOOKUP($A582,'Выгр Кат'!$A:$R,D$1,0)</f>
        <v>N</v>
      </c>
      <c r="E582" s="80" t="str">
        <f>VLOOKUP($A582,'Выгр Кат'!$A:$R,E$1,0)</f>
        <v>1</v>
      </c>
      <c r="F582" s="80">
        <f>VLOOKUP($A582,'Выгр Кат'!$A:$R,F$1,0)</f>
        <v>0</v>
      </c>
      <c r="G582" s="80" t="str">
        <f>VLOOKUP($A582,'Выгр Кат'!$A:$R,G$1,0)</f>
        <v>https://motorring.ru/product/10664</v>
      </c>
      <c r="H582" s="67" t="s">
        <v>3</v>
      </c>
      <c r="I582" s="82">
        <v>5500</v>
      </c>
      <c r="J582" s="5">
        <f>VLOOKUP(I582,Наценка!$A$1:$G$8,2,1)</f>
        <v>1.31</v>
      </c>
      <c r="K582" s="87">
        <f>W582*1.06</f>
        <v>8363.4</v>
      </c>
      <c r="L582" s="70">
        <f>IF(K582&lt;=1000,(ROUNDUP(K582,-1)-1),(ROUNDUP(K582,-2)-10))</f>
        <v>8390</v>
      </c>
      <c r="M582" s="80">
        <f>VLOOKUP($A582,'Выгр Кат'!$A:$R,M$1,0)</f>
        <v>5500</v>
      </c>
      <c r="N582" s="80">
        <f>VLOOKUP($A582,'Выгр Кат'!$A:$R,N$1,0)</f>
        <v>8390</v>
      </c>
      <c r="O582" s="28">
        <f>M582-I582</f>
        <v>0</v>
      </c>
      <c r="P582" s="28">
        <f>N582-L582</f>
        <v>0</v>
      </c>
      <c r="Q582" s="36">
        <f>IFERROR(L582*(1-$Q$2),"")</f>
        <v>7802.7</v>
      </c>
      <c r="R582" s="38">
        <f>IFERROR(VLOOKUP($A582,'Из Гугла'!$B:$G,6,0)*S582,VLOOKUP($A582,'Из Гугла'!$B:$G,6,0))</f>
        <v>7890</v>
      </c>
      <c r="S582" s="14">
        <v>1</v>
      </c>
      <c r="T582" s="83">
        <f>IFERROR(Q582/I582-1,"")</f>
        <v>0.41867272727272731</v>
      </c>
      <c r="U582" s="83">
        <f>IFERROR((W582-Q582)/W582,"")</f>
        <v>1.1064638783269985E-2</v>
      </c>
      <c r="V582" s="83">
        <f>IFERROR(IF(W582="","",W582/I582-1),"")</f>
        <v>0.43454545454545457</v>
      </c>
      <c r="W582" s="93">
        <v>7890</v>
      </c>
      <c r="X582" s="71" t="s">
        <v>939</v>
      </c>
    </row>
    <row r="583" spans="1:24" ht="75" x14ac:dyDescent="0.25">
      <c r="A583" s="80">
        <v>213720</v>
      </c>
      <c r="B583" s="80">
        <f>VLOOKUP($A583,'Выгр Кат'!$A:$R,B$1,0)</f>
        <v>14167</v>
      </c>
      <c r="C583" s="81" t="str">
        <f>VLOOKUP($A583,'Выгр Кат'!$A:$R,C$1,0)</f>
        <v>Светодиодные фары с Bluetooth 7, черные (ДХО, повторитель) для ВАЗ (2101, 2102), Лада (Нива 4х4, Нива 4х4 Урбан), УАЗ (3303, 469, Хантер), Jeep Wrangler</v>
      </c>
      <c r="D583" s="80" t="str">
        <f>VLOOKUP($A583,'Выгр Кат'!$A:$R,D$1,0)</f>
        <v>Y</v>
      </c>
      <c r="E583" s="80" t="str">
        <f>VLOOKUP($A583,'Выгр Кат'!$A:$R,E$1,0)</f>
        <v>0</v>
      </c>
      <c r="F583" s="80">
        <f>VLOOKUP($A583,'Выгр Кат'!$A:$R,F$1,0)</f>
        <v>0</v>
      </c>
      <c r="G583" s="80">
        <f>VLOOKUP($A583,'Выгр Кат'!$A:$R,G$1,0)</f>
        <v>0</v>
      </c>
      <c r="H583" s="67" t="s">
        <v>3</v>
      </c>
      <c r="I583" s="82">
        <v>5600</v>
      </c>
      <c r="J583" s="5">
        <f>VLOOKUP(I583,Наценка!$A$1:$G$8,2,1)</f>
        <v>1.31</v>
      </c>
      <c r="K583" s="34">
        <f>I583*J583</f>
        <v>7336</v>
      </c>
      <c r="L583" s="39">
        <f>IF(K583&lt;=1000,(ROUNDUP(K583,-1)-1),(ROUNDUP(K583,-2)-10))</f>
        <v>7390</v>
      </c>
      <c r="M583" s="80">
        <f>VLOOKUP($A583,'Выгр Кат'!$A:$R,M$1,0)</f>
        <v>5600</v>
      </c>
      <c r="N583" s="80">
        <f>VLOOKUP($A583,'Выгр Кат'!$A:$R,N$1,0)</f>
        <v>7390</v>
      </c>
      <c r="O583" s="28">
        <f>M583-I583</f>
        <v>0</v>
      </c>
      <c r="P583" s="28">
        <f>N583-L583</f>
        <v>0</v>
      </c>
      <c r="Q583" s="36">
        <f>IFERROR(L583*(1-$Q$2),"")</f>
        <v>6872.7</v>
      </c>
      <c r="R583" s="38" t="str">
        <f>IFERROR(VLOOKUP($A583,'Из Гугла'!$B:$G,6,0)*S583,VLOOKUP($A583,'Из Гугла'!$B:$G,6,0))</f>
        <v/>
      </c>
      <c r="S583" s="14">
        <v>1</v>
      </c>
      <c r="T583" s="83">
        <f>IFERROR(Q583/I583-1,"")</f>
        <v>0.22726785714285702</v>
      </c>
      <c r="U583" s="83" t="str">
        <f>IFERROR((W583-Q583)/W583,"")</f>
        <v/>
      </c>
      <c r="V583" s="83" t="str">
        <f>IFERROR(IF(W583="","",W583/I583-1),"")</f>
        <v/>
      </c>
      <c r="W583" s="84"/>
    </row>
    <row r="584" spans="1:24" ht="30" x14ac:dyDescent="0.25">
      <c r="A584" s="80">
        <v>164912</v>
      </c>
      <c r="B584" s="80">
        <f>VLOOKUP($A584,'Выгр Кат'!$A:$R,B$1,0)</f>
        <v>10706</v>
      </c>
      <c r="C584" s="81" t="str">
        <f>VLOOKUP($A584,'Выгр Кат'!$A:$R,C$1,0)</f>
        <v>Набор автоинструмента «AEROFORCE» 97PCS</v>
      </c>
      <c r="D584" s="80" t="str">
        <f>VLOOKUP($A584,'Выгр Кат'!$A:$R,D$1,0)</f>
        <v>N</v>
      </c>
      <c r="E584" s="80" t="str">
        <f>VLOOKUP($A584,'Выгр Кат'!$A:$R,E$1,0)</f>
        <v>0</v>
      </c>
      <c r="F584" s="80">
        <f>VLOOKUP($A584,'Выгр Кат'!$A:$R,F$1,0)</f>
        <v>0</v>
      </c>
      <c r="G584" s="80" t="str">
        <f>VLOOKUP($A584,'Выгр Кат'!$A:$R,G$1,0)</f>
        <v>https://motorring.ru/product/688-nabor-instrumentov-aerofors-97-pc-predmetov</v>
      </c>
      <c r="H584" s="67" t="s">
        <v>3</v>
      </c>
      <c r="I584" s="82">
        <v>6000</v>
      </c>
      <c r="J584" s="5">
        <f>VLOOKUP(I584,Наценка!$A$1:$G$8,2,1)</f>
        <v>1.31</v>
      </c>
      <c r="K584" s="89">
        <f>W584*1.07</f>
        <v>7693.3</v>
      </c>
      <c r="L584" s="70">
        <f>IF(K584&lt;=1000,(ROUNDUP(K584,-1)-1),(ROUNDUP(K584,-2)-10))</f>
        <v>7690</v>
      </c>
      <c r="M584" s="80">
        <f>VLOOKUP($A584,'Выгр Кат'!$A:$R,M$1,0)</f>
        <v>6000</v>
      </c>
      <c r="N584" s="80">
        <f>VLOOKUP($A584,'Выгр Кат'!$A:$R,N$1,0)</f>
        <v>7690</v>
      </c>
      <c r="O584" s="28">
        <f>M584-I584</f>
        <v>0</v>
      </c>
      <c r="P584" s="28">
        <f>N584-L584</f>
        <v>0</v>
      </c>
      <c r="Q584" s="36">
        <f>IFERROR(L584*(1-$Q$2),"")</f>
        <v>7151.7</v>
      </c>
      <c r="R584" s="38">
        <f>IFERROR(VLOOKUP($A584,'Из Гугла'!$B:$G,6,0)*S584,VLOOKUP($A584,'Из Гугла'!$B:$G,6,0))</f>
        <v>7190</v>
      </c>
      <c r="S584" s="14">
        <v>1</v>
      </c>
      <c r="T584" s="83">
        <f>IFERROR(Q584/I584-1,"")</f>
        <v>0.19195000000000007</v>
      </c>
      <c r="U584" s="83">
        <f>IFERROR((W584-Q584)/W584,"")</f>
        <v>5.3268428372740166E-3</v>
      </c>
      <c r="V584" s="83">
        <f>IFERROR(IF(W584="","",W584/I584-1),"")</f>
        <v>0.19833333333333325</v>
      </c>
      <c r="W584" s="93">
        <v>7190</v>
      </c>
      <c r="X584" s="71" t="s">
        <v>753</v>
      </c>
    </row>
    <row r="585" spans="1:24" ht="45" x14ac:dyDescent="0.25">
      <c r="A585" s="80">
        <v>223945</v>
      </c>
      <c r="B585" s="80">
        <f>VLOOKUP($A585,'Выгр Кат'!$A:$R,B$1,0)</f>
        <v>4818</v>
      </c>
      <c r="C585" s="81" t="str">
        <f>VLOOKUP($A585,'Выгр Кат'!$A:$R,C$1,0)</f>
        <v>Фары передние чёрные с очками хром (линза, ДХО, поворотник в стиле LEXUS) для Лада Приора</v>
      </c>
      <c r="D585" s="80" t="str">
        <f>VLOOKUP($A585,'Выгр Кат'!$A:$R,D$1,0)</f>
        <v>Y</v>
      </c>
      <c r="E585" s="80" t="str">
        <f>VLOOKUP($A585,'Выгр Кат'!$A:$R,E$1,0)</f>
        <v>0</v>
      </c>
      <c r="F585" s="80">
        <f>VLOOKUP($A585,'Выгр Кат'!$A:$R,F$1,0)</f>
        <v>0</v>
      </c>
      <c r="G585" s="80" t="str">
        <f>VLOOKUP($A585,'Выгр Кат'!$A:$R,G$1,0)</f>
        <v>https://motorring.ru/product/32800-tyuning-fary-chernym-korpusom-polosoy-dho-linzoy-lada-priora</v>
      </c>
      <c r="H585" s="67" t="s">
        <v>3</v>
      </c>
      <c r="I585" s="82">
        <v>6300</v>
      </c>
      <c r="J585" s="5">
        <f>VLOOKUP(I585,Наценка!$A$1:$G$8,2,1)</f>
        <v>1.31</v>
      </c>
      <c r="K585" s="56">
        <f>W585*1.06</f>
        <v>11967.400000000001</v>
      </c>
      <c r="L585" s="70">
        <f>IF(K585&lt;=1000,(ROUNDUP(K585,-1)-1),(ROUNDUP(K585,-2)-10))</f>
        <v>11990</v>
      </c>
      <c r="M585" s="80">
        <f>VLOOKUP($A585,'Выгр Кат'!$A:$R,M$1,0)</f>
        <v>6300</v>
      </c>
      <c r="N585" s="80">
        <f>VLOOKUP($A585,'Выгр Кат'!$A:$R,N$1,0)</f>
        <v>11990</v>
      </c>
      <c r="O585" s="28">
        <f>M585-I585</f>
        <v>0</v>
      </c>
      <c r="P585" s="28">
        <f>N585-L585</f>
        <v>0</v>
      </c>
      <c r="Q585" s="36">
        <f>IFERROR(L585*(1-$Q$2),"")</f>
        <v>11150.699999999999</v>
      </c>
      <c r="R585" s="38">
        <f>IFERROR(VLOOKUP($A585,'Из Гугла'!$B:$G,6,0)*S585,VLOOKUP($A585,'Из Гугла'!$B:$G,6,0))</f>
        <v>11290</v>
      </c>
      <c r="S585" s="14">
        <v>1</v>
      </c>
      <c r="T585" s="83">
        <f>IFERROR(Q585/I585-1,"")</f>
        <v>0.76995238095238072</v>
      </c>
      <c r="U585" s="83">
        <f>IFERROR((W585-Q585)/W585,"")</f>
        <v>1.2338352524357936E-2</v>
      </c>
      <c r="V585" s="83">
        <f>IFERROR(IF(W585="","",W585/I585-1),"")</f>
        <v>0.79206349206349214</v>
      </c>
      <c r="W585" s="93">
        <v>11290</v>
      </c>
      <c r="X585" s="71" t="s">
        <v>892</v>
      </c>
    </row>
    <row r="586" spans="1:24" ht="30" x14ac:dyDescent="0.25">
      <c r="A586" s="80">
        <v>164903</v>
      </c>
      <c r="B586" s="80">
        <f>VLOOKUP($A586,'Выгр Кат'!$A:$R,B$1,0)</f>
        <v>10705</v>
      </c>
      <c r="C586" s="81" t="str">
        <f>VLOOKUP($A586,'Выгр Кат'!$A:$R,C$1,0)</f>
        <v>Набор автоинструмента «AEROFORCE» 131PCS</v>
      </c>
      <c r="D586" s="80" t="str">
        <f>VLOOKUP($A586,'Выгр Кат'!$A:$R,D$1,0)</f>
        <v>N</v>
      </c>
      <c r="E586" s="80" t="str">
        <f>VLOOKUP($A586,'Выгр Кат'!$A:$R,E$1,0)</f>
        <v>0</v>
      </c>
      <c r="F586" s="80">
        <f>VLOOKUP($A586,'Выгр Кат'!$A:$R,F$1,0)</f>
        <v>0</v>
      </c>
      <c r="G586" s="80">
        <f>VLOOKUP($A586,'Выгр Кат'!$A:$R,G$1,0)</f>
        <v>0</v>
      </c>
      <c r="H586" s="67" t="s">
        <v>3</v>
      </c>
      <c r="I586" s="82">
        <v>6400</v>
      </c>
      <c r="J586" s="5">
        <f>VLOOKUP(I586,Наценка!$A$1:$G$8,2,1)</f>
        <v>1.31</v>
      </c>
      <c r="K586" s="88">
        <f>I586*J586</f>
        <v>8384</v>
      </c>
      <c r="L586" s="70">
        <f>IF(K586&lt;=1000,(ROUNDUP(K586,-1)-1),(ROUNDUP(K586,-2)-10))</f>
        <v>8390</v>
      </c>
      <c r="M586" s="80">
        <f>VLOOKUP($A586,'Выгр Кат'!$A:$R,M$1,0)</f>
        <v>6400</v>
      </c>
      <c r="N586" s="80">
        <f>VLOOKUP($A586,'Выгр Кат'!$A:$R,N$1,0)</f>
        <v>8390</v>
      </c>
      <c r="O586" s="28">
        <f>M586-I586</f>
        <v>0</v>
      </c>
      <c r="P586" s="28">
        <f>N586-L586</f>
        <v>0</v>
      </c>
      <c r="Q586" s="36">
        <f>IFERROR(L586*(1-$Q$2),"")</f>
        <v>7802.7</v>
      </c>
      <c r="R586" s="38" t="str">
        <f>IFERROR(VLOOKUP($A586,'Из Гугла'!$B:$G,6,0)*S586,VLOOKUP($A586,'Из Гугла'!$B:$G,6,0))</f>
        <v/>
      </c>
      <c r="S586" s="14">
        <v>1</v>
      </c>
      <c r="T586" s="83">
        <f>IFERROR(Q586/I586-1,"")</f>
        <v>0.21917187500000002</v>
      </c>
      <c r="U586" s="83" t="str">
        <f>IFERROR((W586-Q586)/W586,"")</f>
        <v/>
      </c>
      <c r="V586" s="83" t="str">
        <f>IFERROR(IF(W586="","",W586/I586-1),"")</f>
        <v/>
      </c>
      <c r="W586" s="84"/>
    </row>
    <row r="587" spans="1:24" ht="30" x14ac:dyDescent="0.25">
      <c r="A587" s="80">
        <v>164910</v>
      </c>
      <c r="B587" s="80">
        <f>VLOOKUP($A587,'Выгр Кат'!$A:$R,B$1,0)</f>
        <v>10710</v>
      </c>
      <c r="C587" s="81" t="str">
        <f>VLOOKUP($A587,'Выгр Кат'!$A:$R,C$1,0)</f>
        <v>Набор автоинструмента «AEROFORCE» 92PCS</v>
      </c>
      <c r="D587" s="80" t="str">
        <f>VLOOKUP($A587,'Выгр Кат'!$A:$R,D$1,0)</f>
        <v>N</v>
      </c>
      <c r="E587" s="80" t="str">
        <f>VLOOKUP($A587,'Выгр Кат'!$A:$R,E$1,0)</f>
        <v>1</v>
      </c>
      <c r="F587" s="80">
        <f>VLOOKUP($A587,'Выгр Кат'!$A:$R,F$1,0)</f>
        <v>0</v>
      </c>
      <c r="G587" s="80" t="str">
        <f>VLOOKUP($A587,'Выгр Кат'!$A:$R,G$1,0)</f>
        <v>https://motorring.ru/product/849</v>
      </c>
      <c r="H587" s="67" t="s">
        <v>3</v>
      </c>
      <c r="I587" s="82">
        <v>7000</v>
      </c>
      <c r="J587" s="5">
        <f>VLOOKUP(I587,Наценка!$A$1:$G$8,2,1)</f>
        <v>1.31</v>
      </c>
      <c r="K587" s="87">
        <f>W587*1.06</f>
        <v>10377.4</v>
      </c>
      <c r="L587" s="70">
        <f>IF(K587&lt;=1000,(ROUNDUP(K587,-1)-1),(ROUNDUP(K587,-2)-10))</f>
        <v>10390</v>
      </c>
      <c r="M587" s="80">
        <f>VLOOKUP($A587,'Выгр Кат'!$A:$R,M$1,0)</f>
        <v>7000</v>
      </c>
      <c r="N587" s="80">
        <f>VLOOKUP($A587,'Выгр Кат'!$A:$R,N$1,0)</f>
        <v>10390</v>
      </c>
      <c r="O587" s="28">
        <f>M587-I587</f>
        <v>0</v>
      </c>
      <c r="P587" s="28">
        <f>N587-L587</f>
        <v>0</v>
      </c>
      <c r="Q587" s="36">
        <f>IFERROR(L587*(1-$Q$2),"")</f>
        <v>9662.6999999999989</v>
      </c>
      <c r="R587" s="38">
        <f>IFERROR(VLOOKUP($A587,'Из Гугла'!$B:$G,6,0)*S587,VLOOKUP($A587,'Из Гугла'!$B:$G,6,0))</f>
        <v>9790</v>
      </c>
      <c r="S587" s="14">
        <v>1</v>
      </c>
      <c r="T587" s="83">
        <f>IFERROR(Q587/I587-1,"")</f>
        <v>0.3803857142857141</v>
      </c>
      <c r="U587" s="83">
        <f>IFERROR((W587-Q587)/W587,"")</f>
        <v>1.300306435137907E-2</v>
      </c>
      <c r="V587" s="83">
        <f>IFERROR(IF(W587="","",W587/I587-1),"")</f>
        <v>0.39857142857142858</v>
      </c>
      <c r="W587" s="93">
        <v>9790</v>
      </c>
      <c r="X587" s="71" t="s">
        <v>942</v>
      </c>
    </row>
    <row r="588" spans="1:24" ht="30" x14ac:dyDescent="0.25">
      <c r="A588" s="80">
        <v>164905</v>
      </c>
      <c r="B588" s="80">
        <f>VLOOKUP($A588,'Выгр Кат'!$A:$R,B$1,0)</f>
        <v>10703</v>
      </c>
      <c r="C588" s="81" t="str">
        <f>VLOOKUP($A588,'Выгр Кат'!$A:$R,C$1,0)</f>
        <v>Набор автоинструмента «AEROFORCE» 137PCS</v>
      </c>
      <c r="D588" s="80" t="str">
        <f>VLOOKUP($A588,'Выгр Кат'!$A:$R,D$1,0)</f>
        <v>N</v>
      </c>
      <c r="E588" s="80" t="str">
        <f>VLOOKUP($A588,'Выгр Кат'!$A:$R,E$1,0)</f>
        <v>0</v>
      </c>
      <c r="F588" s="80">
        <f>VLOOKUP($A588,'Выгр Кат'!$A:$R,F$1,0)</f>
        <v>0</v>
      </c>
      <c r="G588" s="80">
        <f>VLOOKUP($A588,'Выгр Кат'!$A:$R,G$1,0)</f>
        <v>0</v>
      </c>
      <c r="H588" s="67" t="s">
        <v>3</v>
      </c>
      <c r="I588" s="82">
        <v>8000</v>
      </c>
      <c r="J588" s="5">
        <f>VLOOKUP(I588,Наценка!$A$1:$G$8,2,1)</f>
        <v>1.31</v>
      </c>
      <c r="K588" s="88">
        <f>I588*J588</f>
        <v>10480</v>
      </c>
      <c r="L588" s="70">
        <f>IF(K588&lt;=1000,(ROUNDUP(K588,-1)-1),(ROUNDUP(K588,-2)-10))</f>
        <v>10490</v>
      </c>
      <c r="M588" s="80">
        <f>VLOOKUP($A588,'Выгр Кат'!$A:$R,M$1,0)</f>
        <v>8000</v>
      </c>
      <c r="N588" s="80">
        <f>VLOOKUP($A588,'Выгр Кат'!$A:$R,N$1,0)</f>
        <v>10490</v>
      </c>
      <c r="O588" s="28">
        <f>M588-I588</f>
        <v>0</v>
      </c>
      <c r="P588" s="28">
        <f>N588-L588</f>
        <v>0</v>
      </c>
      <c r="Q588" s="36">
        <f>IFERROR(L588*(1-$Q$2),"")</f>
        <v>9755.6999999999989</v>
      </c>
      <c r="R588" s="38" t="str">
        <f>IFERROR(VLOOKUP($A588,'Из Гугла'!$B:$G,6,0)*S588,VLOOKUP($A588,'Из Гугла'!$B:$G,6,0))</f>
        <v/>
      </c>
      <c r="S588" s="14">
        <v>1</v>
      </c>
      <c r="T588" s="83">
        <f>IFERROR(Q588/I588-1,"")</f>
        <v>0.21946249999999989</v>
      </c>
      <c r="U588" s="83" t="str">
        <f>IFERROR((W588-Q588)/W588,"")</f>
        <v/>
      </c>
      <c r="V588" s="83" t="str">
        <f>IFERROR(IF(W588="","",W588/I588-1),"")</f>
        <v/>
      </c>
      <c r="W588" s="84"/>
    </row>
    <row r="589" spans="1:24" ht="45" x14ac:dyDescent="0.25">
      <c r="A589" s="80">
        <v>187492</v>
      </c>
      <c r="B589" s="80">
        <f>VLOOKUP($A589,'Выгр Кат'!$A:$R,B$1,0)</f>
        <v>4956</v>
      </c>
      <c r="C589" s="81" t="str">
        <f>VLOOKUP($A589,'Выгр Кат'!$A:$R,C$1,0)</f>
        <v>Передние фары (чёрные) с ангельскими глазками для ВАЗ 2113-2115</v>
      </c>
      <c r="D589" s="80" t="str">
        <f>VLOOKUP($A589,'Выгр Кат'!$A:$R,D$1,0)</f>
        <v>Y</v>
      </c>
      <c r="E589" s="80" t="str">
        <f>VLOOKUP($A589,'Выгр Кат'!$A:$R,E$1,0)</f>
        <v>0</v>
      </c>
      <c r="F589" s="80">
        <f>VLOOKUP($A589,'Выгр Кат'!$A:$R,F$1,0)</f>
        <v>0</v>
      </c>
      <c r="G589" s="80">
        <f>VLOOKUP($A589,'Выгр Кат'!$A:$R,G$1,0)</f>
        <v>0</v>
      </c>
      <c r="H589" s="67" t="s">
        <v>3</v>
      </c>
      <c r="I589" s="82">
        <v>9000</v>
      </c>
      <c r="J589" s="5">
        <f>VLOOKUP(I589,Наценка!$A$1:$G$8,2,1)</f>
        <v>1.31</v>
      </c>
      <c r="K589" s="88">
        <f>I589*J589</f>
        <v>11790</v>
      </c>
      <c r="L589" s="70">
        <f>IF(K589&lt;=1000,(ROUNDUP(K589,-1)-1),(ROUNDUP(K589,-2)-10))</f>
        <v>11790</v>
      </c>
      <c r="M589" s="80">
        <f>VLOOKUP($A589,'Выгр Кат'!$A:$R,M$1,0)</f>
        <v>9000</v>
      </c>
      <c r="N589" s="80">
        <f>VLOOKUP($A589,'Выгр Кат'!$A:$R,N$1,0)</f>
        <v>11790</v>
      </c>
      <c r="O589" s="28">
        <f>M589-I589</f>
        <v>0</v>
      </c>
      <c r="P589" s="28">
        <f>N589-L589</f>
        <v>0</v>
      </c>
      <c r="Q589" s="36">
        <f>IFERROR(L589*(1-$Q$2),"")</f>
        <v>10964.699999999999</v>
      </c>
      <c r="R589" s="38" t="str">
        <f>IFERROR(VLOOKUP($A589,'Из Гугла'!$B:$G,6,0)*S589,VLOOKUP($A589,'Из Гугла'!$B:$G,6,0))</f>
        <v/>
      </c>
      <c r="S589" s="14">
        <v>1</v>
      </c>
      <c r="T589" s="83">
        <f>IFERROR(Q589/I589-1,"")</f>
        <v>0.21829999999999994</v>
      </c>
      <c r="U589" s="83" t="str">
        <f>IFERROR((W589-Q589)/W589,"")</f>
        <v/>
      </c>
      <c r="V589" s="83" t="str">
        <f>IFERROR(IF(W589="","",W589/I589-1),"")</f>
        <v/>
      </c>
      <c r="W589" s="84"/>
    </row>
    <row r="590" spans="1:24" ht="30" x14ac:dyDescent="0.25">
      <c r="A590" s="80">
        <v>187491</v>
      </c>
      <c r="B590" s="80">
        <f>VLOOKUP($A590,'Выгр Кат'!$A:$R,B$1,0)</f>
        <v>4982</v>
      </c>
      <c r="C590" s="81" t="str">
        <f>VLOOKUP($A590,'Выгр Кат'!$A:$R,C$1,0)</f>
        <v>Передние фары (хром) с ангельскими глазками для ВАЗ 2113-2115</v>
      </c>
      <c r="D590" s="80" t="str">
        <f>VLOOKUP($A590,'Выгр Кат'!$A:$R,D$1,0)</f>
        <v>Y</v>
      </c>
      <c r="E590" s="80" t="str">
        <f>VLOOKUP($A590,'Выгр Кат'!$A:$R,E$1,0)</f>
        <v>0</v>
      </c>
      <c r="F590" s="80">
        <f>VLOOKUP($A590,'Выгр Кат'!$A:$R,F$1,0)</f>
        <v>0</v>
      </c>
      <c r="G590" s="80">
        <f>VLOOKUP($A590,'Выгр Кат'!$A:$R,G$1,0)</f>
        <v>0</v>
      </c>
      <c r="H590" s="67" t="s">
        <v>3</v>
      </c>
      <c r="I590" s="82">
        <v>9000</v>
      </c>
      <c r="J590" s="5">
        <f>VLOOKUP(I590,Наценка!$A$1:$G$8,2,1)</f>
        <v>1.31</v>
      </c>
      <c r="K590" s="88">
        <f>I590*J590</f>
        <v>11790</v>
      </c>
      <c r="L590" s="70">
        <f>IF(K590&lt;=1000,(ROUNDUP(K590,-1)-1),(ROUNDUP(K590,-2)-10))</f>
        <v>11790</v>
      </c>
      <c r="M590" s="80">
        <f>VLOOKUP($A590,'Выгр Кат'!$A:$R,M$1,0)</f>
        <v>9000</v>
      </c>
      <c r="N590" s="80">
        <f>VLOOKUP($A590,'Выгр Кат'!$A:$R,N$1,0)</f>
        <v>11790</v>
      </c>
      <c r="O590" s="28">
        <f>M590-I590</f>
        <v>0</v>
      </c>
      <c r="P590" s="28">
        <f>N590-L590</f>
        <v>0</v>
      </c>
      <c r="Q590" s="36">
        <f>IFERROR(L590*(1-$Q$2),"")</f>
        <v>10964.699999999999</v>
      </c>
      <c r="R590" s="38" t="str">
        <f>IFERROR(VLOOKUP($A590,'Из Гугла'!$B:$G,6,0)*S590,VLOOKUP($A590,'Из Гугла'!$B:$G,6,0))</f>
        <v/>
      </c>
      <c r="S590" s="14">
        <v>1</v>
      </c>
      <c r="T590" s="83">
        <f>IFERROR(Q590/I590-1,"")</f>
        <v>0.21829999999999994</v>
      </c>
      <c r="U590" s="83" t="str">
        <f>IFERROR((W590-Q590)/W590,"")</f>
        <v/>
      </c>
      <c r="V590" s="83" t="str">
        <f>IFERROR(IF(W590="","",W590/I590-1),"")</f>
        <v/>
      </c>
      <c r="W590" s="84"/>
    </row>
    <row r="591" spans="1:24" ht="30" x14ac:dyDescent="0.25">
      <c r="A591" s="80">
        <v>164904</v>
      </c>
      <c r="B591" s="80">
        <f>VLOOKUP($A591,'Выгр Кат'!$A:$R,B$1,0)</f>
        <v>10704</v>
      </c>
      <c r="C591" s="81" t="str">
        <f>VLOOKUP($A591,'Выгр Кат'!$A:$R,C$1,0)</f>
        <v>Набор автоинструмента «AEROFORCE» 132PCS</v>
      </c>
      <c r="D591" s="80" t="str">
        <f>VLOOKUP($A591,'Выгр Кат'!$A:$R,D$1,0)</f>
        <v>N</v>
      </c>
      <c r="E591" s="80" t="str">
        <f>VLOOKUP($A591,'Выгр Кат'!$A:$R,E$1,0)</f>
        <v>0</v>
      </c>
      <c r="F591" s="80">
        <f>VLOOKUP($A591,'Выгр Кат'!$A:$R,F$1,0)</f>
        <v>0</v>
      </c>
      <c r="G591" s="80" t="str">
        <f>VLOOKUP($A591,'Выгр Кат'!$A:$R,G$1,0)</f>
        <v>https://motorring.ru/product/260</v>
      </c>
      <c r="H591" s="67" t="s">
        <v>3</v>
      </c>
      <c r="I591" s="82">
        <v>10000</v>
      </c>
      <c r="J591" s="5">
        <f>VLOOKUP(I591,Наценка!$A$1:$G$8,2,1)</f>
        <v>1.32</v>
      </c>
      <c r="K591" s="56">
        <f>W591*1.06</f>
        <v>12709.400000000001</v>
      </c>
      <c r="L591" s="70">
        <f>IF(K591&lt;=1000,(ROUNDUP(K591,-1)-1),(ROUNDUP(K591,-2)-10))</f>
        <v>12790</v>
      </c>
      <c r="M591" s="80">
        <f>VLOOKUP($A591,'Выгр Кат'!$A:$R,M$1,0)</f>
        <v>10000</v>
      </c>
      <c r="N591" s="80">
        <f>VLOOKUP($A591,'Выгр Кат'!$A:$R,N$1,0)</f>
        <v>12790</v>
      </c>
      <c r="O591" s="28">
        <f>M591-I591</f>
        <v>0</v>
      </c>
      <c r="P591" s="28">
        <f>N591-L591</f>
        <v>0</v>
      </c>
      <c r="Q591" s="36">
        <f>IFERROR(L591*(1-$Q$2),"")</f>
        <v>11894.699999999999</v>
      </c>
      <c r="R591" s="38">
        <f>IFERROR(VLOOKUP($A591,'Из Гугла'!$B:$G,6,0)*S591,VLOOKUP($A591,'Из Гугла'!$B:$G,6,0))</f>
        <v>11990</v>
      </c>
      <c r="S591" s="14">
        <v>1</v>
      </c>
      <c r="T591" s="83">
        <f>IFERROR(Q591/I591-1,"")</f>
        <v>0.18946999999999981</v>
      </c>
      <c r="U591" s="83">
        <f>IFERROR((W591-Q591)/W591,"")</f>
        <v>7.9482902418683138E-3</v>
      </c>
      <c r="V591" s="83">
        <f>IFERROR(IF(W591="","",W591/I591-1),"")</f>
        <v>0.19900000000000007</v>
      </c>
      <c r="W591" s="93">
        <v>11990</v>
      </c>
      <c r="X591" s="71" t="s">
        <v>743</v>
      </c>
    </row>
    <row r="593" spans="11:11" x14ac:dyDescent="0.25">
      <c r="K593" s="59">
        <f>I593*J593</f>
        <v>0</v>
      </c>
    </row>
    <row r="594" spans="11:11" x14ac:dyDescent="0.25">
      <c r="K594" s="53">
        <f>W594*1</f>
        <v>0</v>
      </c>
    </row>
    <row r="595" spans="11:11" x14ac:dyDescent="0.25">
      <c r="K595" s="54">
        <f>W595*1.02</f>
        <v>0</v>
      </c>
    </row>
    <row r="596" spans="11:11" x14ac:dyDescent="0.25">
      <c r="K596" s="55">
        <f>W596*1.04</f>
        <v>0</v>
      </c>
    </row>
    <row r="597" spans="11:11" x14ac:dyDescent="0.25">
      <c r="K597" s="56">
        <f>W597*1.05</f>
        <v>0</v>
      </c>
    </row>
    <row r="598" spans="11:11" x14ac:dyDescent="0.25">
      <c r="K598" s="56">
        <f>W598*1.06</f>
        <v>0</v>
      </c>
    </row>
    <row r="599" spans="11:11" x14ac:dyDescent="0.25">
      <c r="K599" s="57">
        <f>W599*1.07</f>
        <v>0</v>
      </c>
    </row>
    <row r="600" spans="11:11" x14ac:dyDescent="0.25">
      <c r="K600" s="58">
        <f>W600*1.08</f>
        <v>0</v>
      </c>
    </row>
    <row r="601" spans="11:11" x14ac:dyDescent="0.25">
      <c r="K601" s="60">
        <f>I601*1.15*100/93</f>
        <v>0</v>
      </c>
    </row>
  </sheetData>
  <autoFilter ref="A2:X591" xr:uid="{00000000-0009-0000-0000-000000000000}">
    <sortState xmlns:xlrd2="http://schemas.microsoft.com/office/spreadsheetml/2017/richdata2" ref="A3:X591">
      <sortCondition sortBy="cellColor" ref="C2:C591" dxfId="26"/>
    </sortState>
  </autoFilter>
  <conditionalFormatting sqref="T3:T591 V3:V591">
    <cfRule type="cellIs" dxfId="24" priority="14" operator="lessThan">
      <formula>0.15</formula>
    </cfRule>
  </conditionalFormatting>
  <conditionalFormatting sqref="C3:C591">
    <cfRule type="expression" dxfId="23" priority="11">
      <formula>OR(D3="N",E3="0")</formula>
    </cfRule>
  </conditionalFormatting>
  <conditionalFormatting sqref="R2:R591">
    <cfRule type="expression" dxfId="22" priority="10">
      <formula>VALUE(R2)&lt;&gt;W2</formula>
    </cfRule>
  </conditionalFormatting>
  <conditionalFormatting sqref="U3:U591">
    <cfRule type="cellIs" dxfId="21" priority="8" operator="lessThan">
      <formula>0%</formula>
    </cfRule>
  </conditionalFormatting>
  <conditionalFormatting sqref="A3:A591">
    <cfRule type="expression" dxfId="20" priority="6">
      <formula>AND($P3=0,$O3=0)</formula>
    </cfRule>
  </conditionalFormatting>
  <conditionalFormatting sqref="X1:X1048576">
    <cfRule type="duplicateValues" dxfId="19" priority="1"/>
  </conditionalFormatting>
  <hyperlinks>
    <hyperlink ref="W445" r:id="rId1" display="https://motorring.ru/product/11869-spoylery-diodom-dvorniki-karbon" xr:uid="{8182104C-5167-4529-9C84-24FA6772CA74}"/>
    <hyperlink ref="W50" r:id="rId2" display="https://motorring.ru/product/8342-chernye-diodnye-protivotumannye-fary-vaz-2110-2112" xr:uid="{E2E4014B-F7A6-4C5C-8299-338605C1179A}"/>
    <hyperlink ref="W273" r:id="rId3" display="https://motorring.ru/product/25053-svetodiodnye-podfarniki-plavniye-dho-povtoritel-4x4-niva" xr:uid="{B221F40F-425D-49F2-9FB2-31D661BC4167}"/>
    <hyperlink ref="W570" r:id="rId4" display="https://motorring.ru/product/18762-svetodiodnye-fary-chernom-korpuse-90w-dyuymov-povtoritelem" xr:uid="{2293DF29-4E5C-45CE-A6C8-A8D180397A43}"/>
    <hyperlink ref="W286" r:id="rId5" display="https://motorring.ru/product/25915-zadnie-chernye-svetodiodnye-fonari-polosy-begayuschim" xr:uid="{2E2DBBC9-B9CF-4171-AA3F-2531B1DBB9AB}"/>
    <hyperlink ref="W360" r:id="rId6" display="https://motorring.ru/product/16189-tyuning-fary-chernom-korpuse-diodnymi-dho-lada-granta" xr:uid="{86EB4A5B-EC4A-4AEE-BE01-AF67DBBC89F1}"/>
    <hyperlink ref="W591" r:id="rId7" display="https://motorring.ru/product/260" xr:uid="{32A5B193-B179-4C54-8374-A03C77A4FE43}"/>
    <hyperlink ref="W384" r:id="rId8" display="https://motorring.ru/product/8283-diodnaya-balka-pl-3107-300w-100-3vt" xr:uid="{896B3A6F-3B1A-433C-99B1-3638DAEDAAB9}"/>
    <hyperlink ref="W287" r:id="rId9" display="https://motorring.ru/product/34249-zadnie-svetodiodnye-fonari-tonirovannye-stile-range-rover-niva" xr:uid="{0F8C340B-1F47-41AF-82CA-14C462C20A2B}"/>
    <hyperlink ref="W380" r:id="rId10" display="https://motorring.ru/product/8282-diodnaya-balka-pl-3106-240w-3vt" xr:uid="{4201D8E4-AAE3-4478-84CD-F4B703D63CBF}"/>
    <hyperlink ref="W63" r:id="rId11" display="https://motorring.ru/product/8338-protivotumannye-fary-glaz-orla-vaz-2110-2115" xr:uid="{8B7ABC9B-C6E0-4841-BF57-CFECB512DA88}"/>
    <hyperlink ref="W18" r:id="rId12" display="https://motorring.ru/product/11781-diodnaya-balka-42-hk-yx" xr:uid="{BFE5CE0C-47C5-4382-ABA1-543351829AA8}"/>
    <hyperlink ref="W13" r:id="rId13" display="https://motorring.ru/product/11751-diodnaya-balka-48w-a-blighniy-3vt" xr:uid="{C19BCCAD-F0F8-4FD3-A416-5B1EC91E85FF}"/>
    <hyperlink ref="W579" r:id="rId14" display="https://motorring.ru/product/10675-nabor-instrumentov-aerofors-59-pc-predmetov" xr:uid="{90E53F51-D998-4E92-AD96-4228FFEB4045}"/>
    <hyperlink ref="W584" r:id="rId15" display="https://motorring.ru/product/688-nabor-instrumentov-aerofors-97-pc-predmetov" xr:uid="{BD00F32D-11B5-4F1C-B312-14CE62122511}"/>
    <hyperlink ref="W4" r:id="rId16" display="https://motorring.ru/product/32728-zadnie-diodnye-fonari-orlinyy-glaz-belyue-vaz" xr:uid="{835BAE3E-A66E-4E03-B7E5-845E1F8341C6}"/>
    <hyperlink ref="W351" r:id="rId17" display="https://motorring.ru/product/32064-zadnie-chernye-svetodiodnye-fonari-stile-amg-lada-priora" xr:uid="{C7BE2B9A-9DC2-4718-9606-57C35A3F89A7}"/>
    <hyperlink ref="W385" r:id="rId18" display="https://motorring.ru/product/38698-komplekt-diodnyh-far-thebestpartner-stile-audi-lada-vesta" xr:uid="{83089EB8-0502-4F74-9DA5-EAAE6BDA87B8}"/>
    <hyperlink ref="W310" r:id="rId19" display="https://motorring.ru/product/35105-zadnie-diodnye-fonari-orlinyy-glaz-tonirovannye-vaz-2105" xr:uid="{28D86360-9371-4BC9-8720-3B93623C3643}"/>
    <hyperlink ref="W311" r:id="rId20" display="https://motorring.ru/product/28138-zadnie-diodnye-fonari-orlinyy-glaz-tonirovannye-vaz" xr:uid="{F3F25EF2-806F-478D-8731-E1F8ACF9B656}"/>
    <hyperlink ref="W279" r:id="rId21" display="https://motorring.ru/product/38688-zadnie-diodnye-fonari-orlinyy-glaz-vaz-2105" xr:uid="{B7008722-9B87-4FE7-83D4-7BFE7EE4F52B}"/>
    <hyperlink ref="W349" r:id="rId22" display="https://motorring.ru/product/27717-svetodiodnye-fary-cherep-dyuymov-chernye-led-kolycom" xr:uid="{6100B51F-4801-4740-863F-52DD03B5F883}"/>
    <hyperlink ref="W317" r:id="rId23" display="https://motorring.ru/product/36708-zadnie-svetodiodnye-svetlie-fonari-stile-range-rover-niva" xr:uid="{D90FE7D4-4653-4E60-8F6D-A445B62A309D}"/>
    <hyperlink ref="W348" r:id="rId24" display="https://motorring.ru/product/27719-svetodiodnye-fary-shkali-dyuymov-chernye-led-kolycom" xr:uid="{B4C81BFC-A20B-492A-A5A8-0B6C16399373}"/>
    <hyperlink ref="W332" r:id="rId25" display="https://motorring.ru/product/10566-podfarniki-dlaa-diodnymi-povorotnikami-dho-temnyy-hrom-niva" xr:uid="{EE9203CD-4B04-4140-B58E-6A8B45364E24}"/>
    <hyperlink ref="W330" r:id="rId26" display="https://motorring.ru/product/27715-svetodiodnye-fary-zvezdi-dyuymov-chernye-led-kolycom" xr:uid="{2C3E439F-4519-4C2C-A6D1-F47594349071}"/>
    <hyperlink ref="W343" r:id="rId27" display="https://motorring.ru/product/15119-svetodiodnye-fary-chernom-korpuse-96w-dyuymov-povtoritelem" xr:uid="{1E5F49BD-240A-4FDB-8CB5-E9EA7C6B199D}"/>
    <hyperlink ref="W312" r:id="rId28" display="https://motorring.ru/product/12231-svetodiodnye-fary-90w-dyuymov-chernye-diodnym-kolycom" xr:uid="{703733D0-2F03-4333-AC21-74F4005B3EC7}"/>
    <hyperlink ref="W342" r:id="rId29" display="https://motorring.ru/product/21524-svetodiodnye-fary-chernom-korpuse-96w-dyuymov-led-kolycom" xr:uid="{A785CB03-5491-4A88-8938-A2A730E90CD4}"/>
    <hyperlink ref="W557" r:id="rId30" display="https://motorring.ru/product/15120-svetodiodnye-fary-90w-dyuymov-chernye-povtoritelem-povorota" xr:uid="{07BC2A17-4C90-4EA2-BC24-84CA228E6ADB}"/>
    <hyperlink ref="W301" r:id="rId31" display="https://motorring.ru/product/13579-svetodiodnye-fary-80w-dyuymov-chernye-povtoritelem-povorota" xr:uid="{D0DDF329-8ECB-46E2-BEA4-6680C7ED8388}"/>
    <hyperlink ref="W302" r:id="rId32" display="https://motorring.ru/product/14256-svetodiodnye-fary-80w-dyuymov-chernye-povtoritelem-povorota" xr:uid="{37D4CA9D-4B83-4AE3-89D7-3EA1B8FE32B3}"/>
    <hyperlink ref="W532" r:id="rId33" display="https://motorring.ru/product/4252-zadnie-fonari-krasnoy-polosoy-vaz-2108-21099-2113-2114" xr:uid="{4F869777-E955-4F85-9600-DFCFEABC5A73}"/>
    <hyperlink ref="W356" r:id="rId34" display="https://motorring.ru/product/31560-svetodiodnye-fary-90w-bluetooth-regulirovkoy-cveta" xr:uid="{A1CA4DA4-7197-4A13-A5A1-61442E804B20}"/>
    <hyperlink ref="W346" r:id="rId35" display="https://motorring.ru/product/21802-svetodiodnye-fary-chernom-korpuse-60w-dyuymov-h-obraznym" xr:uid="{876BE40D-3C06-48E7-AB5A-3A0689F134E7}"/>
    <hyperlink ref="W345" r:id="rId36" display="https://motorring.ru/product/21803-svetodiodnye-fary-chernom-korpuse-60w-dyuymov-v-obraznym" xr:uid="{1E7A3976-A120-45C4-8276-2B8F6E83B227}"/>
    <hyperlink ref="W344" r:id="rId37" display="https://motorring.ru/product/21804-svetodiodnye-fary-60w-dyuymov-chernye-krug-centre" xr:uid="{96BC7415-BCC6-43F8-9063-C02AA38E155F}"/>
    <hyperlink ref="W341" r:id="rId38" display="https://motorring.ru/product/14255-svetodiodnye-fary-chernom-korpuse-90w-dyuymov-kolycom" xr:uid="{7812C31F-7072-41B0-A3EA-ACD721504139}"/>
    <hyperlink ref="W335" r:id="rId39" display="https://motorring.ru/product/27718-svetodiodnye-fary-boss-chernye-povtoritelem-povorotnika-dho" xr:uid="{B78088CA-63AC-484E-A2A2-26F8D3348CE8}"/>
    <hyperlink ref="W334" r:id="rId40" display="https://motorring.ru/product/21805-svetodiodnye-fary-60w-dyuymov-chernye-risunok-misheny" xr:uid="{BFDD435A-0884-4097-AE99-17790A632BDE}"/>
    <hyperlink ref="W333" r:id="rId41" display="https://motorring.ru/product/19767-ptf-998-led-lada-vesta-iks-rey-granta-niva-urban-reno" xr:uid="{25F22818-589C-42FE-A89F-B09240A90B90}"/>
    <hyperlink ref="W331" r:id="rId42" display="https://motorring.ru/product/11775-diodnaya-balka-g-240-240w-3vt" xr:uid="{18474FA0-C6A0-46CE-BA5C-0F42ED21DFA3}"/>
    <hyperlink ref="W329" r:id="rId43" display="https://motorring.ru/product/22259-zadnie-svetodiodnye-fonari-britaniya-krasnye-begayuschim" xr:uid="{EE2FED9D-B245-4A0C-9691-0E2B7744850A}"/>
    <hyperlink ref="W328" r:id="rId44" display="https://motorring.ru/product/22260-zadnie-svetodiodnye-fonari-britaniya-chernye-begayuschim" xr:uid="{1F799497-4909-4E83-BFA3-A3F04A66B43E}"/>
    <hyperlink ref="W339" r:id="rId45" display="https://motorring.ru/product/13578-svetodiodnye-fary-chernye-90w-dyuymov-led-povtoritelem" xr:uid="{B12EE5C9-C77A-48E6-8C4C-CDD5E3B87E7A}"/>
    <hyperlink ref="W320" r:id="rId46" display="https://motorring.ru/product/10566-podfarniki-dlaa-diodnymi-povorotnikami-dho-temnyy-hrom-niva" xr:uid="{7ADE0227-3C23-43E3-BE45-00153A5F5DA0}"/>
    <hyperlink ref="W295" r:id="rId47" display="https://motorring.ru/product/24714-zadnie-svetodiodnye-fonari-kapli-chernye-lada-niva-4h4" xr:uid="{1EA498CA-46BC-4EED-B02B-1FC19B43123A}"/>
    <hyperlink ref="W338" r:id="rId48" display="https://motorring.ru/product/27716-svetodiodnye-fary-uzor-dyuymov-chernye-led-kolycom" xr:uid="{6B110741-0FFC-4F79-A75F-61EB061B9919}"/>
    <hyperlink ref="W303" r:id="rId49" display="https://motorring.ru/product/14257-svetodiodnye-fary-dyuymov-d0875x-vaz-2101-lada-niva-4h4" xr:uid="{4AF97980-2C13-4EF5-8087-C1E155EEDACE}"/>
    <hyperlink ref="W276" r:id="rId50" display="https://motorring.ru/product/25053-svetodiodnye-podfarniki-plavniye-dho-povtoritel-4x4-niva" xr:uid="{37625827-E06F-4078-90C5-A09C8DCDF1AD}"/>
    <hyperlink ref="W274" r:id="rId51" display="https://motorring.ru/product/8279-diodnaya-balka-pl-3102-36w-3vt" xr:uid="{9CF6CA34-EB6C-43DB-9CE7-BBC6F0E5C2FD}"/>
    <hyperlink ref="W373" r:id="rId52" display="https://motorring.ru/product/36972-komplekt-diodnyh-fonarey-led-obvodkoy-lada-4h4-niva" xr:uid="{BC621A4E-6469-431D-BB2D-EF348AC8AA34}"/>
    <hyperlink ref="W370" r:id="rId53" display="https://motorring.ru/product/38644-komplekt-diodnyh-fonarey-polosy-lada-4h4-niva" xr:uid="{CCB90216-969E-452B-AA91-3DF10E14BC1C}"/>
    <hyperlink ref="W371" r:id="rId54" display="https://motorring.ru/product/38645-komplekt-diodnyh-fonarey-polosy-lada-4h4-niva" xr:uid="{BC1A9B27-9ECF-4162-9DC0-0E9AA930E39E}"/>
    <hyperlink ref="W368" r:id="rId55" display="https://motorring.ru/product/38639-komplekt-diodnyh-serih-fonarey-led-obvodkoy-lada-4h4-niva" xr:uid="{8A3A4833-C2EC-4320-9369-B872261EBBD1}"/>
    <hyperlink ref="W369" r:id="rId56" display="https://motorring.ru/product/38641-komplekt-diodnyh-fonarey-puls-lada-4h4-niva" xr:uid="{944D23C8-59C5-49B0-98B6-1E0FF1C8184D}"/>
    <hyperlink ref="W381" r:id="rId57" display="https://motorring.ru/product/36856-perednie-fary-vypolnennye-stile-audi-q8-lada-granta-fl" xr:uid="{086C085C-E970-4C06-AA3A-32EBB8D2B772}"/>
    <hyperlink ref="W375" r:id="rId58" display="https://motorring.ru/product/38690-komplekt-krasnyh-zadnih-led-fonarey-dinamich-vesta" xr:uid="{48169306-385E-47B8-86D3-9AEB57ED338D}"/>
    <hyperlink ref="W374" r:id="rId59" display="https://motorring.ru/product/32636-komplekt-chernyh-zadnih-led-fonarey-dinamich-vesta" xr:uid="{BCD96CC0-8789-4E1A-8E13-A16E55498B8B}"/>
    <hyperlink ref="W323" r:id="rId60" display="https://motorring.ru/product/25912-zadnie-svetodiodnye-fonari-iksy-chernye-begayuschim" xr:uid="{85498CB0-919D-4DDC-86DB-E4E09CBD7650}"/>
    <hyperlink ref="W324" r:id="rId61" display="https://motorring.ru/product/25913-zadnie-svetodiodnye-fonari-iksy-krasnye-begayuschim" xr:uid="{297E3E1F-EE26-4BB5-8884-62AE679BA9E3}"/>
    <hyperlink ref="W150" r:id="rId62" display="https://motorring.ru/product/15868-tuning-fonari-lada-niva-4x4-chernye" xr:uid="{30273E7F-6FFC-49F2-9102-021A8D82EE37}"/>
    <hyperlink ref="W204" r:id="rId63" display="https://motorring.ru/product/4259-zadnie-fonari-krasnoy-polosoy-dlya-vaz-2105-2107" xr:uid="{F7252EE5-63D0-49B3-B2CB-DFF40EC3FE16}"/>
    <hyperlink ref="W526" r:id="rId64" display="снят" xr:uid="{838147A7-315E-4E31-9751-7CBB2B5375A3}"/>
    <hyperlink ref="W205" r:id="rId65" display="https://motorring.ru/product/4250-zadnie-fonari-torino-hy-200-krasnye-beloy-polosoy-vaz" xr:uid="{81ED2B67-FA05-4B6B-91DC-43ED24AB8317}"/>
    <hyperlink ref="W268" r:id="rId66" display="https://motorring.ru/product/15969-zadnie-diodnye-fonari-chernye-beloy-polosoy-vaz-2108-21099" xr:uid="{B04CD0E4-69FC-428D-8592-27E3C1D9F752}"/>
    <hyperlink ref="W270" r:id="rId67" display="https://motorring.ru/product/15954-svetodiodnye-zadnie-fonari-krasnye-seroy-polosoy-2108" xr:uid="{38B339D4-8072-4876-A276-015FAB8286BE}"/>
    <hyperlink ref="W271" r:id="rId68" display="https://motorring.ru/product/249-zadnie-diodnye-fonari-krasno-belye-vaz-2108-2113-2109-2114" xr:uid="{0095B8DF-2A59-412D-AA1E-CCEA7351CCDD}"/>
    <hyperlink ref="W296" r:id="rId69" display="https://motorring.ru/product/8171-diodnye-krasno-belye-fonari-lada-granta-sedan" xr:uid="{CACC927B-D541-4F08-9E67-D9649E38C35B}"/>
    <hyperlink ref="W309" r:id="rId70" display="https://motorring.ru/product/36707-diodnye-belo-serye-fonari-lada-granta-sedan" xr:uid="{027BDD46-3D89-4723-A54E-3CDF1C2A9E9F}"/>
    <hyperlink ref="W284" r:id="rId71" display="https://motorring.ru/product/13366-diodnye-zadnie-fonari-red-led-krasnye-begayuschim" xr:uid="{157546D4-DBDF-44C0-AB3C-EBD1EB85BD7C}"/>
    <hyperlink ref="W285" r:id="rId72" display="https://motorring.ru/product/2444-diodnye-zadnie-fonari-grey-led-chernye-begayuschim" xr:uid="{DFE04A84-3C27-4F7A-BE74-346A589805A1}"/>
    <hyperlink ref="W306" r:id="rId73" display="https://motorring.ru/product/30580-zadnie-svetodiodnye-fonari-kapli-lada-niva-4h4" xr:uid="{8469B6F0-66D9-4CFC-BD73-8532D69FBBCD}"/>
    <hyperlink ref="W561" r:id="rId74" display="https://motorring.ru/product/8172-diodnye-krasno-serye-fonari-lada-granta-sedan" xr:uid="{1C074F13-FF30-4501-ABC7-7D4BC87629F1}"/>
    <hyperlink ref="W319" r:id="rId75" display="https://motorring.ru/product/32726-zadnie-diodnye-fonari-418g-toporiki-tonirovannye-dlya-vaz" xr:uid="{053434C7-F96C-47E4-88FE-8EEC82899D18}"/>
    <hyperlink ref="W322" r:id="rId76" display="https://motorring.ru/product/6919-zadnie-fonari-prosport-rs-09070-audi-dlya-vaz-2108-14" xr:uid="{54A61246-2950-4153-88D9-4BC9F1E04802}"/>
    <hyperlink ref="W325" r:id="rId77" display="https://motorring.ru/product/25914-zadnie-svetodiodnye-fonari-belie-iksy-chernye-begayuschim" xr:uid="{0AFE40FA-8711-4520-A001-A74AA9379C4C}"/>
    <hyperlink ref="W326" r:id="rId78" display="https://motorring.ru/product/27746-zadnie-diodnye-fonari-iksy-tonirovannye-vaz-2108-21099-2113" xr:uid="{D3D43528-3B25-4B52-AFC9-1A1327215256}"/>
    <hyperlink ref="W358" r:id="rId79" display="https://motorring.ru/product/37146-zadnie-diodnye-krasnye-fonari-stile-mersedes-lada-granta" xr:uid="{45F2F418-120B-4D11-BCED-94DCCF8F4C59}"/>
    <hyperlink ref="W254" r:id="rId80" display="https://motorring.ru/product/34862-tonirovannye-svetodiodnye-led-podfarniki-polos-dho" xr:uid="{FF1431F4-3C12-4F2C-963A-6BE712CBF30A}"/>
    <hyperlink ref="W553" r:id="rId81" display="https://motorring.ru/product/25053-svetodiodnye-podfarniki-plavniye-dho-povtoritel-4x4-niva" xr:uid="{78ADA03A-B202-4808-9538-A9D07209EF0E}"/>
    <hyperlink ref="W294" r:id="rId82" display="https://motorring.ru/product/8357-svetodiodnye-ptf-lada-vesta-iks-rey-granta-niva-urban-reno" xr:uid="{A4CBF9BA-2B70-4897-B5BE-8A671E5E65B0}"/>
    <hyperlink ref="W298" r:id="rId83" display="https://motorring.ru/product/10471-fary-neonovymi-dho-hromirovannye-lada-niva-4h4-vaz-2101" xr:uid="{69902A38-CCE6-463E-AC70-3188C5A6C58E}"/>
    <hyperlink ref="W318" r:id="rId84" display="https://motorring.ru/product/8483-fary-neonovymi-dho-tonirovannye-dlya-lada-4h4-niva-vaz-2101" xr:uid="{340FAC9A-D701-45C4-B2E0-4C5F106729D5}"/>
    <hyperlink ref="W299" r:id="rId85" display="https://motorring.ru/product/7158-ramki-ptf-hodovymi-ognyami-dlya-lada-largus" xr:uid="{48128E20-6CB6-437C-9EDD-A44DADE8E776}"/>
    <hyperlink ref="W347" r:id="rId86" display="https://motorring.ru/product/27714-svetodiodnye-fary-linii-dyuymov-chernye-led-kolycom" xr:uid="{BB68F11D-01DD-4CDE-8D74-877E520C3102}"/>
    <hyperlink ref="W336" r:id="rId87" display="https://motorring.ru/product/27713-svetodiodnye-fary-polosa-dyuymov-chernye-led-kolycom" xr:uid="{CCEF404A-AE00-42D1-B977-8A8EE8376B75}"/>
    <hyperlink ref="W585" r:id="rId88" display="https://motorring.ru/product/32800-tyuning-fary-chernym-korpusom-polosoy-dho-linzoy-lada-priora" xr:uid="{C415B175-8F4C-487A-9581-301790A95543}"/>
    <hyperlink ref="W376" r:id="rId89" display="https://motorring.ru/product/32637-komplekt-chernyh-svetodiodnyh-linzovannyh-far-lada-vesta" xr:uid="{12330B23-1AF4-48F2-BC22-221B29D4730D}"/>
    <hyperlink ref="W260" r:id="rId90" display="https://motorring.ru/product/20430-svetodiodnye-podfarniki-tonirovannoe-steklo-dho-begayuschim" xr:uid="{391CCBBE-F095-48B4-BE33-CB7969F960C3}"/>
    <hyperlink ref="W259" r:id="rId91" display="https://motorring.ru/product/20429-svetodiodnye-podfarniki-dho-begayuschim-povorotnikom-lada" xr:uid="{B8BB95B1-9B1A-45A6-8A8A-8A79955BC20C}"/>
    <hyperlink ref="W253" r:id="rId92" display="https://motorring.ru/product/22269-svetodiodnye-podfarniki-krasnye-dho-begayuschim" xr:uid="{D7E99537-D1E6-4817-8AFF-838F6CA02FF8}"/>
    <hyperlink ref="W550" r:id="rId93" display="https://motorring.ru/product/27724-diodnye-dvuhcvetnye-ptf-polos-analog-lada-granta-lada-vesta" xr:uid="{6D027F01-73BF-4FC7-BB79-99054E7F6D7B}"/>
    <hyperlink ref="W247" r:id="rId94" display="https://motorring.ru/product/27721-diodnye-ptf-polos-dvuhcvetnye-analog-vaz-2110-2112" xr:uid="{1B651CB2-DEDE-4E74-AB41-2319A4EF1BEA}"/>
    <hyperlink ref="W228" r:id="rId95" display="https://motorring.ru/product/27725-diodnye-dvuhcvetnye-ptf-angelyskimi-glazkami-lada-kalina3" xr:uid="{CA1DB94B-6A17-4DDE-A0E8-2914FB8D2B0D}"/>
    <hyperlink ref="W242" r:id="rId96" display="https://motorring.ru/product/21357-diodnye-ptf-30w-dho-lada-kalina-kalina-granta-largus-datsun" xr:uid="{C8A7C10B-B943-414A-A6E7-04496C0BC980}"/>
    <hyperlink ref="W240" r:id="rId97" display="https://motorring.ru/product/19766-ptf-699-lada-vesta-iks-rey-granta-niva-urban-reno" xr:uid="{7E6554D5-FF20-4B31-A43F-352A983C983C}"/>
    <hyperlink ref="W231" r:id="rId98" display="https://motorring.ru/product/27720-diodnye-ptf-polos-analog-vaz-2110-2112-2113-2115-shevrole" xr:uid="{1618C6F3-F8B2-478E-A9F3-3E19052F2F55}"/>
    <hyperlink ref="W216" r:id="rId99" display="https://motorring.ru/product/24471-svetodiodnye-dvuhcvetnie-led-protivotumannye-fary-analog-polosy" xr:uid="{6049023B-AF1D-4E24-B780-F626BFF6F4AD}"/>
    <hyperlink ref="W215" r:id="rId100" display="https://motorring.ru/product/24470-svetodiodnye-led-protivotumannye-fary-analog-polosy" xr:uid="{DF8704A4-55FE-4F1C-A0D4-E148271C8C49}"/>
    <hyperlink ref="W527" r:id="rId101" display="https://motorring.ru/product/24470-svetodiodnye-led-protivotumannye-fary-analog-polosy" xr:uid="{ED994917-154F-41B0-B297-AD1D5A728895}"/>
    <hyperlink ref="W197" r:id="rId102" display="https://motorring.ru/product/21355-diodnye-ptf-30w-lada-priora-analog" xr:uid="{5105A6F9-2E7A-492C-B673-8EB5DB021C6E}"/>
    <hyperlink ref="W193" r:id="rId103" display="https://motorring.ru/product/8144-ramki-ptf-diodnymi-hodovymi-ognyami-lada-largus" xr:uid="{D639A54B-E895-409D-85B8-5D0FBF248F5A}"/>
    <hyperlink ref="W188" r:id="rId104" display="https://motorring.ru/product/20616-protivotumannye-fary-ld-673-lada-vesta-iks-rey-granta-niva" xr:uid="{B221A1BE-3C7A-47EC-BAD8-B513EA0649A0}"/>
    <hyperlink ref="W168" r:id="rId105" display="https://motorring.ru/product/8347-protivotumannye-fary-ld-327-dlya-lada-priora" xr:uid="{151FCB93-747F-49EB-BBE3-5EF22D077FCA}"/>
    <hyperlink ref="W160" r:id="rId106" display="https://motorring.ru/product/8329-protivotumannye-fary-dlaa-vaz-2110-2112-2113-2115" xr:uid="{4E62485B-B7D9-481E-88FA-7C157B7A1A32}"/>
    <hyperlink ref="W139" r:id="rId107" display="https://motorring.ru/product/8348-protivotumannye-fary-ld-093-pod-kirghach-lada-priora" xr:uid="{3035D7E1-4F9F-4913-8021-70A1D5607369}"/>
    <hyperlink ref="W490" r:id="rId108" display="https://motorring.ru/product/8345-protivotumannye-fary-ld-089-ramkami-lada-kalina" xr:uid="{70FA01A4-BCCC-401C-BEE3-0C72341CEA49}"/>
    <hyperlink ref="W138" r:id="rId109" display="https://motorring.ru/product/8343-protivotumannye-fary-diodnye-ld-089l-ramkami-lada-kalina" xr:uid="{98A11FF9-C0F7-41A9-A13D-08A53B5ED9F0}"/>
    <hyperlink ref="W158" r:id="rId110" display="https://motorring.ru/product/8328-klassicheskie-protivotumannye-fary-dlaa-dlya-vaz-2110-2112" xr:uid="{3362FDDA-D4E1-439E-AAEF-785E4E00B8FC}"/>
    <hyperlink ref="W498" r:id="rId111" display="https://motorring.ru/product/8351" xr:uid="{7E029585-9024-4757-A8E5-7509989FB67D}"/>
    <hyperlink ref="W149" r:id="rId112" display="https://motorring.ru/product/8326-protivotumannye-fary-ld-472-lada-kalina-granta-largus" xr:uid="{5E48ED83-7314-4830-B6C5-6713240E00A4}"/>
    <hyperlink ref="W159" r:id="rId113" display="https://motorring.ru/product/8334-protivotumannye-fary-ld-088-chernye-vaz-2110-12-2113-15" xr:uid="{73AB885E-938A-4200-916D-E3E7277EE747}"/>
    <hyperlink ref="W184" r:id="rId114" display="https://motorring.ru/product/14680-protivotumannye-fary-linzoy-ld-271-ramkami-lada-granta" xr:uid="{1D40C825-92FA-4A61-9E93-D791691B9669}"/>
    <hyperlink ref="W229" r:id="rId115" display="https://motorring.ru/product/27724-diodnye-dvuhcvetnye-ptf-polos-analog-lada-granta-lada-vesta" xr:uid="{21868976-D0CB-42A4-9123-96D232707B7E}"/>
    <hyperlink ref="W248" r:id="rId116" display="https://motorring.ru/product/15987-bokovye-zerkala-volna-belye-povtoritelem-vaz-2104-2107" xr:uid="{25122082-B808-4BE1-B927-53A6B6257B74}"/>
    <hyperlink ref="W533" r:id="rId117" display="https://motorring.ru/product/15995-bokovye-zerkala-volna-chernye-vaz-2104-2105-2107" xr:uid="{0AFAFEA0-8575-4048-A9E2-24E633C16F2D}"/>
    <hyperlink ref="W222" r:id="rId118" display="https://motorring.ru/product/15997-bokovye-zerkala-volna-hrom-nakladkami-vaz-2104-2105-2107" xr:uid="{78F5EDF3-1BD0-40DB-B9B8-D0613D8B2A13}"/>
    <hyperlink ref="W223" r:id="rId119" display="https://motorring.ru/product/12746-bokovye-zerkala-piter-belye-antiblikom-vaz-2104-2105-2107" xr:uid="{280267D8-8C90-4D47-9CEF-89752A270807}"/>
    <hyperlink ref="W227" r:id="rId120" display="https://motorring.ru/product/12749-bokovye-zerkala-piter-sneghka-antiblikom-vaz-2108-2115" xr:uid="{89C5AC0A-3D70-44F0-803E-22F6ED83661A}"/>
    <hyperlink ref="W233" r:id="rId121" display="https://motorring.ru/product/15959-bokovye-zerkala-volna-povtoritelem-chernyy-korpus-vaz" xr:uid="{183ED38E-E260-4DD0-B949-E2FB393A138A}"/>
    <hyperlink ref="W540" r:id="rId122" display="https://motorring.ru/product/22575-protivotumannye-fary-diodnye-polosy-restaylingovyy-bamper" xr:uid="{9F2B3EF2-3441-43DB-8B39-5E2FEBB497ED}"/>
    <hyperlink ref="W241" r:id="rId123" display="https://motorring.ru/product/16660-svetodiodnye-nakladki-porogi-nadpisyyu-urban-lada-niva" xr:uid="{ED84E07B-8D95-429F-B4C9-A69FD4896727}"/>
    <hyperlink ref="W213" r:id="rId124" display="https://motorring.ru/product/12751" xr:uid="{AD526074-A7FA-4A47-A101-E34AF7AF5813}"/>
    <hyperlink ref="W288" r:id="rId125" display="https://motorring.ru/product/148-blok-fara-levaya-analog-lada-kalina" xr:uid="{398835AD-A013-4261-9AF2-0FF37AFE1FF8}"/>
    <hyperlink ref="W289" r:id="rId126" display="https://motorring.ru/product/746-blok-fara-pravaya-analog-lada-kalina" xr:uid="{CF5A1162-7EB4-4D0E-8FA4-D41ECAD58379}"/>
    <hyperlink ref="W292" r:id="rId127" display="https://motorring.ru/product/35954-ruly-nardi-old-school-derevo-dlya-shervole-niva" xr:uid="{D550F4DB-1565-4A12-AB69-B658C6B12568}"/>
    <hyperlink ref="W9" r:id="rId128" display="https://motorring.ru/product/11903-podsvetka-salona-knopkoy-a-10" xr:uid="{0207CB00-CEDF-401A-A802-A10808CBDAC0}"/>
    <hyperlink ref="W28" r:id="rId129" display="https://motorring.ru/product/21208-povtoriteli-povorotov-led-nadpisyyu-priora-lada-priora" xr:uid="{D02C1893-5B89-4DE4-955E-0D2B3E995B9F}"/>
    <hyperlink ref="W30" r:id="rId130" display="https://motorring.ru/product/21669-led-povtoriteli-povorotnika-belye-gerbom-dvuglavyy-orel-vaz" xr:uid="{BB96D07D-26CF-488C-81BD-D94D7E6FE46E}"/>
    <hyperlink ref="W35" r:id="rId131" display="https://motorring.ru/product/6425-diodnye-povtoriteli-nadpisyyu-priora-dlya-lada-priora" xr:uid="{7FB61173-6331-41FF-8B21-5E3C44793BE0}"/>
    <hyperlink ref="W203" r:id="rId132" display="https://motorring.ru/product/12752-bokovye-zerkala-piter-chernye-vaz-2110-2112" xr:uid="{41B4A651-CD86-4216-8A92-EAE06280FA2C}"/>
    <hyperlink ref="W581" r:id="rId133" display="https://motorring.ru/product/15197" xr:uid="{43E78B1D-3BBF-4CF5-B48F-4A944DD7C4DC}"/>
    <hyperlink ref="W447" r:id="rId134" display="https://motorring.ru/product/11873-spoylery-diodom-dvorniki-hrom" xr:uid="{F715F896-035A-4F8B-8F58-E857486008EB}"/>
    <hyperlink ref="W459" r:id="rId135" display="https://motorring.ru/product/13905-diodnye-povtoriteli-nadpisyyu-dlya-lada-priora" xr:uid="{F979B87E-6191-49A3-A064-710DE1E93921}"/>
    <hyperlink ref="W524" r:id="rId136" display="https://motorring.ru/product/15996-bokovye-zerkala-piter-chernye-vaz-2101-2107" xr:uid="{34799954-F860-4B33-8255-698589C88A29}"/>
    <hyperlink ref="W210" r:id="rId137" display="https://motorring.ru/product/15968-bokovye-zerkala-piter-hrom-vaz-2108-21099-2113-2115" xr:uid="{38AB1D4B-3292-4FE3-A01C-D6D88B7F5B24}"/>
    <hyperlink ref="W211" r:id="rId138" display="https://motorring.ru/product/12748-bokovye-zerkala-piter-chernye-antiblikom-vaz-2108-21099" xr:uid="{1C8FD2CE-C7F7-4CA9-A363-ED42044AD01E}"/>
    <hyperlink ref="W305" r:id="rId139" display="https://motorring.ru/product/11776-diodnaya-balka-xrb-240-240w-3vt" xr:uid="{1CAE9AEB-6285-4B6C-81DC-316E79D2AB61}"/>
    <hyperlink ref="W582" r:id="rId140" display="https://motorring.ru/product/10664" xr:uid="{FA01C2E8-C89E-4F3E-9FFF-4BF973FF59E5}"/>
    <hyperlink ref="W363" r:id="rId141" display="https://motorring.ru/product/8281-diodnaya-balka-pl-3104-120w-3vt" xr:uid="{95215212-AE5E-47A9-9F79-2FC5C5DC0ECE}"/>
    <hyperlink ref="W25" r:id="rId142" display="https://motorring.ru/product/11752-vspyshki-fso-48w-16-svetodiodov" xr:uid="{6AEE8BDF-4C57-4AF6-B964-41E08B4EED8E}"/>
    <hyperlink ref="W21" r:id="rId143" display="https://motorring.ru/product/11748-vspyshki-fso-27w-svetodiod" xr:uid="{D63E53D9-5FE6-4657-945A-C98333CA98CB}"/>
    <hyperlink ref="W41" r:id="rId144" display="https://motorring.ru/product/11746-diodnaya-balka-27w-b-dalyniy-3vt" xr:uid="{0E3BACE0-31C7-4DAC-BBF9-C76640A03730}"/>
    <hyperlink ref="W196" r:id="rId145" display="https://motorring.ru/product/15957-bokovye-zerkala-piter-chernye-libo-belye-vaz-2108-21099" xr:uid="{3BC9F17B-9C56-4C02-BDCB-4ED5837CED7A}"/>
    <hyperlink ref="W201" r:id="rId146" display="https://motorring.ru/product/15961-bokovye-zerkala-piter-karbon-vaz-2108-2115" xr:uid="{6FAA95D1-4E9E-4CFD-AF03-C862346B441A}"/>
    <hyperlink ref="W206" r:id="rId147" display="https://motorring.ru/product/15972-bokovye-zerkala-volna-chernye-hrom-nakladkoy-povtoritelem" xr:uid="{4556E591-5E12-4858-B453-7C64864B34B0}"/>
    <hyperlink ref="W209" r:id="rId148" display="https://motorring.ru/product/15956-bokovye-zerkala-volna-belye-libo-chernye-vaz-2108-21099" xr:uid="{24E3C5BA-22AA-467A-8543-F3FEEB263676}"/>
    <hyperlink ref="W225" r:id="rId149" display="https://motorring.ru/product/11764-diodnaya-balka-cclb-36-36w-3vt" xr:uid="{3355F1D4-5A7C-4A3F-B6C1-D2129E6AF499}"/>
    <hyperlink ref="W304" r:id="rId150" display="https://motorring.ru/product/11770-diodnaya-balka-xrb-180-180w-3vt" xr:uid="{F961CA6D-D4B9-4E31-B4EB-5E38BBFDCE3A}"/>
    <hyperlink ref="W353" r:id="rId151" display="https://motorring.ru/product/8287-diodnaya-balka-pl-3204-90w-3vt" xr:uid="{4F0090AE-6571-4492-B7BB-3B950B063CD1}"/>
    <hyperlink ref="W587" r:id="rId152" display="https://motorring.ru/product/849" xr:uid="{2C1B45B0-6468-4A38-9958-40D3346EBAF4}"/>
    <hyperlink ref="W444" r:id="rId153" display="https://motorring.ru/product/11867-dekorativnye-nakladki-ghabry-0395-kuzov-avtomobilya-krasnye" xr:uid="{49BB042E-BE8B-42E3-A7F4-017A22E8F521}"/>
    <hyperlink ref="W29" r:id="rId154" display="https://motorring.ru/product/21211-povtoriteli-povorotov-led-nadpisyyu-granta-lada-granta" xr:uid="{D4751242-629C-4B9B-94F9-B0EBCB832B1A}"/>
    <hyperlink ref="W31" r:id="rId155" display="https://motorring.ru/product/21668-led-povtoriteli-povorotnika-oranghevye-gerbom-dvuglavyy" xr:uid="{2D139421-0E66-4003-BC11-3B815F7ADB3F}"/>
    <hyperlink ref="W34" r:id="rId156" display="https://motorring.ru/product/6424-diodnye-povtoriteli-nadpisyyu-granta-dlya-lada-granta" xr:uid="{1D5AE405-D0CB-4753-B5B3-AE961560419E}"/>
    <hyperlink ref="W200" r:id="rId157" display="https://motorring.ru/product/15967-bokovye-zerkala-volna-hrom-chernyy-vaz-2108-2115" xr:uid="{866FB67D-B728-477E-853F-02D381CE48B9}"/>
    <hyperlink ref="W212" r:id="rId158" display="https://motorring.ru/product/12750-bokovye-zerkala-piter-belye-antiblikom-vaz-2108-21099" xr:uid="{83715819-E7E6-488D-AB6D-87D317C3E125}"/>
    <hyperlink ref="W224" r:id="rId159" display="https://motorring.ru/product/8278-diodnaya-balka-pl-3101-24w-3vt" xr:uid="{F5800768-DE6E-4F66-BFDE-E55BC3B62FB6}"/>
    <hyperlink ref="W264" r:id="rId160" display="https://motorring.ru/product/11765-diodnaya-balka-xrb-120-120w-3vt" xr:uid="{4162B6D2-8FA6-40AB-A4C2-3CEE458A6971}"/>
    <hyperlink ref="W364" r:id="rId161" display="https://motorring.ru/product/8288-diodnaya-balka-pl-3205-120w-3vt" xr:uid="{48A2EA14-3646-4CC6-B6B0-B6626971856C}"/>
    <hyperlink ref="W352" r:id="rId162" display="https://motorring.ru/product/8280-diodnaya-balka-pl-3103-60w-3vt" xr:uid="{D100C14A-2240-4375-817B-BBB6F1A624FC}"/>
    <hyperlink ref="W383" r:id="rId163" display="https://motorring.ru/product/41799-chernye-fary-thebestpartner-linzami-dho-povorotnikom-largus" xr:uid="{2AE022AB-5041-4BF8-975A-EAEB1D9ED096}"/>
    <hyperlink ref="W315" r:id="rId164" display="https://motorring.ru/product/12720-zadnie-fonari-diodnymi-povtoritelyami-stopami-gabaritami" xr:uid="{EC9B7889-703B-4E61-89A3-94FF49784C59}"/>
  </hyperlinks>
  <pageMargins left="0.75" right="0.75" top="1" bottom="1" header="0.5" footer="0.5"/>
  <pageSetup paperSize="9" orientation="portrait" verticalDpi="0" r:id="rId165"/>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C9AA40-770B-4FFF-85E4-E1F03AA45B07}">
  <sheetPr codeName="Лист4"/>
  <dimension ref="A1:AA158"/>
  <sheetViews>
    <sheetView showGridLines="0" workbookViewId="0">
      <pane ySplit="2" topLeftCell="A143" activePane="bottomLeft" state="frozen"/>
      <selection activeCell="F1" sqref="F1"/>
      <selection pane="bottomLeft" activeCell="Z147" sqref="Z2:AA147"/>
    </sheetView>
  </sheetViews>
  <sheetFormatPr defaultRowHeight="15" outlineLevelCol="1" x14ac:dyDescent="0.25"/>
  <cols>
    <col min="1" max="1" width="34.140625" style="23" customWidth="1"/>
    <col min="2" max="3" width="7" customWidth="1"/>
    <col min="4" max="4" width="36.5703125" customWidth="1"/>
    <col min="5" max="5" width="2" bestFit="1" customWidth="1"/>
    <col min="6" max="6" width="4.85546875" bestFit="1" customWidth="1"/>
    <col min="7" max="7" width="8.85546875" bestFit="1" customWidth="1" outlineLevel="1"/>
    <col min="8" max="8" width="12.140625" customWidth="1" outlineLevel="1"/>
    <col min="9" max="9" width="7" style="27" bestFit="1" customWidth="1" outlineLevel="1"/>
    <col min="10" max="10" width="9.140625" style="27" bestFit="1" customWidth="1" outlineLevel="1"/>
    <col min="11" max="11" width="7.85546875" bestFit="1" customWidth="1"/>
    <col min="12" max="12" width="4.42578125" bestFit="1" customWidth="1"/>
    <col min="13" max="13" width="6.7109375" bestFit="1" customWidth="1"/>
    <col min="14" max="14" width="10.140625" customWidth="1"/>
    <col min="15" max="15" width="6.7109375" bestFit="1" customWidth="1" outlineLevel="1"/>
    <col min="16" max="16" width="6.85546875" bestFit="1" customWidth="1" outlineLevel="1"/>
    <col min="17" max="18" width="7.42578125" bestFit="1" customWidth="1" outlineLevel="1"/>
    <col min="19" max="19" width="6" bestFit="1" customWidth="1"/>
    <col min="20" max="20" width="11.140625" bestFit="1" customWidth="1"/>
    <col min="21" max="21" width="8.42578125" customWidth="1"/>
    <col min="22" max="22" width="4" bestFit="1" customWidth="1"/>
    <col min="23" max="23" width="9.28515625" bestFit="1" customWidth="1"/>
    <col min="24" max="24" width="6.85546875" bestFit="1" customWidth="1"/>
    <col min="25" max="25" width="9.140625" bestFit="1" customWidth="1"/>
    <col min="26" max="26" width="8.140625" bestFit="1" customWidth="1"/>
    <col min="27" max="27" width="10.5703125" customWidth="1"/>
  </cols>
  <sheetData>
    <row r="1" spans="1:26" x14ac:dyDescent="0.25">
      <c r="C1">
        <v>2</v>
      </c>
      <c r="D1" s="23">
        <v>3</v>
      </c>
      <c r="E1">
        <v>4</v>
      </c>
      <c r="F1">
        <v>15</v>
      </c>
      <c r="G1">
        <v>5</v>
      </c>
      <c r="K1" s="35"/>
      <c r="L1" s="7"/>
      <c r="M1" s="27"/>
      <c r="N1" s="35"/>
      <c r="O1" s="27">
        <v>9</v>
      </c>
      <c r="P1" s="27">
        <v>10</v>
      </c>
      <c r="Q1" s="27"/>
      <c r="R1" s="27"/>
      <c r="S1" s="27"/>
      <c r="T1" s="27"/>
      <c r="U1" s="27"/>
      <c r="V1" s="27"/>
      <c r="W1" s="19" t="str">
        <f>_xlfn.CONCAT(ROUND(MIN(W3:W9061)*100,0),"-",ROUND(MAX(W3:W9061)*100,0),"%")</f>
        <v>22-206%</v>
      </c>
      <c r="X1" s="19" t="str">
        <f>_xlfn.CONCAT(ROUND(SUBTOTAL(5,X3:X9061)*100,0)," - ",ROUND(SUBTOTAL(4,X3:X9061)*100,0),"%")</f>
        <v>0 - 8%</v>
      </c>
      <c r="Y1" s="19" t="str">
        <f>_xlfn.CONCAT(ROUND(SUBTOTAL(5,Y3:Y90061)*100,0)," - ",ROUND(SUBTOTAL(4,Y3:Y90061)*100,0),"%")</f>
        <v>25 - 219%</v>
      </c>
    </row>
    <row r="2" spans="1:26" x14ac:dyDescent="0.25">
      <c r="A2" s="23" t="s">
        <v>1146</v>
      </c>
      <c r="B2" s="1" t="s">
        <v>0</v>
      </c>
      <c r="C2" s="24" t="s">
        <v>1145</v>
      </c>
      <c r="D2" s="24" t="s">
        <v>454</v>
      </c>
      <c r="E2" s="24"/>
      <c r="F2" s="24"/>
      <c r="G2" s="24" t="s">
        <v>455</v>
      </c>
      <c r="H2" s="1" t="s">
        <v>1</v>
      </c>
      <c r="I2" s="32" t="s">
        <v>1145</v>
      </c>
      <c r="J2" s="32" t="s">
        <v>1268</v>
      </c>
      <c r="K2" s="33" t="s">
        <v>285</v>
      </c>
      <c r="L2" s="6"/>
      <c r="M2" s="5">
        <v>1.3</v>
      </c>
      <c r="N2" s="33" t="s">
        <v>284</v>
      </c>
      <c r="O2" s="37" t="s">
        <v>1147</v>
      </c>
      <c r="P2" s="37" t="s">
        <v>1148</v>
      </c>
      <c r="Q2" s="28" t="s">
        <v>451</v>
      </c>
      <c r="R2" s="28" t="s">
        <v>451</v>
      </c>
      <c r="S2" s="29">
        <v>7.0000000000000007E-2</v>
      </c>
      <c r="T2" s="38" t="s">
        <v>816</v>
      </c>
      <c r="U2" s="38" t="s">
        <v>1149</v>
      </c>
      <c r="V2" s="38"/>
      <c r="W2" s="20" t="s">
        <v>453</v>
      </c>
      <c r="X2" s="20" t="s">
        <v>896</v>
      </c>
      <c r="Y2" s="20" t="s">
        <v>452</v>
      </c>
      <c r="Z2" s="21" t="s">
        <v>1144</v>
      </c>
    </row>
    <row r="3" spans="1:26" ht="45" x14ac:dyDescent="0.25">
      <c r="A3" s="23" t="str">
        <f>INDEX('Выгр Торг'!$A:$A,MATCH(B3,'Выгр Торг'!$B:$B,0))</f>
        <v>Боковые зеркала (3286) в цвет с повторителем для ВАЗ 2108-21099, 2113-2115</v>
      </c>
      <c r="B3" s="26">
        <v>138535</v>
      </c>
      <c r="C3" s="26">
        <f>VLOOKUP($B3,'Выгр Торг'!$B:$Q,C$1,0)</f>
        <v>79216</v>
      </c>
      <c r="D3" s="25" t="str">
        <f>VLOOKUP($B3,'Выгр Торг'!$B:$Q,D$1,0)</f>
        <v>Боковые зеркала (3286) в цвет с повторителем для ВАЗ 2108-21099, 2113-2115 (Белый)</v>
      </c>
      <c r="E3" s="26" t="str">
        <f>VLOOKUP($B3,'Выгр Торг'!$B:$Q,E$1,0)</f>
        <v>Y</v>
      </c>
      <c r="F3" s="26" t="str">
        <f>VLOOKUP($B3,'Выгр Торг'!$B:$Q,F$1,0)</f>
        <v>0</v>
      </c>
      <c r="G3" s="26">
        <f>VLOOKUP($B3,'Выгр Торг'!$B:$Q,G$1,0)</f>
        <v>0</v>
      </c>
      <c r="H3" s="2" t="s">
        <v>3</v>
      </c>
      <c r="I3" s="34"/>
      <c r="J3" s="34"/>
      <c r="K3" s="41">
        <v>650</v>
      </c>
      <c r="L3" s="5">
        <f>VLOOKUP(K3,Наценка!$A$1:$G$8,2,1)</f>
        <v>1.45</v>
      </c>
      <c r="M3" s="34">
        <f>K3*L3*100/93</f>
        <v>1013.4408602150538</v>
      </c>
      <c r="N3" s="39">
        <f t="shared" ref="N3" si="0">IF(M3&lt;=1000,(ROUNDUP(M3,-1)-1),(ROUNDUP(M3,-2)-10))</f>
        <v>1090</v>
      </c>
      <c r="O3" s="40">
        <f>VLOOKUP($B3,'Выгр Торг'!$B:$Q,O$1,0)</f>
        <v>650</v>
      </c>
      <c r="P3" s="40">
        <f>VLOOKUP($B3,'Выгр Торг'!$B:$Q,P$1,0)</f>
        <v>1090</v>
      </c>
      <c r="Q3" s="28">
        <f>O3-K3</f>
        <v>0</v>
      </c>
      <c r="R3" s="28">
        <f>P3-N3</f>
        <v>0</v>
      </c>
      <c r="S3" s="36">
        <f>IFERROR(N3*(1-$S$2),"")</f>
        <v>1013.6999999999999</v>
      </c>
      <c r="T3" s="38" t="str">
        <f>IFERROR((VLOOKUP($B3,'Из Гугла'!$B:$G,6,0)+V3)*U3,VLOOKUP($B3,'Из Гугла'!$B:$G,6,0))</f>
        <v/>
      </c>
      <c r="U3" s="38">
        <v>1</v>
      </c>
      <c r="V3" s="38"/>
      <c r="W3" s="22">
        <f>IFERROR(S3/K3-1,"")</f>
        <v>0.55953846153846154</v>
      </c>
      <c r="X3" s="22" t="str">
        <f>IFERROR((Z3-S3)/Z3,"")</f>
        <v/>
      </c>
      <c r="Y3" s="22" t="str">
        <f>IFERROR(IF(Z3="","",Z3/K3-1),"")</f>
        <v/>
      </c>
      <c r="Z3" s="9" t="s">
        <v>1270</v>
      </c>
    </row>
    <row r="4" spans="1:26" ht="45" x14ac:dyDescent="0.25">
      <c r="A4" s="23" t="str">
        <f>INDEX('Выгр Торг'!$A:$A,MATCH(B4,'Выгр Торг'!$B:$B,0))</f>
        <v>Боковые зеркала (3286) в цвет с повторителем для ВАЗ 2108-21099, 2113-2115</v>
      </c>
      <c r="B4" s="26">
        <v>138536</v>
      </c>
      <c r="C4" s="26">
        <f>VLOOKUP($B4,'Выгр Торг'!$B:$Q,C$1,0)</f>
        <v>79217</v>
      </c>
      <c r="D4" s="25" t="str">
        <f>VLOOKUP($B4,'Выгр Торг'!$B:$Q,D$1,0)</f>
        <v>Боковые зеркала (3286) в цвет с повторителем для ВАЗ 2108-21099, 2113-2115 (Чёрный)</v>
      </c>
      <c r="E4" s="26" t="str">
        <f>VLOOKUP($B4,'Выгр Торг'!$B:$Q,E$1,0)</f>
        <v>Y</v>
      </c>
      <c r="F4" s="26" t="str">
        <f>VLOOKUP($B4,'Выгр Торг'!$B:$Q,F$1,0)</f>
        <v>0</v>
      </c>
      <c r="G4" s="26">
        <f>VLOOKUP($B4,'Выгр Торг'!$B:$Q,G$1,0)</f>
        <v>0</v>
      </c>
      <c r="H4" s="2" t="s">
        <v>3</v>
      </c>
      <c r="I4" s="34"/>
      <c r="J4" s="34"/>
      <c r="K4" s="41">
        <v>650</v>
      </c>
      <c r="L4" s="5">
        <f>VLOOKUP(K4,Наценка!$A$1:$G$8,2,1)</f>
        <v>1.45</v>
      </c>
      <c r="M4" s="34">
        <f t="shared" ref="M4:M53" si="1">K4*L4*100/93</f>
        <v>1013.4408602150538</v>
      </c>
      <c r="N4" s="39">
        <f t="shared" ref="N4:N55" si="2">IF(M4&lt;=1000,(ROUNDUP(M4,-1)-1),(ROUNDUP(M4,-2)-10))</f>
        <v>1090</v>
      </c>
      <c r="O4" s="40">
        <f>VLOOKUP($B4,'Выгр Торг'!$B:$Q,O$1,0)</f>
        <v>650</v>
      </c>
      <c r="P4" s="40">
        <f>VLOOKUP($B4,'Выгр Торг'!$B:$Q,P$1,0)</f>
        <v>1090</v>
      </c>
      <c r="Q4" s="28">
        <f t="shared" ref="Q4:Q69" si="3">O4-K4</f>
        <v>0</v>
      </c>
      <c r="R4" s="28">
        <f t="shared" ref="R4:R69" si="4">P4-N4</f>
        <v>0</v>
      </c>
      <c r="S4" s="36">
        <f t="shared" ref="S4:S69" si="5">IFERROR(N4*(1-$S$2),"")</f>
        <v>1013.6999999999999</v>
      </c>
      <c r="T4" s="38" t="str">
        <f>IFERROR((VLOOKUP($B4,'Из Гугла'!$B:$G,6,0)+V4)*U4,VLOOKUP($B4,'Из Гугла'!$B:$G,6,0))</f>
        <v/>
      </c>
      <c r="U4" s="38">
        <v>1</v>
      </c>
      <c r="V4" s="38"/>
      <c r="W4" s="22">
        <f t="shared" ref="W4:W69" si="6">IFERROR(S4/K4-1,"")</f>
        <v>0.55953846153846154</v>
      </c>
      <c r="X4" s="22" t="str">
        <f t="shared" ref="X4:X69" si="7">IFERROR((Z4-S4)/Z4,"")</f>
        <v/>
      </c>
      <c r="Y4" s="22" t="str">
        <f t="shared" ref="Y4:Y69" si="8">IFERROR(IF(Z4="","",Z4/K4-1),"")</f>
        <v/>
      </c>
      <c r="Z4" s="9" t="s">
        <v>1270</v>
      </c>
    </row>
    <row r="5" spans="1:26" ht="45" x14ac:dyDescent="0.25">
      <c r="A5" s="23" t="str">
        <f>INDEX('Выгр Торг'!$A:$A,MATCH(B5,'Выгр Торг'!$B:$B,0))</f>
        <v>Зеркала "МЕРСЕДЕС" (механика + повторитель) для Лада Нива 4x4</v>
      </c>
      <c r="B5" s="26">
        <v>152891</v>
      </c>
      <c r="C5" s="26">
        <f>VLOOKUP($B5,'Выгр Торг'!$B:$Q,C$1,0)</f>
        <v>69569</v>
      </c>
      <c r="D5" s="25" t="str">
        <f>VLOOKUP($B5,'Выгр Торг'!$B:$Q,D$1,0)</f>
        <v>Зеркала "МЕРСЕДЕС" (механика + повторитель) для Лада Нива 4x4 (Без покраски)</v>
      </c>
      <c r="E5" s="26" t="str">
        <f>VLOOKUP($B5,'Выгр Торг'!$B:$Q,E$1,0)</f>
        <v>Y</v>
      </c>
      <c r="F5" s="26" t="str">
        <f>VLOOKUP($B5,'Выгр Торг'!$B:$Q,F$1,0)</f>
        <v>0</v>
      </c>
      <c r="G5" s="26">
        <f>VLOOKUP($B5,'Выгр Торг'!$B:$Q,G$1,0)</f>
        <v>0</v>
      </c>
      <c r="H5" s="2" t="s">
        <v>3</v>
      </c>
      <c r="I5" s="34">
        <v>152891</v>
      </c>
      <c r="J5" s="34">
        <v>450</v>
      </c>
      <c r="K5" s="41">
        <v>2400</v>
      </c>
      <c r="L5" s="5">
        <f>VLOOKUP(K5,Наценка!$A$1:$G$8,2,1)</f>
        <v>1.27</v>
      </c>
      <c r="M5" s="34">
        <f t="shared" si="1"/>
        <v>3277.4193548387098</v>
      </c>
      <c r="N5" s="39">
        <f t="shared" si="2"/>
        <v>3290</v>
      </c>
      <c r="O5" s="40">
        <f>VLOOKUP($B5,'Выгр Торг'!$B:$Q,O$1,0)</f>
        <v>2400</v>
      </c>
      <c r="P5" s="40">
        <f>VLOOKUP($B5,'Выгр Торг'!$B:$Q,P$1,0)</f>
        <v>3290</v>
      </c>
      <c r="Q5" s="28">
        <f t="shared" si="3"/>
        <v>0</v>
      </c>
      <c r="R5" s="28">
        <f t="shared" si="4"/>
        <v>0</v>
      </c>
      <c r="S5" s="36">
        <f t="shared" si="5"/>
        <v>3059.7</v>
      </c>
      <c r="T5" s="38" t="str">
        <f>IFERROR((VLOOKUP($B5,'Из Гугла'!$B:$G,6,0)+V5)*U5,VLOOKUP($B5,'Из Гугла'!$B:$G,6,0))</f>
        <v/>
      </c>
      <c r="U5" s="38">
        <v>1</v>
      </c>
      <c r="V5" s="38"/>
      <c r="W5" s="22">
        <f t="shared" si="6"/>
        <v>0.27487499999999998</v>
      </c>
      <c r="X5" s="22" t="str">
        <f t="shared" si="7"/>
        <v/>
      </c>
      <c r="Y5" s="22" t="str">
        <f t="shared" si="8"/>
        <v/>
      </c>
      <c r="Z5" s="9" t="s">
        <v>1269</v>
      </c>
    </row>
    <row r="6" spans="1:26" ht="60" x14ac:dyDescent="0.25">
      <c r="A6" s="23" t="str">
        <f>INDEX('Выгр Торг'!$A:$A,MATCH(B6,'Выгр Торг'!$B:$B,0))</f>
        <v>Зеркала "МЕРСЕДЕС" (механика + повторитель) для Лада Нива 4x4</v>
      </c>
      <c r="B6" s="26">
        <v>152892</v>
      </c>
      <c r="C6" s="26">
        <f>VLOOKUP($B6,'Выгр Торг'!$B:$Q,C$1,0)</f>
        <v>89064</v>
      </c>
      <c r="D6" s="25" t="str">
        <f>VLOOKUP($B6,'Выгр Торг'!$B:$Q,D$1,0)</f>
        <v>Зеркала "МЕРСЕДЕС" (механика + повторитель) для Лада Нива 4x4 (В цвет, Балтика (темно-сине-зеленый, 420))</v>
      </c>
      <c r="E6" s="26" t="str">
        <f>VLOOKUP($B6,'Выгр Торг'!$B:$Q,E$1,0)</f>
        <v>Y</v>
      </c>
      <c r="F6" s="26" t="str">
        <f>VLOOKUP($B6,'Выгр Торг'!$B:$Q,F$1,0)</f>
        <v>0</v>
      </c>
      <c r="G6" s="26">
        <f>VLOOKUP($B6,'Выгр Торг'!$B:$Q,G$1,0)</f>
        <v>0</v>
      </c>
      <c r="H6" s="2" t="s">
        <v>3</v>
      </c>
      <c r="I6" s="34">
        <v>152891</v>
      </c>
      <c r="J6" s="42">
        <f>INDEX($J:$J,MATCH($I6,$B:$B,0))</f>
        <v>450</v>
      </c>
      <c r="K6" s="43">
        <f>INDEX($K:$K,MATCH($I6,$B:$B,0))+$J6</f>
        <v>2850</v>
      </c>
      <c r="L6" s="5">
        <f>VLOOKUP(K6,Наценка!$A$1:$G$8,2,1)</f>
        <v>1.27</v>
      </c>
      <c r="M6" s="43">
        <f>INDEX($M:$M,MATCH($I6,$B:$B,0))+$J6*$M$2</f>
        <v>3862.4193548387098</v>
      </c>
      <c r="N6" s="39">
        <f t="shared" si="2"/>
        <v>3890</v>
      </c>
      <c r="O6" s="40">
        <f>VLOOKUP($B6,'Выгр Торг'!$B:$Q,O$1,0)</f>
        <v>2850</v>
      </c>
      <c r="P6" s="40">
        <f>VLOOKUP($B6,'Выгр Торг'!$B:$Q,P$1,0)</f>
        <v>3890</v>
      </c>
      <c r="Q6" s="28">
        <f t="shared" si="3"/>
        <v>0</v>
      </c>
      <c r="R6" s="28">
        <f t="shared" si="4"/>
        <v>0</v>
      </c>
      <c r="S6" s="36">
        <f t="shared" si="5"/>
        <v>3617.7</v>
      </c>
      <c r="T6" s="38" t="str">
        <f>IFERROR((VLOOKUP($B6,'Из Гугла'!$B:$G,6,0)+V6)*U6,VLOOKUP($B6,'Из Гугла'!$B:$G,6,0))</f>
        <v/>
      </c>
      <c r="U6" s="38">
        <v>1</v>
      </c>
      <c r="V6" s="38"/>
      <c r="W6" s="22">
        <f t="shared" si="6"/>
        <v>0.26936842105263148</v>
      </c>
      <c r="X6" s="22" t="str">
        <f t="shared" si="7"/>
        <v/>
      </c>
      <c r="Y6" s="22" t="str">
        <f t="shared" si="8"/>
        <v/>
      </c>
      <c r="Z6" s="9" t="s">
        <v>1269</v>
      </c>
    </row>
    <row r="7" spans="1:26" ht="45" x14ac:dyDescent="0.25">
      <c r="A7" s="23" t="str">
        <f>INDEX('Выгр Торг'!$A:$A,MATCH(B7,'Выгр Торг'!$B:$B,0))</f>
        <v>Зеркала "МЕРСЕДЕС" (механика + повторитель) для Лада Нива 4x4</v>
      </c>
      <c r="B7" s="26">
        <v>152893</v>
      </c>
      <c r="C7" s="26">
        <f>VLOOKUP($B7,'Выгр Торг'!$B:$Q,C$1,0)</f>
        <v>89065</v>
      </c>
      <c r="D7" s="25" t="str">
        <f>VLOOKUP($B7,'Выгр Торг'!$B:$Q,D$1,0)</f>
        <v>Зеркала "МЕРСЕДЕС" (механика + повторитель) для Лада Нива 4x4 (В цвет, Барокко (малиновый, 172))</v>
      </c>
      <c r="E7" s="26" t="str">
        <f>VLOOKUP($B7,'Выгр Торг'!$B:$Q,E$1,0)</f>
        <v>Y</v>
      </c>
      <c r="F7" s="26" t="str">
        <f>VLOOKUP($B7,'Выгр Торг'!$B:$Q,F$1,0)</f>
        <v>0</v>
      </c>
      <c r="G7" s="26">
        <f>VLOOKUP($B7,'Выгр Торг'!$B:$Q,G$1,0)</f>
        <v>0</v>
      </c>
      <c r="H7" s="2" t="s">
        <v>3</v>
      </c>
      <c r="I7" s="34">
        <v>152891</v>
      </c>
      <c r="J7" s="42">
        <f>INDEX($J:$J,MATCH($I7,$B:$B,0))</f>
        <v>450</v>
      </c>
      <c r="K7" s="43">
        <f>INDEX($K:$K,MATCH($I7,$B:$B,0))+$J7</f>
        <v>2850</v>
      </c>
      <c r="L7" s="5">
        <f>VLOOKUP(K7,Наценка!$A$1:$G$8,2,1)</f>
        <v>1.27</v>
      </c>
      <c r="M7" s="43">
        <f>INDEX($M:$M,MATCH($I7,$B:$B,0))+$J7*$M$2</f>
        <v>3862.4193548387098</v>
      </c>
      <c r="N7" s="39">
        <f t="shared" si="2"/>
        <v>3890</v>
      </c>
      <c r="O7" s="40">
        <f>VLOOKUP($B7,'Выгр Торг'!$B:$Q,O$1,0)</f>
        <v>2850</v>
      </c>
      <c r="P7" s="40">
        <f>VLOOKUP($B7,'Выгр Торг'!$B:$Q,P$1,0)</f>
        <v>3890</v>
      </c>
      <c r="Q7" s="28">
        <f t="shared" si="3"/>
        <v>0</v>
      </c>
      <c r="R7" s="28">
        <f t="shared" si="4"/>
        <v>0</v>
      </c>
      <c r="S7" s="36">
        <f t="shared" si="5"/>
        <v>3617.7</v>
      </c>
      <c r="T7" s="38" t="str">
        <f>IFERROR((VLOOKUP($B7,'Из Гугла'!$B:$G,6,0)+V7)*U7,VLOOKUP($B7,'Из Гугла'!$B:$G,6,0))</f>
        <v/>
      </c>
      <c r="U7" s="38">
        <v>1</v>
      </c>
      <c r="V7" s="38"/>
      <c r="W7" s="22">
        <f t="shared" si="6"/>
        <v>0.26936842105263148</v>
      </c>
      <c r="X7" s="22" t="str">
        <f t="shared" si="7"/>
        <v/>
      </c>
      <c r="Y7" s="22" t="str">
        <f t="shared" si="8"/>
        <v/>
      </c>
      <c r="Z7" s="9" t="s">
        <v>1269</v>
      </c>
    </row>
    <row r="8" spans="1:26" ht="60" x14ac:dyDescent="0.25">
      <c r="A8" s="23" t="str">
        <f>INDEX('Выгр Торг'!$A:$A,MATCH(B8,'Выгр Торг'!$B:$B,0))</f>
        <v>Зеркала "МЕРСЕДЕС" (механика + повторитель) для Лада Нива 4x4</v>
      </c>
      <c r="B8" s="26">
        <v>152894</v>
      </c>
      <c r="C8" s="26">
        <f>VLOOKUP($B8,'Выгр Торг'!$B:$Q,C$1,0)</f>
        <v>89066</v>
      </c>
      <c r="D8" s="25" t="str">
        <f>VLOOKUP($B8,'Выгр Торг'!$B:$Q,D$1,0)</f>
        <v>Зеркала "МЕРСЕДЕС" (механика + повторитель) для Лада Нива 4x4 (В цвет, Бенефис (глубокий темно-фиолетовый, 135))</v>
      </c>
      <c r="E8" s="26" t="str">
        <f>VLOOKUP($B8,'Выгр Торг'!$B:$Q,E$1,0)</f>
        <v>Y</v>
      </c>
      <c r="F8" s="26" t="str">
        <f>VLOOKUP($B8,'Выгр Торг'!$B:$Q,F$1,0)</f>
        <v>0</v>
      </c>
      <c r="G8" s="26">
        <f>VLOOKUP($B8,'Выгр Торг'!$B:$Q,G$1,0)</f>
        <v>0</v>
      </c>
      <c r="H8" s="2" t="s">
        <v>3</v>
      </c>
      <c r="I8" s="34">
        <v>152891</v>
      </c>
      <c r="J8" s="42">
        <f>INDEX($J:$J,MATCH($I8,$B:$B,0))</f>
        <v>450</v>
      </c>
      <c r="K8" s="43">
        <f>INDEX($K:$K,MATCH($I8,$B:$B,0))+$J8</f>
        <v>2850</v>
      </c>
      <c r="L8" s="5">
        <f>VLOOKUP(K8,Наценка!$A$1:$G$8,2,1)</f>
        <v>1.27</v>
      </c>
      <c r="M8" s="43">
        <f>INDEX($M:$M,MATCH($I8,$B:$B,0))+$J8*$M$2</f>
        <v>3862.4193548387098</v>
      </c>
      <c r="N8" s="39">
        <f t="shared" si="2"/>
        <v>3890</v>
      </c>
      <c r="O8" s="40">
        <f>VLOOKUP($B8,'Выгр Торг'!$B:$Q,O$1,0)</f>
        <v>2850</v>
      </c>
      <c r="P8" s="40">
        <f>VLOOKUP($B8,'Выгр Торг'!$B:$Q,P$1,0)</f>
        <v>3890</v>
      </c>
      <c r="Q8" s="28">
        <f t="shared" si="3"/>
        <v>0</v>
      </c>
      <c r="R8" s="28">
        <f t="shared" si="4"/>
        <v>0</v>
      </c>
      <c r="S8" s="36">
        <f t="shared" si="5"/>
        <v>3617.7</v>
      </c>
      <c r="T8" s="38" t="str">
        <f>IFERROR((VLOOKUP($B8,'Из Гугла'!$B:$G,6,0)+V8)*U8,VLOOKUP($B8,'Из Гугла'!$B:$G,6,0))</f>
        <v/>
      </c>
      <c r="U8" s="38">
        <v>1</v>
      </c>
      <c r="V8" s="38"/>
      <c r="W8" s="22">
        <f t="shared" si="6"/>
        <v>0.26936842105263148</v>
      </c>
      <c r="X8" s="22" t="str">
        <f t="shared" si="7"/>
        <v/>
      </c>
      <c r="Y8" s="22" t="str">
        <f t="shared" si="8"/>
        <v/>
      </c>
      <c r="Z8" s="9" t="s">
        <v>1269</v>
      </c>
    </row>
    <row r="9" spans="1:26" ht="60" x14ac:dyDescent="0.25">
      <c r="A9" s="23" t="str">
        <f>INDEX('Выгр Торг'!$A:$A,MATCH(B9,'Выгр Торг'!$B:$B,0))</f>
        <v>Зеркала "МЕРСЕДЕС" (механика + повторитель) для Лада Нива 4x4</v>
      </c>
      <c r="B9" s="26">
        <v>152895</v>
      </c>
      <c r="C9" s="26">
        <f>VLOOKUP($B9,'Выгр Торг'!$B:$Q,C$1,0)</f>
        <v>89067</v>
      </c>
      <c r="D9" s="25" t="str">
        <f>VLOOKUP($B9,'Выгр Торг'!$B:$Q,D$1,0)</f>
        <v>Зеркала "МЕРСЕДЕС" (механика + повторитель) для Лада Нива 4x4 (В цвет, Борнео (темный серебристо-серый, 633))</v>
      </c>
      <c r="E9" s="26" t="str">
        <f>VLOOKUP($B9,'Выгр Торг'!$B:$Q,E$1,0)</f>
        <v>Y</v>
      </c>
      <c r="F9" s="26" t="str">
        <f>VLOOKUP($B9,'Выгр Торг'!$B:$Q,F$1,0)</f>
        <v>0</v>
      </c>
      <c r="G9" s="26">
        <f>VLOOKUP($B9,'Выгр Торг'!$B:$Q,G$1,0)</f>
        <v>0</v>
      </c>
      <c r="H9" s="2" t="s">
        <v>3</v>
      </c>
      <c r="I9" s="34">
        <v>152891</v>
      </c>
      <c r="J9" s="42">
        <f>INDEX($J:$J,MATCH($I9,$B:$B,0))</f>
        <v>450</v>
      </c>
      <c r="K9" s="43">
        <f>INDEX($K:$K,MATCH($I9,$B:$B,0))+$J9</f>
        <v>2850</v>
      </c>
      <c r="L9" s="5">
        <f>VLOOKUP(K9,Наценка!$A$1:$G$8,2,1)</f>
        <v>1.27</v>
      </c>
      <c r="M9" s="43">
        <f>INDEX($M:$M,MATCH($I9,$B:$B,0))+$J9*$M$2</f>
        <v>3862.4193548387098</v>
      </c>
      <c r="N9" s="39">
        <f t="shared" si="2"/>
        <v>3890</v>
      </c>
      <c r="O9" s="40">
        <f>VLOOKUP($B9,'Выгр Торг'!$B:$Q,O$1,0)</f>
        <v>2850</v>
      </c>
      <c r="P9" s="40">
        <f>VLOOKUP($B9,'Выгр Торг'!$B:$Q,P$1,0)</f>
        <v>3890</v>
      </c>
      <c r="Q9" s="28">
        <f t="shared" si="3"/>
        <v>0</v>
      </c>
      <c r="R9" s="28">
        <f t="shared" si="4"/>
        <v>0</v>
      </c>
      <c r="S9" s="36">
        <f t="shared" si="5"/>
        <v>3617.7</v>
      </c>
      <c r="T9" s="38" t="str">
        <f>IFERROR((VLOOKUP($B9,'Из Гугла'!$B:$G,6,0)+V9)*U9,VLOOKUP($B9,'Из Гугла'!$B:$G,6,0))</f>
        <v/>
      </c>
      <c r="U9" s="38">
        <v>1</v>
      </c>
      <c r="V9" s="38"/>
      <c r="W9" s="22">
        <f t="shared" si="6"/>
        <v>0.26936842105263148</v>
      </c>
      <c r="X9" s="22" t="str">
        <f t="shared" si="7"/>
        <v/>
      </c>
      <c r="Y9" s="22" t="str">
        <f t="shared" si="8"/>
        <v/>
      </c>
      <c r="Z9" s="9" t="s">
        <v>1269</v>
      </c>
    </row>
    <row r="10" spans="1:26" ht="45" x14ac:dyDescent="0.25">
      <c r="A10" s="23" t="str">
        <f>INDEX('Выгр Торг'!$A:$A,MATCH(B10,'Выгр Торг'!$B:$B,0))</f>
        <v>Зеркала "МЕРСЕДЕС" (механика + повторитель) для Лада Нива 4x4</v>
      </c>
      <c r="B10" s="26">
        <v>152896</v>
      </c>
      <c r="C10" s="26">
        <f>VLOOKUP($B10,'Выгр Торг'!$B:$Q,C$1,0)</f>
        <v>89068</v>
      </c>
      <c r="D10" s="25" t="str">
        <f>VLOOKUP($B10,'Выгр Торг'!$B:$Q,D$1,0)</f>
        <v>Зеркала "МЕРСЕДЕС" (механика + повторитель) для Лада Нива 4x4 (В цвет, Гравилат (оливковый, 306))</v>
      </c>
      <c r="E10" s="26" t="str">
        <f>VLOOKUP($B10,'Выгр Торг'!$B:$Q,E$1,0)</f>
        <v>Y</v>
      </c>
      <c r="F10" s="26" t="str">
        <f>VLOOKUP($B10,'Выгр Торг'!$B:$Q,F$1,0)</f>
        <v>0</v>
      </c>
      <c r="G10" s="26">
        <f>VLOOKUP($B10,'Выгр Торг'!$B:$Q,G$1,0)</f>
        <v>0</v>
      </c>
      <c r="H10" s="2" t="s">
        <v>3</v>
      </c>
      <c r="I10" s="34">
        <v>152891</v>
      </c>
      <c r="J10" s="42">
        <f>INDEX($J:$J,MATCH($I10,$B:$B,0))</f>
        <v>450</v>
      </c>
      <c r="K10" s="43">
        <f>INDEX($K:$K,MATCH($I10,$B:$B,0))+$J10</f>
        <v>2850</v>
      </c>
      <c r="L10" s="5">
        <f>VLOOKUP(K10,Наценка!$A$1:$G$8,2,1)</f>
        <v>1.27</v>
      </c>
      <c r="M10" s="43">
        <f>INDEX($M:$M,MATCH($I10,$B:$B,0))+$J10*$M$2</f>
        <v>3862.4193548387098</v>
      </c>
      <c r="N10" s="39">
        <f t="shared" si="2"/>
        <v>3890</v>
      </c>
      <c r="O10" s="40">
        <f>VLOOKUP($B10,'Выгр Торг'!$B:$Q,O$1,0)</f>
        <v>2850</v>
      </c>
      <c r="P10" s="40">
        <f>VLOOKUP($B10,'Выгр Торг'!$B:$Q,P$1,0)</f>
        <v>3890</v>
      </c>
      <c r="Q10" s="28">
        <f t="shared" si="3"/>
        <v>0</v>
      </c>
      <c r="R10" s="28">
        <f t="shared" si="4"/>
        <v>0</v>
      </c>
      <c r="S10" s="36">
        <f t="shared" si="5"/>
        <v>3617.7</v>
      </c>
      <c r="T10" s="38" t="str">
        <f>IFERROR((VLOOKUP($B10,'Из Гугла'!$B:$G,6,0)+V10)*U10,VLOOKUP($B10,'Из Гугла'!$B:$G,6,0))</f>
        <v/>
      </c>
      <c r="U10" s="38">
        <v>1</v>
      </c>
      <c r="V10" s="38"/>
      <c r="W10" s="22">
        <f t="shared" si="6"/>
        <v>0.26936842105263148</v>
      </c>
      <c r="X10" s="22" t="str">
        <f t="shared" si="7"/>
        <v/>
      </c>
      <c r="Y10" s="22" t="str">
        <f t="shared" si="8"/>
        <v/>
      </c>
      <c r="Z10" s="9" t="s">
        <v>1269</v>
      </c>
    </row>
    <row r="11" spans="1:26" ht="60" x14ac:dyDescent="0.25">
      <c r="A11" s="23" t="str">
        <f>INDEX('Выгр Торг'!$A:$A,MATCH(B11,'Выгр Торг'!$B:$B,0))</f>
        <v>Зеркала "МЕРСЕДЕС" (механика + повторитель) для Лада Нива 4x4</v>
      </c>
      <c r="B11" s="26">
        <v>152897</v>
      </c>
      <c r="C11" s="26">
        <f>VLOOKUP($B11,'Выгр Торг'!$B:$Q,C$1,0)</f>
        <v>89069</v>
      </c>
      <c r="D11" s="25" t="str">
        <f>VLOOKUP($B11,'Выгр Торг'!$B:$Q,D$1,0)</f>
        <v>Зеркала "МЕРСЕДЕС" (механика + повторитель) для Лада Нива 4x4 (В цвет, Карма (темно-фиолетовый, 114))</v>
      </c>
      <c r="E11" s="26" t="str">
        <f>VLOOKUP($B11,'Выгр Торг'!$B:$Q,E$1,0)</f>
        <v>Y</v>
      </c>
      <c r="F11" s="26" t="str">
        <f>VLOOKUP($B11,'Выгр Торг'!$B:$Q,F$1,0)</f>
        <v>0</v>
      </c>
      <c r="G11" s="26">
        <f>VLOOKUP($B11,'Выгр Торг'!$B:$Q,G$1,0)</f>
        <v>0</v>
      </c>
      <c r="H11" s="2" t="s">
        <v>3</v>
      </c>
      <c r="I11" s="34">
        <v>152891</v>
      </c>
      <c r="J11" s="42">
        <f>INDEX($J:$J,MATCH($I11,$B:$B,0))</f>
        <v>450</v>
      </c>
      <c r="K11" s="43">
        <f>INDEX($K:$K,MATCH($I11,$B:$B,0))+$J11</f>
        <v>2850</v>
      </c>
      <c r="L11" s="5">
        <f>VLOOKUP(K11,Наценка!$A$1:$G$8,2,1)</f>
        <v>1.27</v>
      </c>
      <c r="M11" s="43">
        <f>INDEX($M:$M,MATCH($I11,$B:$B,0))+$J11*$M$2</f>
        <v>3862.4193548387098</v>
      </c>
      <c r="N11" s="39">
        <f t="shared" si="2"/>
        <v>3890</v>
      </c>
      <c r="O11" s="40">
        <f>VLOOKUP($B11,'Выгр Торг'!$B:$Q,O$1,0)</f>
        <v>2850</v>
      </c>
      <c r="P11" s="40">
        <f>VLOOKUP($B11,'Выгр Торг'!$B:$Q,P$1,0)</f>
        <v>3890</v>
      </c>
      <c r="Q11" s="28">
        <f t="shared" si="3"/>
        <v>0</v>
      </c>
      <c r="R11" s="28">
        <f t="shared" si="4"/>
        <v>0</v>
      </c>
      <c r="S11" s="36">
        <f t="shared" si="5"/>
        <v>3617.7</v>
      </c>
      <c r="T11" s="38" t="str">
        <f>IFERROR((VLOOKUP($B11,'Из Гугла'!$B:$G,6,0)+V11)*U11,VLOOKUP($B11,'Из Гугла'!$B:$G,6,0))</f>
        <v/>
      </c>
      <c r="U11" s="38">
        <v>1</v>
      </c>
      <c r="V11" s="38"/>
      <c r="W11" s="22">
        <f t="shared" si="6"/>
        <v>0.26936842105263148</v>
      </c>
      <c r="X11" s="22" t="str">
        <f t="shared" si="7"/>
        <v/>
      </c>
      <c r="Y11" s="22" t="str">
        <f t="shared" si="8"/>
        <v/>
      </c>
      <c r="Z11" s="9" t="s">
        <v>1269</v>
      </c>
    </row>
    <row r="12" spans="1:26" ht="45" x14ac:dyDescent="0.25">
      <c r="A12" s="23" t="str">
        <f>INDEX('Выгр Торг'!$A:$A,MATCH(B12,'Выгр Торг'!$B:$B,0))</f>
        <v>Зеркала "МЕРСЕДЕС" (механика + повторитель) для Лада Нива 4x4</v>
      </c>
      <c r="B12" s="26">
        <v>152898</v>
      </c>
      <c r="C12" s="26">
        <f>VLOOKUP($B12,'Выгр Торг'!$B:$Q,C$1,0)</f>
        <v>89070</v>
      </c>
      <c r="D12" s="25" t="str">
        <f>VLOOKUP($B12,'Выгр Торг'!$B:$Q,D$1,0)</f>
        <v>Зеркала "МЕРСЕДЕС" (механика + повторитель) для Лада Нива 4x4 (В цвет, Мурена (сине-зеленый, 377))</v>
      </c>
      <c r="E12" s="26" t="str">
        <f>VLOOKUP($B12,'Выгр Торг'!$B:$Q,E$1,0)</f>
        <v>Y</v>
      </c>
      <c r="F12" s="26" t="str">
        <f>VLOOKUP($B12,'Выгр Торг'!$B:$Q,F$1,0)</f>
        <v>0</v>
      </c>
      <c r="G12" s="26">
        <f>VLOOKUP($B12,'Выгр Торг'!$B:$Q,G$1,0)</f>
        <v>0</v>
      </c>
      <c r="H12" s="2" t="s">
        <v>3</v>
      </c>
      <c r="I12" s="34">
        <v>152891</v>
      </c>
      <c r="J12" s="42">
        <f>INDEX($J:$J,MATCH($I12,$B:$B,0))</f>
        <v>450</v>
      </c>
      <c r="K12" s="43">
        <f>INDEX($K:$K,MATCH($I12,$B:$B,0))+$J12</f>
        <v>2850</v>
      </c>
      <c r="L12" s="5">
        <f>VLOOKUP(K12,Наценка!$A$1:$G$8,2,1)</f>
        <v>1.27</v>
      </c>
      <c r="M12" s="43">
        <f>INDEX($M:$M,MATCH($I12,$B:$B,0))+$J12*$M$2</f>
        <v>3862.4193548387098</v>
      </c>
      <c r="N12" s="39">
        <f t="shared" si="2"/>
        <v>3890</v>
      </c>
      <c r="O12" s="40">
        <f>VLOOKUP($B12,'Выгр Торг'!$B:$Q,O$1,0)</f>
        <v>2850</v>
      </c>
      <c r="P12" s="40">
        <f>VLOOKUP($B12,'Выгр Торг'!$B:$Q,P$1,0)</f>
        <v>3890</v>
      </c>
      <c r="Q12" s="28">
        <f t="shared" si="3"/>
        <v>0</v>
      </c>
      <c r="R12" s="28">
        <f t="shared" si="4"/>
        <v>0</v>
      </c>
      <c r="S12" s="36">
        <f t="shared" si="5"/>
        <v>3617.7</v>
      </c>
      <c r="T12" s="38" t="str">
        <f>IFERROR((VLOOKUP($B12,'Из Гугла'!$B:$G,6,0)+V12)*U12,VLOOKUP($B12,'Из Гугла'!$B:$G,6,0))</f>
        <v/>
      </c>
      <c r="U12" s="38">
        <v>1</v>
      </c>
      <c r="V12" s="38"/>
      <c r="W12" s="22">
        <f t="shared" si="6"/>
        <v>0.26936842105263148</v>
      </c>
      <c r="X12" s="22" t="str">
        <f t="shared" si="7"/>
        <v/>
      </c>
      <c r="Y12" s="22" t="str">
        <f t="shared" si="8"/>
        <v/>
      </c>
      <c r="Z12" s="9" t="s">
        <v>1269</v>
      </c>
    </row>
    <row r="13" spans="1:26" ht="45" x14ac:dyDescent="0.25">
      <c r="A13" s="23" t="str">
        <f>INDEX('Выгр Торг'!$A:$A,MATCH(B13,'Выгр Торг'!$B:$B,0))</f>
        <v>Зеркала "МЕРСЕДЕС" (механика + повторитель) для Лада Нива 4x4</v>
      </c>
      <c r="B13" s="26">
        <v>152899</v>
      </c>
      <c r="C13" s="26">
        <f>VLOOKUP($B13,'Выгр Торг'!$B:$Q,C$1,0)</f>
        <v>89071</v>
      </c>
      <c r="D13" s="25" t="str">
        <f>VLOOKUP($B13,'Выгр Торг'!$B:$Q,D$1,0)</f>
        <v>Зеркала "МЕРСЕДЕС" (механика + повторитель) для Лада Нива 4x4 (В цвет, Несси (темно-зеленый, 368))</v>
      </c>
      <c r="E13" s="26" t="str">
        <f>VLOOKUP($B13,'Выгр Торг'!$B:$Q,E$1,0)</f>
        <v>Y</v>
      </c>
      <c r="F13" s="26" t="str">
        <f>VLOOKUP($B13,'Выгр Торг'!$B:$Q,F$1,0)</f>
        <v>0</v>
      </c>
      <c r="G13" s="26">
        <f>VLOOKUP($B13,'Выгр Торг'!$B:$Q,G$1,0)</f>
        <v>0</v>
      </c>
      <c r="H13" s="2" t="s">
        <v>3</v>
      </c>
      <c r="I13" s="34">
        <v>152891</v>
      </c>
      <c r="J13" s="42">
        <f>INDEX($J:$J,MATCH($I13,$B:$B,0))</f>
        <v>450</v>
      </c>
      <c r="K13" s="43">
        <f>INDEX($K:$K,MATCH($I13,$B:$B,0))+$J13</f>
        <v>2850</v>
      </c>
      <c r="L13" s="5">
        <f>VLOOKUP(K13,Наценка!$A$1:$G$8,2,1)</f>
        <v>1.27</v>
      </c>
      <c r="M13" s="43">
        <f>INDEX($M:$M,MATCH($I13,$B:$B,0))+$J13*$M$2</f>
        <v>3862.4193548387098</v>
      </c>
      <c r="N13" s="39">
        <f t="shared" si="2"/>
        <v>3890</v>
      </c>
      <c r="O13" s="40">
        <f>VLOOKUP($B13,'Выгр Торг'!$B:$Q,O$1,0)</f>
        <v>2850</v>
      </c>
      <c r="P13" s="40">
        <f>VLOOKUP($B13,'Выгр Торг'!$B:$Q,P$1,0)</f>
        <v>3890</v>
      </c>
      <c r="Q13" s="28">
        <f t="shared" si="3"/>
        <v>0</v>
      </c>
      <c r="R13" s="28">
        <f t="shared" si="4"/>
        <v>0</v>
      </c>
      <c r="S13" s="36">
        <f t="shared" si="5"/>
        <v>3617.7</v>
      </c>
      <c r="T13" s="38" t="str">
        <f>IFERROR((VLOOKUP($B13,'Из Гугла'!$B:$G,6,0)+V13)*U13,VLOOKUP($B13,'Из Гугла'!$B:$G,6,0))</f>
        <v/>
      </c>
      <c r="U13" s="38">
        <v>1</v>
      </c>
      <c r="V13" s="38"/>
      <c r="W13" s="22">
        <f t="shared" si="6"/>
        <v>0.26936842105263148</v>
      </c>
      <c r="X13" s="22" t="str">
        <f t="shared" si="7"/>
        <v/>
      </c>
      <c r="Y13" s="22" t="str">
        <f t="shared" si="8"/>
        <v/>
      </c>
      <c r="Z13" s="9" t="s">
        <v>1269</v>
      </c>
    </row>
    <row r="14" spans="1:26" ht="45" x14ac:dyDescent="0.25">
      <c r="A14" s="23" t="str">
        <f>INDEX('Выгр Торг'!$A:$A,MATCH(B14,'Выгр Торг'!$B:$B,0))</f>
        <v>Зеркала "МЕРСЕДЕС" (механика + повторитель) для Лада Нива 4x4</v>
      </c>
      <c r="B14" s="26">
        <v>152900</v>
      </c>
      <c r="C14" s="26">
        <f>VLOOKUP($B14,'Выгр Торг'!$B:$Q,C$1,0)</f>
        <v>89072</v>
      </c>
      <c r="D14" s="25" t="str">
        <f>VLOOKUP($B14,'Выгр Торг'!$B:$Q,D$1,0)</f>
        <v>Зеркала "МЕРСЕДЕС" (механика + повторитель) для Лада Нива 4x4 (В цвет, Океан (темно-синий, 449))</v>
      </c>
      <c r="E14" s="26" t="str">
        <f>VLOOKUP($B14,'Выгр Торг'!$B:$Q,E$1,0)</f>
        <v>Y</v>
      </c>
      <c r="F14" s="26" t="str">
        <f>VLOOKUP($B14,'Выгр Торг'!$B:$Q,F$1,0)</f>
        <v>0</v>
      </c>
      <c r="G14" s="26">
        <f>VLOOKUP($B14,'Выгр Торг'!$B:$Q,G$1,0)</f>
        <v>0</v>
      </c>
      <c r="H14" s="2" t="s">
        <v>3</v>
      </c>
      <c r="I14" s="34">
        <v>152891</v>
      </c>
      <c r="J14" s="42">
        <f>INDEX($J:$J,MATCH($I14,$B:$B,0))</f>
        <v>450</v>
      </c>
      <c r="K14" s="43">
        <f>INDEX($K:$K,MATCH($I14,$B:$B,0))+$J14</f>
        <v>2850</v>
      </c>
      <c r="L14" s="5">
        <f>VLOOKUP(K14,Наценка!$A$1:$G$8,2,1)</f>
        <v>1.27</v>
      </c>
      <c r="M14" s="43">
        <f>INDEX($M:$M,MATCH($I14,$B:$B,0))+$J14*$M$2</f>
        <v>3862.4193548387098</v>
      </c>
      <c r="N14" s="39">
        <f t="shared" si="2"/>
        <v>3890</v>
      </c>
      <c r="O14" s="40">
        <f>VLOOKUP($B14,'Выгр Торг'!$B:$Q,O$1,0)</f>
        <v>2850</v>
      </c>
      <c r="P14" s="40">
        <f>VLOOKUP($B14,'Выгр Торг'!$B:$Q,P$1,0)</f>
        <v>3890</v>
      </c>
      <c r="Q14" s="28">
        <f t="shared" si="3"/>
        <v>0</v>
      </c>
      <c r="R14" s="28">
        <f t="shared" si="4"/>
        <v>0</v>
      </c>
      <c r="S14" s="36">
        <f t="shared" si="5"/>
        <v>3617.7</v>
      </c>
      <c r="T14" s="38" t="str">
        <f>IFERROR((VLOOKUP($B14,'Из Гугла'!$B:$G,6,0)+V14)*U14,VLOOKUP($B14,'Из Гугла'!$B:$G,6,0))</f>
        <v/>
      </c>
      <c r="U14" s="38">
        <v>1</v>
      </c>
      <c r="V14" s="38"/>
      <c r="W14" s="22">
        <f t="shared" si="6"/>
        <v>0.26936842105263148</v>
      </c>
      <c r="X14" s="22" t="str">
        <f t="shared" si="7"/>
        <v/>
      </c>
      <c r="Y14" s="22" t="str">
        <f t="shared" si="8"/>
        <v/>
      </c>
      <c r="Z14" s="9" t="s">
        <v>1269</v>
      </c>
    </row>
    <row r="15" spans="1:26" ht="45" x14ac:dyDescent="0.25">
      <c r="A15" s="23" t="str">
        <f>INDEX('Выгр Торг'!$A:$A,MATCH(B15,'Выгр Торг'!$B:$B,0))</f>
        <v>Зеркала "МЕРСЕДЕС" (механика + повторитель) для Лада Нива 4x4</v>
      </c>
      <c r="B15" s="26">
        <v>152901</v>
      </c>
      <c r="C15" s="26">
        <f>VLOOKUP($B15,'Выгр Торг'!$B:$Q,C$1,0)</f>
        <v>89073</v>
      </c>
      <c r="D15" s="25" t="str">
        <f>VLOOKUP($B15,'Выгр Торг'!$B:$Q,D$1,0)</f>
        <v>Зеркала "МЕРСЕДЕС" (механика + повторитель) для Лада Нива 4x4 (В цвет, Пантера (черная база, 672))</v>
      </c>
      <c r="E15" s="26" t="str">
        <f>VLOOKUP($B15,'Выгр Торг'!$B:$Q,E$1,0)</f>
        <v>Y</v>
      </c>
      <c r="F15" s="26" t="str">
        <f>VLOOKUP($B15,'Выгр Торг'!$B:$Q,F$1,0)</f>
        <v>0</v>
      </c>
      <c r="G15" s="26">
        <f>VLOOKUP($B15,'Выгр Торг'!$B:$Q,G$1,0)</f>
        <v>0</v>
      </c>
      <c r="H15" s="2" t="s">
        <v>3</v>
      </c>
      <c r="I15" s="34">
        <v>152891</v>
      </c>
      <c r="J15" s="42">
        <f>INDEX($J:$J,MATCH($I15,$B:$B,0))</f>
        <v>450</v>
      </c>
      <c r="K15" s="43">
        <f>INDEX($K:$K,MATCH($I15,$B:$B,0))+$J15</f>
        <v>2850</v>
      </c>
      <c r="L15" s="5">
        <f>VLOOKUP(K15,Наценка!$A$1:$G$8,2,1)</f>
        <v>1.27</v>
      </c>
      <c r="M15" s="43">
        <f>INDEX($M:$M,MATCH($I15,$B:$B,0))+$J15*$M$2</f>
        <v>3862.4193548387098</v>
      </c>
      <c r="N15" s="39">
        <f t="shared" si="2"/>
        <v>3890</v>
      </c>
      <c r="O15" s="40">
        <f>VLOOKUP($B15,'Выгр Торг'!$B:$Q,O$1,0)</f>
        <v>2850</v>
      </c>
      <c r="P15" s="40">
        <f>VLOOKUP($B15,'Выгр Торг'!$B:$Q,P$1,0)</f>
        <v>3890</v>
      </c>
      <c r="Q15" s="28">
        <f t="shared" si="3"/>
        <v>0</v>
      </c>
      <c r="R15" s="28">
        <f t="shared" si="4"/>
        <v>0</v>
      </c>
      <c r="S15" s="36">
        <f t="shared" si="5"/>
        <v>3617.7</v>
      </c>
      <c r="T15" s="38" t="str">
        <f>IFERROR((VLOOKUP($B15,'Из Гугла'!$B:$G,6,0)+V15)*U15,VLOOKUP($B15,'Из Гугла'!$B:$G,6,0))</f>
        <v/>
      </c>
      <c r="U15" s="38">
        <v>1</v>
      </c>
      <c r="V15" s="38"/>
      <c r="W15" s="22">
        <f t="shared" si="6"/>
        <v>0.26936842105263148</v>
      </c>
      <c r="X15" s="22" t="str">
        <f t="shared" si="7"/>
        <v/>
      </c>
      <c r="Y15" s="22" t="str">
        <f t="shared" si="8"/>
        <v/>
      </c>
      <c r="Z15" s="9" t="s">
        <v>1269</v>
      </c>
    </row>
    <row r="16" spans="1:26" ht="60" x14ac:dyDescent="0.25">
      <c r="A16" s="23" t="str">
        <f>INDEX('Выгр Торг'!$A:$A,MATCH(B16,'Выгр Торг'!$B:$B,0))</f>
        <v>Зеркала "МЕРСЕДЕС" (механика + повторитель) для Лада Нива 4x4</v>
      </c>
      <c r="B16" s="26">
        <v>152902</v>
      </c>
      <c r="C16" s="26">
        <f>VLOOKUP($B16,'Выгр Торг'!$B:$Q,C$1,0)</f>
        <v>89074</v>
      </c>
      <c r="D16" s="25" t="str">
        <f>VLOOKUP($B16,'Выгр Торг'!$B:$Q,D$1,0)</f>
        <v>Зеркала "МЕРСЕДЕС" (механика + повторитель) для Лада Нива 4x4 (В цвет, Сити (золотисто-коричневый, 231))</v>
      </c>
      <c r="E16" s="26" t="str">
        <f>VLOOKUP($B16,'Выгр Торг'!$B:$Q,E$1,0)</f>
        <v>Y</v>
      </c>
      <c r="F16" s="26" t="str">
        <f>VLOOKUP($B16,'Выгр Торг'!$B:$Q,F$1,0)</f>
        <v>0</v>
      </c>
      <c r="G16" s="26">
        <f>VLOOKUP($B16,'Выгр Торг'!$B:$Q,G$1,0)</f>
        <v>0</v>
      </c>
      <c r="H16" s="2" t="s">
        <v>3</v>
      </c>
      <c r="I16" s="34">
        <v>152891</v>
      </c>
      <c r="J16" s="42">
        <f>INDEX($J:$J,MATCH($I16,$B:$B,0))</f>
        <v>450</v>
      </c>
      <c r="K16" s="43">
        <f>INDEX($K:$K,MATCH($I16,$B:$B,0))+$J16</f>
        <v>2850</v>
      </c>
      <c r="L16" s="5">
        <f>VLOOKUP(K16,Наценка!$A$1:$G$8,2,1)</f>
        <v>1.27</v>
      </c>
      <c r="M16" s="43">
        <f>INDEX($M:$M,MATCH($I16,$B:$B,0))+$J16*$M$2</f>
        <v>3862.4193548387098</v>
      </c>
      <c r="N16" s="39">
        <f t="shared" si="2"/>
        <v>3890</v>
      </c>
      <c r="O16" s="40">
        <f>VLOOKUP($B16,'Выгр Торг'!$B:$Q,O$1,0)</f>
        <v>2850</v>
      </c>
      <c r="P16" s="40">
        <f>VLOOKUP($B16,'Выгр Торг'!$B:$Q,P$1,0)</f>
        <v>3890</v>
      </c>
      <c r="Q16" s="28">
        <f t="shared" si="3"/>
        <v>0</v>
      </c>
      <c r="R16" s="28">
        <f t="shared" si="4"/>
        <v>0</v>
      </c>
      <c r="S16" s="36">
        <f t="shared" si="5"/>
        <v>3617.7</v>
      </c>
      <c r="T16" s="38" t="str">
        <f>IFERROR((VLOOKUP($B16,'Из Гугла'!$B:$G,6,0)+V16)*U16,VLOOKUP($B16,'Из Гугла'!$B:$G,6,0))</f>
        <v/>
      </c>
      <c r="U16" s="38">
        <v>1</v>
      </c>
      <c r="V16" s="38"/>
      <c r="W16" s="22">
        <f t="shared" si="6"/>
        <v>0.26936842105263148</v>
      </c>
      <c r="X16" s="22" t="str">
        <f t="shared" si="7"/>
        <v/>
      </c>
      <c r="Y16" s="22" t="str">
        <f t="shared" si="8"/>
        <v/>
      </c>
      <c r="Z16" s="9" t="s">
        <v>1269</v>
      </c>
    </row>
    <row r="17" spans="1:27" ht="45" x14ac:dyDescent="0.25">
      <c r="A17" s="23" t="str">
        <f>INDEX('Выгр Торг'!$A:$A,MATCH(B17,'Выгр Торг'!$B:$B,0))</f>
        <v>Зеркала "МЕРСЕДЕС" (механика + повторитель) для Лада Нива 4x4</v>
      </c>
      <c r="B17" s="26">
        <v>152903</v>
      </c>
      <c r="C17" s="26">
        <f>VLOOKUP($B17,'Выгр Торг'!$B:$Q,C$1,0)</f>
        <v>89075</v>
      </c>
      <c r="D17" s="25" t="str">
        <f>VLOOKUP($B17,'Выгр Торг'!$B:$Q,D$1,0)</f>
        <v>Зеркала "МЕРСЕДЕС" (механика + повторитель) для Лада Нива 4x4 (В цвет, Терра (коричневый, 507))</v>
      </c>
      <c r="E17" s="26" t="str">
        <f>VLOOKUP($B17,'Выгр Торг'!$B:$Q,E$1,0)</f>
        <v>Y</v>
      </c>
      <c r="F17" s="26" t="str">
        <f>VLOOKUP($B17,'Выгр Торг'!$B:$Q,F$1,0)</f>
        <v>0</v>
      </c>
      <c r="G17" s="26">
        <f>VLOOKUP($B17,'Выгр Торг'!$B:$Q,G$1,0)</f>
        <v>0</v>
      </c>
      <c r="H17" s="2" t="s">
        <v>3</v>
      </c>
      <c r="I17" s="34">
        <v>152891</v>
      </c>
      <c r="J17" s="42">
        <f>INDEX($J:$J,MATCH($I17,$B:$B,0))</f>
        <v>450</v>
      </c>
      <c r="K17" s="43">
        <f>INDEX($K:$K,MATCH($I17,$B:$B,0))+$J17</f>
        <v>2850</v>
      </c>
      <c r="L17" s="5">
        <f>VLOOKUP(K17,Наценка!$A$1:$G$8,2,1)</f>
        <v>1.27</v>
      </c>
      <c r="M17" s="43">
        <f>INDEX($M:$M,MATCH($I17,$B:$B,0))+$J17*$M$2</f>
        <v>3862.4193548387098</v>
      </c>
      <c r="N17" s="39">
        <f t="shared" si="2"/>
        <v>3890</v>
      </c>
      <c r="O17" s="40">
        <f>VLOOKUP($B17,'Выгр Торг'!$B:$Q,O$1,0)</f>
        <v>2850</v>
      </c>
      <c r="P17" s="40">
        <f>VLOOKUP($B17,'Выгр Торг'!$B:$Q,P$1,0)</f>
        <v>3890</v>
      </c>
      <c r="Q17" s="28">
        <f t="shared" si="3"/>
        <v>0</v>
      </c>
      <c r="R17" s="28">
        <f t="shared" si="4"/>
        <v>0</v>
      </c>
      <c r="S17" s="36">
        <f t="shared" si="5"/>
        <v>3617.7</v>
      </c>
      <c r="T17" s="38" t="str">
        <f>IFERROR((VLOOKUP($B17,'Из Гугла'!$B:$G,6,0)+V17)*U17,VLOOKUP($B17,'Из Гугла'!$B:$G,6,0))</f>
        <v/>
      </c>
      <c r="U17" s="38">
        <v>1</v>
      </c>
      <c r="V17" s="38"/>
      <c r="W17" s="22">
        <f t="shared" si="6"/>
        <v>0.26936842105263148</v>
      </c>
      <c r="X17" s="22" t="str">
        <f t="shared" si="7"/>
        <v/>
      </c>
      <c r="Y17" s="22" t="str">
        <f t="shared" si="8"/>
        <v/>
      </c>
      <c r="Z17" s="9" t="s">
        <v>1269</v>
      </c>
    </row>
    <row r="18" spans="1:27" ht="45" x14ac:dyDescent="0.25">
      <c r="A18" s="23" t="str">
        <f>INDEX('Выгр Торг'!$A:$A,MATCH(B18,'Выгр Торг'!$B:$B,0))</f>
        <v>Зеркала "МЕРСЕДЕС" (механика + повторитель) для Лада Нива 4x4</v>
      </c>
      <c r="B18" s="26">
        <v>152904</v>
      </c>
      <c r="C18" s="26">
        <f>VLOOKUP($B18,'Выгр Торг'!$B:$Q,C$1,0)</f>
        <v>69570</v>
      </c>
      <c r="D18" s="25" t="str">
        <f>VLOOKUP($B18,'Выгр Торг'!$B:$Q,D$1,0)</f>
        <v>Зеркала "МЕРСЕДЕС" (механика + повторитель) для Лада Нива 4x4 (В цвет, Уточнить у менеджера)</v>
      </c>
      <c r="E18" s="26" t="str">
        <f>VLOOKUP($B18,'Выгр Торг'!$B:$Q,E$1,0)</f>
        <v>Y</v>
      </c>
      <c r="F18" s="26" t="str">
        <f>VLOOKUP($B18,'Выгр Торг'!$B:$Q,F$1,0)</f>
        <v>0</v>
      </c>
      <c r="G18" s="26">
        <f>VLOOKUP($B18,'Выгр Торг'!$B:$Q,G$1,0)</f>
        <v>0</v>
      </c>
      <c r="H18" s="2" t="s">
        <v>3</v>
      </c>
      <c r="I18" s="34">
        <v>152891</v>
      </c>
      <c r="J18" s="42">
        <f>INDEX($J:$J,MATCH($I18,$B:$B,0))</f>
        <v>450</v>
      </c>
      <c r="K18" s="43">
        <f>INDEX($K:$K,MATCH($I18,$B:$B,0))+$J18</f>
        <v>2850</v>
      </c>
      <c r="L18" s="5">
        <f>VLOOKUP(K18,Наценка!$A$1:$G$8,2,1)</f>
        <v>1.27</v>
      </c>
      <c r="M18" s="43">
        <f>INDEX($M:$M,MATCH($I18,$B:$B,0))+$J18*$M$2</f>
        <v>3862.4193548387098</v>
      </c>
      <c r="N18" s="39">
        <f t="shared" si="2"/>
        <v>3890</v>
      </c>
      <c r="O18" s="40">
        <f>VLOOKUP($B18,'Выгр Торг'!$B:$Q,O$1,0)</f>
        <v>2850</v>
      </c>
      <c r="P18" s="40">
        <f>VLOOKUP($B18,'Выгр Торг'!$B:$Q,P$1,0)</f>
        <v>3890</v>
      </c>
      <c r="Q18" s="28">
        <f t="shared" si="3"/>
        <v>0</v>
      </c>
      <c r="R18" s="28">
        <f t="shared" si="4"/>
        <v>0</v>
      </c>
      <c r="S18" s="36">
        <f t="shared" si="5"/>
        <v>3617.7</v>
      </c>
      <c r="T18" s="38" t="str">
        <f>IFERROR((VLOOKUP($B18,'Из Гугла'!$B:$G,6,0)+V18)*U18,VLOOKUP($B18,'Из Гугла'!$B:$G,6,0))</f>
        <v/>
      </c>
      <c r="U18" s="38">
        <v>1</v>
      </c>
      <c r="V18" s="38"/>
      <c r="W18" s="22">
        <f t="shared" si="6"/>
        <v>0.26936842105263148</v>
      </c>
      <c r="X18" s="22" t="str">
        <f t="shared" si="7"/>
        <v/>
      </c>
      <c r="Y18" s="22" t="str">
        <f t="shared" si="8"/>
        <v/>
      </c>
      <c r="Z18" s="9" t="s">
        <v>1269</v>
      </c>
    </row>
    <row r="19" spans="1:27" ht="45" x14ac:dyDescent="0.25">
      <c r="A19" s="23" t="str">
        <f>INDEX('Выгр Торг'!$A:$A,MATCH(B19,'Выгр Торг'!$B:$B,0))</f>
        <v>Зеркала "МЕРСЕДЕС" (механика + повторитель) для Лада Нива 4x4</v>
      </c>
      <c r="B19" s="26">
        <v>152905</v>
      </c>
      <c r="C19" s="26">
        <f>VLOOKUP($B19,'Выгр Торг'!$B:$Q,C$1,0)</f>
        <v>89076</v>
      </c>
      <c r="D19" s="25" t="str">
        <f>VLOOKUP($B19,'Выгр Торг'!$B:$Q,D$1,0)</f>
        <v>Зеркала "МЕРСЕДЕС" (механика + повторитель) для Лада Нива 4x4 (В цвет, Яшма (темно-вишневый, 140))</v>
      </c>
      <c r="E19" s="26" t="str">
        <f>VLOOKUP($B19,'Выгр Торг'!$B:$Q,E$1,0)</f>
        <v>Y</v>
      </c>
      <c r="F19" s="26" t="str">
        <f>VLOOKUP($B19,'Выгр Торг'!$B:$Q,F$1,0)</f>
        <v>0</v>
      </c>
      <c r="G19" s="26">
        <f>VLOOKUP($B19,'Выгр Торг'!$B:$Q,G$1,0)</f>
        <v>0</v>
      </c>
      <c r="H19" s="2" t="s">
        <v>3</v>
      </c>
      <c r="I19" s="34">
        <v>152891</v>
      </c>
      <c r="J19" s="42">
        <f>INDEX($J:$J,MATCH($I19,$B:$B,0))</f>
        <v>450</v>
      </c>
      <c r="K19" s="43">
        <f>INDEX($K:$K,MATCH($I19,$B:$B,0))+$J19</f>
        <v>2850</v>
      </c>
      <c r="L19" s="5">
        <f>VLOOKUP(K19,Наценка!$A$1:$G$8,2,1)</f>
        <v>1.27</v>
      </c>
      <c r="M19" s="43">
        <f>INDEX($M:$M,MATCH($I19,$B:$B,0))+$J19*$M$2</f>
        <v>3862.4193548387098</v>
      </c>
      <c r="N19" s="39">
        <f t="shared" si="2"/>
        <v>3890</v>
      </c>
      <c r="O19" s="40">
        <f>VLOOKUP($B19,'Выгр Торг'!$B:$Q,O$1,0)</f>
        <v>2850</v>
      </c>
      <c r="P19" s="40">
        <f>VLOOKUP($B19,'Выгр Торг'!$B:$Q,P$1,0)</f>
        <v>3890</v>
      </c>
      <c r="Q19" s="28">
        <f t="shared" si="3"/>
        <v>0</v>
      </c>
      <c r="R19" s="28">
        <f t="shared" si="4"/>
        <v>0</v>
      </c>
      <c r="S19" s="36">
        <f t="shared" si="5"/>
        <v>3617.7</v>
      </c>
      <c r="T19" s="38" t="str">
        <f>IFERROR((VLOOKUP($B19,'Из Гугла'!$B:$G,6,0)+V19)*U19,VLOOKUP($B19,'Из Гугла'!$B:$G,6,0))</f>
        <v/>
      </c>
      <c r="U19" s="38">
        <v>1</v>
      </c>
      <c r="V19" s="38"/>
      <c r="W19" s="22">
        <f t="shared" si="6"/>
        <v>0.26936842105263148</v>
      </c>
      <c r="X19" s="22" t="str">
        <f t="shared" si="7"/>
        <v/>
      </c>
      <c r="Y19" s="22" t="str">
        <f t="shared" si="8"/>
        <v/>
      </c>
      <c r="Z19" s="9" t="s">
        <v>1269</v>
      </c>
    </row>
    <row r="20" spans="1:27" ht="45" x14ac:dyDescent="0.25">
      <c r="A20" s="23" t="str">
        <f>INDEX('Выгр Торг'!$A:$A,MATCH(B20,'Выгр Торг'!$B:$B,0))</f>
        <v>Зеркала "МЕРСЕДЕС" с электрикой и обогревом для Лада Нива 4x4, Нива 4x4 Урбан</v>
      </c>
      <c r="B20" s="26">
        <v>152907</v>
      </c>
      <c r="C20" s="26">
        <f>VLOOKUP($B20,'Выгр Торг'!$B:$Q,C$1,0)</f>
        <v>69575</v>
      </c>
      <c r="D20" s="25" t="str">
        <f>VLOOKUP($B20,'Выгр Торг'!$B:$Q,D$1,0)</f>
        <v>Зеркала "МЕРСЕДЕС" с электрикой и обогревом для Лада Нива 4x4, Нива 4x4 Урбан (Без покраски)</v>
      </c>
      <c r="E20" s="26" t="str">
        <f>VLOOKUP($B20,'Выгр Торг'!$B:$Q,E$1,0)</f>
        <v>Y</v>
      </c>
      <c r="F20" s="26" t="str">
        <f>VLOOKUP($B20,'Выгр Торг'!$B:$Q,F$1,0)</f>
        <v>1</v>
      </c>
      <c r="G20" s="26">
        <f>VLOOKUP($B20,'Выгр Торг'!$B:$Q,G$1,0)</f>
        <v>0</v>
      </c>
      <c r="H20" s="2" t="s">
        <v>3</v>
      </c>
      <c r="I20" s="34">
        <v>152907</v>
      </c>
      <c r="J20" s="34">
        <v>450</v>
      </c>
      <c r="K20" s="41">
        <v>6500</v>
      </c>
      <c r="L20" s="5">
        <f>VLOOKUP(K20,Наценка!$A$1:$G$8,2,1)</f>
        <v>1.31</v>
      </c>
      <c r="M20" s="47">
        <f>Z20*1.05</f>
        <v>8914.5</v>
      </c>
      <c r="N20" s="39">
        <f t="shared" si="2"/>
        <v>8990</v>
      </c>
      <c r="O20" s="40">
        <f>VLOOKUP($B20,'Выгр Торг'!$B:$Q,O$1,0)</f>
        <v>6500</v>
      </c>
      <c r="P20" s="40">
        <f>VLOOKUP($B20,'Выгр Торг'!$B:$Q,P$1,0)</f>
        <v>8990</v>
      </c>
      <c r="Q20" s="28">
        <f t="shared" si="3"/>
        <v>0</v>
      </c>
      <c r="R20" s="28">
        <f t="shared" si="4"/>
        <v>0</v>
      </c>
      <c r="S20" s="36">
        <f t="shared" si="5"/>
        <v>8360.6999999999989</v>
      </c>
      <c r="T20" s="38">
        <f>IFERROR((VLOOKUP($B20,'Из Гугла'!$B:$G,6,0)+V20)*U20,VLOOKUP($B20,'Из Гугла'!$B:$G,6,0))</f>
        <v>8490</v>
      </c>
      <c r="U20" s="38">
        <v>1</v>
      </c>
      <c r="V20" s="38"/>
      <c r="W20" s="22">
        <f t="shared" si="6"/>
        <v>0.28626153846153835</v>
      </c>
      <c r="X20" s="22">
        <f t="shared" si="7"/>
        <v>1.5229681978798716E-2</v>
      </c>
      <c r="Y20" s="22">
        <f t="shared" si="8"/>
        <v>0.30615384615384622</v>
      </c>
      <c r="Z20" s="9">
        <v>8490</v>
      </c>
      <c r="AA20" t="s">
        <v>1350</v>
      </c>
    </row>
    <row r="21" spans="1:27" ht="60" x14ac:dyDescent="0.25">
      <c r="A21" s="23" t="str">
        <f>INDEX('Выгр Торг'!$A:$A,MATCH(B21,'Выгр Торг'!$B:$B,0))</f>
        <v>Зеркала "МЕРСЕДЕС" с электрикой и обогревом для Лада Нива 4x4, Нива 4x4 Урбан</v>
      </c>
      <c r="B21" s="26">
        <v>152908</v>
      </c>
      <c r="C21" s="26">
        <f>VLOOKUP($B21,'Выгр Торг'!$B:$Q,C$1,0)</f>
        <v>89096</v>
      </c>
      <c r="D21" s="25" t="str">
        <f>VLOOKUP($B21,'Выгр Торг'!$B:$Q,D$1,0)</f>
        <v>Зеркала "МЕРСЕДЕС" с электрикой и обогревом для Лада Нива 4x4, Нива 4x4 Урбан (В цвет, Балтика (темно-сине-зеленый, 420))</v>
      </c>
      <c r="E21" s="26" t="str">
        <f>VLOOKUP($B21,'Выгр Торг'!$B:$Q,E$1,0)</f>
        <v>Y</v>
      </c>
      <c r="F21" s="26" t="str">
        <f>VLOOKUP($B21,'Выгр Торг'!$B:$Q,F$1,0)</f>
        <v>1</v>
      </c>
      <c r="G21" s="26">
        <f>VLOOKUP($B21,'Выгр Торг'!$B:$Q,G$1,0)</f>
        <v>0</v>
      </c>
      <c r="H21" s="2" t="s">
        <v>3</v>
      </c>
      <c r="I21" s="34">
        <v>152907</v>
      </c>
      <c r="J21" s="42">
        <f>INDEX($J:$J,MATCH($I21,$B:$B,0))</f>
        <v>450</v>
      </c>
      <c r="K21" s="43">
        <f>INDEX($K:$K,MATCH($I21,$B:$B,0))+$J21</f>
        <v>6950</v>
      </c>
      <c r="L21" s="5">
        <f>VLOOKUP(K21,Наценка!$A$1:$G$8,2,1)</f>
        <v>1.31</v>
      </c>
      <c r="M21" s="43">
        <f>INDEX($M:$M,MATCH($I21,$B:$B,0))+$J21*$M$2</f>
        <v>9499.5</v>
      </c>
      <c r="N21" s="39">
        <f t="shared" si="2"/>
        <v>9490</v>
      </c>
      <c r="O21" s="40">
        <f>VLOOKUP($B21,'Выгр Торг'!$B:$Q,O$1,0)</f>
        <v>6950</v>
      </c>
      <c r="P21" s="40">
        <f>VLOOKUP($B21,'Выгр Торг'!$B:$Q,P$1,0)</f>
        <v>9490</v>
      </c>
      <c r="Q21" s="28">
        <f t="shared" si="3"/>
        <v>0</v>
      </c>
      <c r="R21" s="28">
        <f t="shared" si="4"/>
        <v>0</v>
      </c>
      <c r="S21" s="36">
        <f t="shared" si="5"/>
        <v>8825.6999999999989</v>
      </c>
      <c r="T21" s="38">
        <f>IFERROR((VLOOKUP($B21,'Из Гугла'!$B:$G,6,0)+V21)*U21,VLOOKUP($B21,'Из Гугла'!$B:$G,6,0))</f>
        <v>9090</v>
      </c>
      <c r="U21" s="38">
        <v>1</v>
      </c>
      <c r="V21" s="38">
        <v>600</v>
      </c>
      <c r="W21" s="22">
        <f t="shared" si="6"/>
        <v>0.26988489208633082</v>
      </c>
      <c r="X21" s="22">
        <f t="shared" si="7"/>
        <v>2.9075907590759197E-2</v>
      </c>
      <c r="Y21" s="22">
        <f t="shared" si="8"/>
        <v>0.30791366906474815</v>
      </c>
      <c r="Z21" s="52">
        <f>INDEX($Z:$Z,MATCH(I21,$B:$B,0))+V21</f>
        <v>9090</v>
      </c>
      <c r="AA21" t="s">
        <v>1350</v>
      </c>
    </row>
    <row r="22" spans="1:27" ht="45" x14ac:dyDescent="0.25">
      <c r="A22" s="23" t="str">
        <f>INDEX('Выгр Торг'!$A:$A,MATCH(B22,'Выгр Торг'!$B:$B,0))</f>
        <v>Зеркала "МЕРСЕДЕС" с электрикой и обогревом для Лада Нива 4x4, Нива 4x4 Урбан</v>
      </c>
      <c r="B22" s="26">
        <v>335658</v>
      </c>
      <c r="C22" s="26">
        <f>VLOOKUP($B22,'Выгр Торг'!$B:$Q,C$1,0)</f>
        <v>335658</v>
      </c>
      <c r="D22" s="25" t="str">
        <f>VLOOKUP($B22,'Выгр Торг'!$B:$Q,D$1,0)</f>
        <v>Зеркала "МЕРСЕДЕС" с электрикой и обогревом для Лада Нива 4x4, Нива 4x4 Урбан (В цвет 240)</v>
      </c>
      <c r="E22" s="26" t="str">
        <f>VLOOKUP($B22,'Выгр Торг'!$B:$Q,E$1,0)</f>
        <v>Y</v>
      </c>
      <c r="F22" s="26" t="str">
        <f>VLOOKUP($B22,'Выгр Торг'!$B:$Q,F$1,0)</f>
        <v>1</v>
      </c>
      <c r="G22" s="26">
        <f>VLOOKUP($B22,'Выгр Торг'!$B:$Q,G$1,0)</f>
        <v>0</v>
      </c>
      <c r="H22" s="2" t="s">
        <v>3</v>
      </c>
      <c r="I22" s="34">
        <v>152907</v>
      </c>
      <c r="J22" s="42">
        <f>INDEX($J:$J,MATCH($I22,$B:$B,0))</f>
        <v>450</v>
      </c>
      <c r="K22" s="43">
        <f>INDEX($K:$K,MATCH($I22,$B:$B,0))+$J22</f>
        <v>6950</v>
      </c>
      <c r="L22" s="5">
        <f>VLOOKUP(K22,Наценка!$A$1:$G$8,2,1)</f>
        <v>1.31</v>
      </c>
      <c r="M22" s="43">
        <f>INDEX($M:$M,MATCH($I22,$B:$B,0))+$J22*$M$2</f>
        <v>9499.5</v>
      </c>
      <c r="N22" s="39">
        <f t="shared" ref="N22" si="9">IF(M22&lt;=1000,(ROUNDUP(M22,-1)-1),(ROUNDUP(M22,-2)-10))</f>
        <v>9490</v>
      </c>
      <c r="O22" s="40">
        <f>VLOOKUP($B22,'Выгр Торг'!$B:$Q,O$1,0)</f>
        <v>6950</v>
      </c>
      <c r="P22" s="40">
        <f>VLOOKUP($B22,'Выгр Торг'!$B:$Q,P$1,0)</f>
        <v>9490</v>
      </c>
      <c r="Q22" s="28">
        <f t="shared" ref="Q22" si="10">O22-K22</f>
        <v>0</v>
      </c>
      <c r="R22" s="28">
        <f t="shared" ref="R22" si="11">P22-N22</f>
        <v>0</v>
      </c>
      <c r="S22" s="36">
        <f t="shared" ref="S22" si="12">IFERROR(N22*(1-$S$2),"")</f>
        <v>8825.6999999999989</v>
      </c>
      <c r="T22" s="38">
        <f>IFERROR((VLOOKUP($B22,'Из Гугла'!$B:$G,6,0)+V22)*U22,VLOOKUP($B22,'Из Гугла'!$B:$G,6,0))</f>
        <v>9090</v>
      </c>
      <c r="U22" s="38">
        <v>1</v>
      </c>
      <c r="V22" s="38">
        <v>600</v>
      </c>
      <c r="W22" s="22">
        <f t="shared" ref="W22" si="13">IFERROR(S22/K22-1,"")</f>
        <v>0.26988489208633082</v>
      </c>
      <c r="X22" s="22">
        <f t="shared" ref="X22" si="14">IFERROR((Z22-S22)/Z22,"")</f>
        <v>2.9075907590759197E-2</v>
      </c>
      <c r="Y22" s="22">
        <f t="shared" ref="Y22" si="15">IFERROR(IF(Z22="","",Z22/K22-1),"")</f>
        <v>0.30791366906474815</v>
      </c>
      <c r="Z22" s="52">
        <f>INDEX($Z:$Z,MATCH(I22,$B:$B,0))+V22</f>
        <v>9090</v>
      </c>
      <c r="AA22" t="s">
        <v>1350</v>
      </c>
    </row>
    <row r="23" spans="1:27" ht="60" x14ac:dyDescent="0.25">
      <c r="A23" s="23" t="str">
        <f>INDEX('Выгр Торг'!$A:$A,MATCH(B23,'Выгр Торг'!$B:$B,0))</f>
        <v>Зеркала "МЕРСЕДЕС" с электрикой и обогревом для Лада Нива 4x4, Нива 4x4 Урбан</v>
      </c>
      <c r="B23" s="26">
        <v>152909</v>
      </c>
      <c r="C23" s="26">
        <f>VLOOKUP($B23,'Выгр Торг'!$B:$Q,C$1,0)</f>
        <v>89097</v>
      </c>
      <c r="D23" s="25" t="str">
        <f>VLOOKUP($B23,'Выгр Торг'!$B:$Q,D$1,0)</f>
        <v>Зеркала "МЕРСЕДЕС" с электрикой и обогревом для Лада Нива 4x4, Нива 4x4 Урбан (В цвет, Барокко (малиновый, 172))</v>
      </c>
      <c r="E23" s="26" t="str">
        <f>VLOOKUP($B23,'Выгр Торг'!$B:$Q,E$1,0)</f>
        <v>Y</v>
      </c>
      <c r="F23" s="26" t="str">
        <f>VLOOKUP($B23,'Выгр Торг'!$B:$Q,F$1,0)</f>
        <v>1</v>
      </c>
      <c r="G23" s="26">
        <f>VLOOKUP($B23,'Выгр Торг'!$B:$Q,G$1,0)</f>
        <v>0</v>
      </c>
      <c r="H23" s="2" t="s">
        <v>3</v>
      </c>
      <c r="I23" s="34">
        <v>152907</v>
      </c>
      <c r="J23" s="42">
        <f>INDEX($J:$J,MATCH($I23,$B:$B,0))</f>
        <v>450</v>
      </c>
      <c r="K23" s="43">
        <f>INDEX($K:$K,MATCH($I23,$B:$B,0))+$J23</f>
        <v>6950</v>
      </c>
      <c r="L23" s="5">
        <f>VLOOKUP(K23,Наценка!$A$1:$G$8,2,1)</f>
        <v>1.31</v>
      </c>
      <c r="M23" s="43">
        <f>INDEX($M:$M,MATCH($I23,$B:$B,0))+$J23*$M$2</f>
        <v>9499.5</v>
      </c>
      <c r="N23" s="39">
        <f t="shared" si="2"/>
        <v>9490</v>
      </c>
      <c r="O23" s="40">
        <f>VLOOKUP($B23,'Выгр Торг'!$B:$Q,O$1,0)</f>
        <v>6950</v>
      </c>
      <c r="P23" s="40">
        <f>VLOOKUP($B23,'Выгр Торг'!$B:$Q,P$1,0)</f>
        <v>9490</v>
      </c>
      <c r="Q23" s="28">
        <f t="shared" si="3"/>
        <v>0</v>
      </c>
      <c r="R23" s="28">
        <f t="shared" si="4"/>
        <v>0</v>
      </c>
      <c r="S23" s="36">
        <f t="shared" si="5"/>
        <v>8825.6999999999989</v>
      </c>
      <c r="T23" s="38">
        <f>IFERROR((VLOOKUP($B23,'Из Гугла'!$B:$G,6,0)+V23)*U23,VLOOKUP($B23,'Из Гугла'!$B:$G,6,0))</f>
        <v>9090</v>
      </c>
      <c r="U23" s="38">
        <v>1</v>
      </c>
      <c r="V23" s="38">
        <v>600</v>
      </c>
      <c r="W23" s="22">
        <f t="shared" si="6"/>
        <v>0.26988489208633082</v>
      </c>
      <c r="X23" s="22">
        <f t="shared" si="7"/>
        <v>2.9075907590759197E-2</v>
      </c>
      <c r="Y23" s="22">
        <f t="shared" si="8"/>
        <v>0.30791366906474815</v>
      </c>
      <c r="Z23" s="52">
        <f>INDEX($Z:$Z,MATCH(I23,$B:$B,0))+V23</f>
        <v>9090</v>
      </c>
      <c r="AA23" t="s">
        <v>1350</v>
      </c>
    </row>
    <row r="24" spans="1:27" ht="60" x14ac:dyDescent="0.25">
      <c r="A24" s="23" t="str">
        <f>INDEX('Выгр Торг'!$A:$A,MATCH(B24,'Выгр Торг'!$B:$B,0))</f>
        <v>Зеркала "МЕРСЕДЕС" с электрикой и обогревом для Лада Нива 4x4, Нива 4x4 Урбан</v>
      </c>
      <c r="B24" s="26">
        <v>152910</v>
      </c>
      <c r="C24" s="26">
        <f>VLOOKUP($B24,'Выгр Торг'!$B:$Q,C$1,0)</f>
        <v>89098</v>
      </c>
      <c r="D24" s="25" t="str">
        <f>VLOOKUP($B24,'Выгр Торг'!$B:$Q,D$1,0)</f>
        <v>Зеркала "МЕРСЕДЕС" с электрикой и обогревом для Лада Нива 4x4, Нива 4x4 Урбан (В цвет, Бенефис (глубокий темно-фиолетовый, 135))</v>
      </c>
      <c r="E24" s="26" t="str">
        <f>VLOOKUP($B24,'Выгр Торг'!$B:$Q,E$1,0)</f>
        <v>Y</v>
      </c>
      <c r="F24" s="26" t="str">
        <f>VLOOKUP($B24,'Выгр Торг'!$B:$Q,F$1,0)</f>
        <v>1</v>
      </c>
      <c r="G24" s="26">
        <f>VLOOKUP($B24,'Выгр Торг'!$B:$Q,G$1,0)</f>
        <v>0</v>
      </c>
      <c r="H24" s="2" t="s">
        <v>3</v>
      </c>
      <c r="I24" s="34">
        <v>152907</v>
      </c>
      <c r="J24" s="42">
        <f>INDEX($J:$J,MATCH($I24,$B:$B,0))</f>
        <v>450</v>
      </c>
      <c r="K24" s="43">
        <f>INDEX($K:$K,MATCH($I24,$B:$B,0))+$J24</f>
        <v>6950</v>
      </c>
      <c r="L24" s="5">
        <f>VLOOKUP(K24,Наценка!$A$1:$G$8,2,1)</f>
        <v>1.31</v>
      </c>
      <c r="M24" s="43">
        <f>INDEX($M:$M,MATCH($I24,$B:$B,0))+$J24*$M$2</f>
        <v>9499.5</v>
      </c>
      <c r="N24" s="39">
        <f t="shared" si="2"/>
        <v>9490</v>
      </c>
      <c r="O24" s="40">
        <f>VLOOKUP($B24,'Выгр Торг'!$B:$Q,O$1,0)</f>
        <v>6950</v>
      </c>
      <c r="P24" s="40">
        <f>VLOOKUP($B24,'Выгр Торг'!$B:$Q,P$1,0)</f>
        <v>9490</v>
      </c>
      <c r="Q24" s="28">
        <f t="shared" si="3"/>
        <v>0</v>
      </c>
      <c r="R24" s="28">
        <f t="shared" si="4"/>
        <v>0</v>
      </c>
      <c r="S24" s="36">
        <f t="shared" si="5"/>
        <v>8825.6999999999989</v>
      </c>
      <c r="T24" s="38">
        <f>IFERROR((VLOOKUP($B24,'Из Гугла'!$B:$G,6,0)+V24)*U24,VLOOKUP($B24,'Из Гугла'!$B:$G,6,0))</f>
        <v>9090</v>
      </c>
      <c r="U24" s="38">
        <v>1</v>
      </c>
      <c r="V24" s="38">
        <v>600</v>
      </c>
      <c r="W24" s="22">
        <f t="shared" si="6"/>
        <v>0.26988489208633082</v>
      </c>
      <c r="X24" s="22">
        <f t="shared" si="7"/>
        <v>2.9075907590759197E-2</v>
      </c>
      <c r="Y24" s="22">
        <f t="shared" si="8"/>
        <v>0.30791366906474815</v>
      </c>
      <c r="Z24" s="52">
        <f>INDEX($Z:$Z,MATCH(I24,$B:$B,0))+V24</f>
        <v>9090</v>
      </c>
      <c r="AA24" t="s">
        <v>1350</v>
      </c>
    </row>
    <row r="25" spans="1:27" ht="60" x14ac:dyDescent="0.25">
      <c r="A25" s="23" t="str">
        <f>INDEX('Выгр Торг'!$A:$A,MATCH(B25,'Выгр Торг'!$B:$B,0))</f>
        <v>Зеркала "МЕРСЕДЕС" с электрикой и обогревом для Лада Нива 4x4, Нива 4x4 Урбан</v>
      </c>
      <c r="B25" s="26">
        <v>152911</v>
      </c>
      <c r="C25" s="26">
        <f>VLOOKUP($B25,'Выгр Торг'!$B:$Q,C$1,0)</f>
        <v>89099</v>
      </c>
      <c r="D25" s="25" t="str">
        <f>VLOOKUP($B25,'Выгр Торг'!$B:$Q,D$1,0)</f>
        <v>Зеркала "МЕРСЕДЕС" с электрикой и обогревом для Лада Нива 4x4, Нива 4x4 Урбан (В цвет, Борнео (темный серебристо-серый, 633))</v>
      </c>
      <c r="E25" s="26" t="str">
        <f>VLOOKUP($B25,'Выгр Торг'!$B:$Q,E$1,0)</f>
        <v>Y</v>
      </c>
      <c r="F25" s="26" t="str">
        <f>VLOOKUP($B25,'Выгр Торг'!$B:$Q,F$1,0)</f>
        <v>1</v>
      </c>
      <c r="G25" s="26">
        <f>VLOOKUP($B25,'Выгр Торг'!$B:$Q,G$1,0)</f>
        <v>0</v>
      </c>
      <c r="H25" s="2" t="s">
        <v>3</v>
      </c>
      <c r="I25" s="34">
        <v>152907</v>
      </c>
      <c r="J25" s="42">
        <f>INDEX($J:$J,MATCH($I25,$B:$B,0))</f>
        <v>450</v>
      </c>
      <c r="K25" s="43">
        <f>INDEX($K:$K,MATCH($I25,$B:$B,0))+$J25</f>
        <v>6950</v>
      </c>
      <c r="L25" s="5">
        <f>VLOOKUP(K25,Наценка!$A$1:$G$8,2,1)</f>
        <v>1.31</v>
      </c>
      <c r="M25" s="43">
        <f>INDEX($M:$M,MATCH($I25,$B:$B,0))+$J25*$M$2</f>
        <v>9499.5</v>
      </c>
      <c r="N25" s="39">
        <f t="shared" si="2"/>
        <v>9490</v>
      </c>
      <c r="O25" s="40">
        <f>VLOOKUP($B25,'Выгр Торг'!$B:$Q,O$1,0)</f>
        <v>6950</v>
      </c>
      <c r="P25" s="40">
        <f>VLOOKUP($B25,'Выгр Торг'!$B:$Q,P$1,0)</f>
        <v>9490</v>
      </c>
      <c r="Q25" s="28">
        <f t="shared" si="3"/>
        <v>0</v>
      </c>
      <c r="R25" s="28">
        <f t="shared" si="4"/>
        <v>0</v>
      </c>
      <c r="S25" s="36">
        <f t="shared" si="5"/>
        <v>8825.6999999999989</v>
      </c>
      <c r="T25" s="38">
        <f>IFERROR((VLOOKUP($B25,'Из Гугла'!$B:$G,6,0)+V25)*U25,VLOOKUP($B25,'Из Гугла'!$B:$G,6,0))</f>
        <v>9090</v>
      </c>
      <c r="U25" s="38">
        <v>1</v>
      </c>
      <c r="V25" s="38">
        <v>600</v>
      </c>
      <c r="W25" s="22">
        <f t="shared" si="6"/>
        <v>0.26988489208633082</v>
      </c>
      <c r="X25" s="22">
        <f t="shared" si="7"/>
        <v>2.9075907590759197E-2</v>
      </c>
      <c r="Y25" s="22">
        <f t="shared" si="8"/>
        <v>0.30791366906474815</v>
      </c>
      <c r="Z25" s="52">
        <f>INDEX($Z:$Z,MATCH(I25,$B:$B,0))+V25</f>
        <v>9090</v>
      </c>
      <c r="AA25" t="s">
        <v>1350</v>
      </c>
    </row>
    <row r="26" spans="1:27" ht="60" x14ac:dyDescent="0.25">
      <c r="A26" s="23" t="str">
        <f>INDEX('Выгр Торг'!$A:$A,MATCH(B26,'Выгр Торг'!$B:$B,0))</f>
        <v>Зеркала "МЕРСЕДЕС" с электрикой и обогревом для Лада Нива 4x4, Нива 4x4 Урбан</v>
      </c>
      <c r="B26" s="26">
        <v>152912</v>
      </c>
      <c r="C26" s="26">
        <f>VLOOKUP($B26,'Выгр Торг'!$B:$Q,C$1,0)</f>
        <v>89100</v>
      </c>
      <c r="D26" s="25" t="str">
        <f>VLOOKUP($B26,'Выгр Торг'!$B:$Q,D$1,0)</f>
        <v>Зеркала "МЕРСЕДЕС" с электрикой и обогревом для Лада Нива 4x4, Нива 4x4 Урбан (В цвет, Гравилат (оливковый, 306))</v>
      </c>
      <c r="E26" s="26" t="str">
        <f>VLOOKUP($B26,'Выгр Торг'!$B:$Q,E$1,0)</f>
        <v>Y</v>
      </c>
      <c r="F26" s="26" t="str">
        <f>VLOOKUP($B26,'Выгр Торг'!$B:$Q,F$1,0)</f>
        <v>1</v>
      </c>
      <c r="G26" s="26">
        <f>VLOOKUP($B26,'Выгр Торг'!$B:$Q,G$1,0)</f>
        <v>0</v>
      </c>
      <c r="H26" s="2" t="s">
        <v>3</v>
      </c>
      <c r="I26" s="34">
        <v>152907</v>
      </c>
      <c r="J26" s="42">
        <f>INDEX($J:$J,MATCH($I26,$B:$B,0))</f>
        <v>450</v>
      </c>
      <c r="K26" s="43">
        <f>INDEX($K:$K,MATCH($I26,$B:$B,0))+$J26</f>
        <v>6950</v>
      </c>
      <c r="L26" s="5">
        <f>VLOOKUP(K26,Наценка!$A$1:$G$8,2,1)</f>
        <v>1.31</v>
      </c>
      <c r="M26" s="43">
        <f>INDEX($M:$M,MATCH($I26,$B:$B,0))+$J26*$M$2</f>
        <v>9499.5</v>
      </c>
      <c r="N26" s="39">
        <f t="shared" si="2"/>
        <v>9490</v>
      </c>
      <c r="O26" s="40">
        <f>VLOOKUP($B26,'Выгр Торг'!$B:$Q,O$1,0)</f>
        <v>6950</v>
      </c>
      <c r="P26" s="40">
        <f>VLOOKUP($B26,'Выгр Торг'!$B:$Q,P$1,0)</f>
        <v>9490</v>
      </c>
      <c r="Q26" s="28">
        <f t="shared" si="3"/>
        <v>0</v>
      </c>
      <c r="R26" s="28">
        <f t="shared" si="4"/>
        <v>0</v>
      </c>
      <c r="S26" s="36">
        <f t="shared" si="5"/>
        <v>8825.6999999999989</v>
      </c>
      <c r="T26" s="38">
        <f>IFERROR((VLOOKUP($B26,'Из Гугла'!$B:$G,6,0)+V26)*U26,VLOOKUP($B26,'Из Гугла'!$B:$G,6,0))</f>
        <v>9090</v>
      </c>
      <c r="U26" s="38">
        <v>1</v>
      </c>
      <c r="V26" s="38">
        <v>600</v>
      </c>
      <c r="W26" s="22">
        <f t="shared" si="6"/>
        <v>0.26988489208633082</v>
      </c>
      <c r="X26" s="22">
        <f t="shared" si="7"/>
        <v>2.9075907590759197E-2</v>
      </c>
      <c r="Y26" s="22">
        <f t="shared" si="8"/>
        <v>0.30791366906474815</v>
      </c>
      <c r="Z26" s="52">
        <f>INDEX($Z:$Z,MATCH(I26,$B:$B,0))+V26</f>
        <v>9090</v>
      </c>
      <c r="AA26" t="s">
        <v>1350</v>
      </c>
    </row>
    <row r="27" spans="1:27" ht="60" x14ac:dyDescent="0.25">
      <c r="A27" s="23" t="str">
        <f>INDEX('Выгр Торг'!$A:$A,MATCH(B27,'Выгр Торг'!$B:$B,0))</f>
        <v>Зеркала "МЕРСЕДЕС" с электрикой и обогревом для Лада Нива 4x4, Нива 4x4 Урбан</v>
      </c>
      <c r="B27" s="26">
        <v>152913</v>
      </c>
      <c r="C27" s="26">
        <f>VLOOKUP($B27,'Выгр Торг'!$B:$Q,C$1,0)</f>
        <v>89101</v>
      </c>
      <c r="D27" s="25" t="str">
        <f>VLOOKUP($B27,'Выгр Торг'!$B:$Q,D$1,0)</f>
        <v>Зеркала "МЕРСЕДЕС" с электрикой и обогревом для Лада Нива 4x4, Нива 4x4 Урбан (В цвет, Карма (темно-фиолетовый, 114))</v>
      </c>
      <c r="E27" s="26" t="str">
        <f>VLOOKUP($B27,'Выгр Торг'!$B:$Q,E$1,0)</f>
        <v>Y</v>
      </c>
      <c r="F27" s="26" t="str">
        <f>VLOOKUP($B27,'Выгр Торг'!$B:$Q,F$1,0)</f>
        <v>1</v>
      </c>
      <c r="G27" s="26">
        <f>VLOOKUP($B27,'Выгр Торг'!$B:$Q,G$1,0)</f>
        <v>0</v>
      </c>
      <c r="H27" s="2" t="s">
        <v>3</v>
      </c>
      <c r="I27" s="34">
        <v>152907</v>
      </c>
      <c r="J27" s="42">
        <f>INDEX($J:$J,MATCH($I27,$B:$B,0))</f>
        <v>450</v>
      </c>
      <c r="K27" s="43">
        <f>INDEX($K:$K,MATCH($I27,$B:$B,0))+$J27</f>
        <v>6950</v>
      </c>
      <c r="L27" s="5">
        <f>VLOOKUP(K27,Наценка!$A$1:$G$8,2,1)</f>
        <v>1.31</v>
      </c>
      <c r="M27" s="43">
        <f>INDEX($M:$M,MATCH($I27,$B:$B,0))+$J27*$M$2</f>
        <v>9499.5</v>
      </c>
      <c r="N27" s="39">
        <f t="shared" si="2"/>
        <v>9490</v>
      </c>
      <c r="O27" s="40">
        <f>VLOOKUP($B27,'Выгр Торг'!$B:$Q,O$1,0)</f>
        <v>6950</v>
      </c>
      <c r="P27" s="40">
        <f>VLOOKUP($B27,'Выгр Торг'!$B:$Q,P$1,0)</f>
        <v>9490</v>
      </c>
      <c r="Q27" s="28">
        <f t="shared" si="3"/>
        <v>0</v>
      </c>
      <c r="R27" s="28">
        <f t="shared" si="4"/>
        <v>0</v>
      </c>
      <c r="S27" s="36">
        <f t="shared" si="5"/>
        <v>8825.6999999999989</v>
      </c>
      <c r="T27" s="38">
        <f>IFERROR((VLOOKUP($B27,'Из Гугла'!$B:$G,6,0)+V27)*U27,VLOOKUP($B27,'Из Гугла'!$B:$G,6,0))</f>
        <v>9090</v>
      </c>
      <c r="U27" s="38">
        <v>1</v>
      </c>
      <c r="V27" s="38">
        <v>600</v>
      </c>
      <c r="W27" s="22">
        <f t="shared" si="6"/>
        <v>0.26988489208633082</v>
      </c>
      <c r="X27" s="22">
        <f t="shared" si="7"/>
        <v>2.9075907590759197E-2</v>
      </c>
      <c r="Y27" s="22">
        <f t="shared" si="8"/>
        <v>0.30791366906474815</v>
      </c>
      <c r="Z27" s="52">
        <f>INDEX($Z:$Z,MATCH(I27,$B:$B,0))+V27</f>
        <v>9090</v>
      </c>
      <c r="AA27" t="s">
        <v>1350</v>
      </c>
    </row>
    <row r="28" spans="1:27" ht="60" x14ac:dyDescent="0.25">
      <c r="A28" s="23" t="str">
        <f>INDEX('Выгр Торг'!$A:$A,MATCH(B28,'Выгр Торг'!$B:$B,0))</f>
        <v>Зеркала "МЕРСЕДЕС" с электрикой и обогревом для Лада Нива 4x4, Нива 4x4 Урбан</v>
      </c>
      <c r="B28" s="26">
        <v>152914</v>
      </c>
      <c r="C28" s="26">
        <f>VLOOKUP($B28,'Выгр Торг'!$B:$Q,C$1,0)</f>
        <v>89102</v>
      </c>
      <c r="D28" s="25" t="str">
        <f>VLOOKUP($B28,'Выгр Торг'!$B:$Q,D$1,0)</f>
        <v>Зеркала "МЕРСЕДЕС" с электрикой и обогревом для Лада Нива 4x4, Нива 4x4 Урбан (В цвет, Мурена (сине-зеленый, 377))</v>
      </c>
      <c r="E28" s="26" t="str">
        <f>VLOOKUP($B28,'Выгр Торг'!$B:$Q,E$1,0)</f>
        <v>Y</v>
      </c>
      <c r="F28" s="26" t="str">
        <f>VLOOKUP($B28,'Выгр Торг'!$B:$Q,F$1,0)</f>
        <v>1</v>
      </c>
      <c r="G28" s="26">
        <f>VLOOKUP($B28,'Выгр Торг'!$B:$Q,G$1,0)</f>
        <v>0</v>
      </c>
      <c r="H28" s="2" t="s">
        <v>3</v>
      </c>
      <c r="I28" s="34">
        <v>152907</v>
      </c>
      <c r="J28" s="42">
        <f>INDEX($J:$J,MATCH($I28,$B:$B,0))</f>
        <v>450</v>
      </c>
      <c r="K28" s="43">
        <f>INDEX($K:$K,MATCH($I28,$B:$B,0))+$J28</f>
        <v>6950</v>
      </c>
      <c r="L28" s="5">
        <f>VLOOKUP(K28,Наценка!$A$1:$G$8,2,1)</f>
        <v>1.31</v>
      </c>
      <c r="M28" s="43">
        <f>INDEX($M:$M,MATCH($I28,$B:$B,0))+$J28*$M$2</f>
        <v>9499.5</v>
      </c>
      <c r="N28" s="39">
        <f t="shared" si="2"/>
        <v>9490</v>
      </c>
      <c r="O28" s="40">
        <f>VLOOKUP($B28,'Выгр Торг'!$B:$Q,O$1,0)</f>
        <v>6950</v>
      </c>
      <c r="P28" s="40">
        <f>VLOOKUP($B28,'Выгр Торг'!$B:$Q,P$1,0)</f>
        <v>9490</v>
      </c>
      <c r="Q28" s="28">
        <f t="shared" si="3"/>
        <v>0</v>
      </c>
      <c r="R28" s="28">
        <f t="shared" si="4"/>
        <v>0</v>
      </c>
      <c r="S28" s="36">
        <f t="shared" si="5"/>
        <v>8825.6999999999989</v>
      </c>
      <c r="T28" s="38">
        <f>IFERROR((VLOOKUP($B28,'Из Гугла'!$B:$G,6,0)+V28)*U28,VLOOKUP($B28,'Из Гугла'!$B:$G,6,0))</f>
        <v>9090</v>
      </c>
      <c r="U28" s="38">
        <v>1</v>
      </c>
      <c r="V28" s="38">
        <v>600</v>
      </c>
      <c r="W28" s="22">
        <f t="shared" si="6"/>
        <v>0.26988489208633082</v>
      </c>
      <c r="X28" s="22">
        <f t="shared" si="7"/>
        <v>2.9075907590759197E-2</v>
      </c>
      <c r="Y28" s="22">
        <f t="shared" si="8"/>
        <v>0.30791366906474815</v>
      </c>
      <c r="Z28" s="52">
        <f>INDEX($Z:$Z,MATCH(I28,$B:$B,0))+V28</f>
        <v>9090</v>
      </c>
      <c r="AA28" t="s">
        <v>1350</v>
      </c>
    </row>
    <row r="29" spans="1:27" ht="60" x14ac:dyDescent="0.25">
      <c r="A29" s="23" t="str">
        <f>INDEX('Выгр Торг'!$A:$A,MATCH(B29,'Выгр Торг'!$B:$B,0))</f>
        <v>Зеркала "МЕРСЕДЕС" с электрикой и обогревом для Лада Нива 4x4, Нива 4x4 Урбан</v>
      </c>
      <c r="B29" s="26">
        <v>152915</v>
      </c>
      <c r="C29" s="26">
        <f>VLOOKUP($B29,'Выгр Торг'!$B:$Q,C$1,0)</f>
        <v>89103</v>
      </c>
      <c r="D29" s="25" t="str">
        <f>VLOOKUP($B29,'Выгр Торг'!$B:$Q,D$1,0)</f>
        <v>Зеркала "МЕРСЕДЕС" с электрикой и обогревом для Лада Нива 4x4, Нива 4x4 Урбан (В цвет, Несси (темно-зеленый, 368))</v>
      </c>
      <c r="E29" s="26" t="str">
        <f>VLOOKUP($B29,'Выгр Торг'!$B:$Q,E$1,0)</f>
        <v>Y</v>
      </c>
      <c r="F29" s="26" t="str">
        <f>VLOOKUP($B29,'Выгр Торг'!$B:$Q,F$1,0)</f>
        <v>1</v>
      </c>
      <c r="G29" s="26">
        <f>VLOOKUP($B29,'Выгр Торг'!$B:$Q,G$1,0)</f>
        <v>0</v>
      </c>
      <c r="H29" s="2" t="s">
        <v>3</v>
      </c>
      <c r="I29" s="34">
        <v>152907</v>
      </c>
      <c r="J29" s="42">
        <f>INDEX($J:$J,MATCH($I29,$B:$B,0))</f>
        <v>450</v>
      </c>
      <c r="K29" s="43">
        <f>INDEX($K:$K,MATCH($I29,$B:$B,0))+$J29</f>
        <v>6950</v>
      </c>
      <c r="L29" s="5">
        <f>VLOOKUP(K29,Наценка!$A$1:$G$8,2,1)</f>
        <v>1.31</v>
      </c>
      <c r="M29" s="43">
        <f>INDEX($M:$M,MATCH($I29,$B:$B,0))+$J29*$M$2</f>
        <v>9499.5</v>
      </c>
      <c r="N29" s="39">
        <f t="shared" si="2"/>
        <v>9490</v>
      </c>
      <c r="O29" s="40">
        <f>VLOOKUP($B29,'Выгр Торг'!$B:$Q,O$1,0)</f>
        <v>6950</v>
      </c>
      <c r="P29" s="40">
        <f>VLOOKUP($B29,'Выгр Торг'!$B:$Q,P$1,0)</f>
        <v>9490</v>
      </c>
      <c r="Q29" s="28">
        <f t="shared" si="3"/>
        <v>0</v>
      </c>
      <c r="R29" s="28">
        <f t="shared" si="4"/>
        <v>0</v>
      </c>
      <c r="S29" s="36">
        <f t="shared" si="5"/>
        <v>8825.6999999999989</v>
      </c>
      <c r="T29" s="38">
        <f>IFERROR((VLOOKUP($B29,'Из Гугла'!$B:$G,6,0)+V29)*U29,VLOOKUP($B29,'Из Гугла'!$B:$G,6,0))</f>
        <v>9090</v>
      </c>
      <c r="U29" s="38">
        <v>1</v>
      </c>
      <c r="V29" s="38">
        <v>600</v>
      </c>
      <c r="W29" s="22">
        <f t="shared" si="6"/>
        <v>0.26988489208633082</v>
      </c>
      <c r="X29" s="22">
        <f t="shared" si="7"/>
        <v>2.9075907590759197E-2</v>
      </c>
      <c r="Y29" s="22">
        <f t="shared" si="8"/>
        <v>0.30791366906474815</v>
      </c>
      <c r="Z29" s="52">
        <f>INDEX($Z:$Z,MATCH(I29,$B:$B,0))+V29</f>
        <v>9090</v>
      </c>
      <c r="AA29" t="s">
        <v>1350</v>
      </c>
    </row>
    <row r="30" spans="1:27" ht="60" x14ac:dyDescent="0.25">
      <c r="A30" s="23" t="str">
        <f>INDEX('Выгр Торг'!$A:$A,MATCH(B30,'Выгр Торг'!$B:$B,0))</f>
        <v>Зеркала "МЕРСЕДЕС" с электрикой и обогревом для Лада Нива 4x4, Нива 4x4 Урбан</v>
      </c>
      <c r="B30" s="26">
        <v>152916</v>
      </c>
      <c r="C30" s="26">
        <f>VLOOKUP($B30,'Выгр Торг'!$B:$Q,C$1,0)</f>
        <v>89104</v>
      </c>
      <c r="D30" s="25" t="str">
        <f>VLOOKUP($B30,'Выгр Торг'!$B:$Q,D$1,0)</f>
        <v>Зеркала "МЕРСЕДЕС" с электрикой и обогревом для Лада Нива 4x4, Нива 4x4 Урбан (В цвет, Океан (темно-синий, 449))</v>
      </c>
      <c r="E30" s="26" t="str">
        <f>VLOOKUP($B30,'Выгр Торг'!$B:$Q,E$1,0)</f>
        <v>Y</v>
      </c>
      <c r="F30" s="26" t="str">
        <f>VLOOKUP($B30,'Выгр Торг'!$B:$Q,F$1,0)</f>
        <v>1</v>
      </c>
      <c r="G30" s="26">
        <f>VLOOKUP($B30,'Выгр Торг'!$B:$Q,G$1,0)</f>
        <v>0</v>
      </c>
      <c r="H30" s="2" t="s">
        <v>3</v>
      </c>
      <c r="I30" s="34">
        <v>152907</v>
      </c>
      <c r="J30" s="42">
        <f>INDEX($J:$J,MATCH($I30,$B:$B,0))</f>
        <v>450</v>
      </c>
      <c r="K30" s="43">
        <f>INDEX($K:$K,MATCH($I30,$B:$B,0))+$J30</f>
        <v>6950</v>
      </c>
      <c r="L30" s="5">
        <f>VLOOKUP(K30,Наценка!$A$1:$G$8,2,1)</f>
        <v>1.31</v>
      </c>
      <c r="M30" s="43">
        <f>INDEX($M:$M,MATCH($I30,$B:$B,0))+$J30*$M$2</f>
        <v>9499.5</v>
      </c>
      <c r="N30" s="39">
        <f t="shared" si="2"/>
        <v>9490</v>
      </c>
      <c r="O30" s="40">
        <f>VLOOKUP($B30,'Выгр Торг'!$B:$Q,O$1,0)</f>
        <v>6950</v>
      </c>
      <c r="P30" s="40">
        <f>VLOOKUP($B30,'Выгр Торг'!$B:$Q,P$1,0)</f>
        <v>9490</v>
      </c>
      <c r="Q30" s="28">
        <f t="shared" si="3"/>
        <v>0</v>
      </c>
      <c r="R30" s="28">
        <f t="shared" si="4"/>
        <v>0</v>
      </c>
      <c r="S30" s="36">
        <f t="shared" si="5"/>
        <v>8825.6999999999989</v>
      </c>
      <c r="T30" s="38">
        <f>IFERROR((VLOOKUP($B30,'Из Гугла'!$B:$G,6,0)+V30)*U30,VLOOKUP($B30,'Из Гугла'!$B:$G,6,0))</f>
        <v>9090</v>
      </c>
      <c r="U30" s="38">
        <v>1</v>
      </c>
      <c r="V30" s="38">
        <v>600</v>
      </c>
      <c r="W30" s="22">
        <f t="shared" si="6"/>
        <v>0.26988489208633082</v>
      </c>
      <c r="X30" s="22">
        <f t="shared" si="7"/>
        <v>2.9075907590759197E-2</v>
      </c>
      <c r="Y30" s="22">
        <f t="shared" si="8"/>
        <v>0.30791366906474815</v>
      </c>
      <c r="Z30" s="52">
        <f>INDEX($Z:$Z,MATCH(I30,$B:$B,0))+V30</f>
        <v>9090</v>
      </c>
      <c r="AA30" t="s">
        <v>1350</v>
      </c>
    </row>
    <row r="31" spans="1:27" ht="60" x14ac:dyDescent="0.25">
      <c r="A31" s="23" t="str">
        <f>INDEX('Выгр Торг'!$A:$A,MATCH(B31,'Выгр Торг'!$B:$B,0))</f>
        <v>Зеркала "МЕРСЕДЕС" с электрикой и обогревом для Лада Нива 4x4, Нива 4x4 Урбан</v>
      </c>
      <c r="B31" s="26">
        <v>152917</v>
      </c>
      <c r="C31" s="26">
        <f>VLOOKUP($B31,'Выгр Торг'!$B:$Q,C$1,0)</f>
        <v>89105</v>
      </c>
      <c r="D31" s="25" t="str">
        <f>VLOOKUP($B31,'Выгр Торг'!$B:$Q,D$1,0)</f>
        <v>Зеркала "МЕРСЕДЕС" с электрикой и обогревом для Лада Нива 4x4, Нива 4x4 Урбан (В цвет, Пантера (черная база, 672))</v>
      </c>
      <c r="E31" s="26" t="str">
        <f>VLOOKUP($B31,'Выгр Торг'!$B:$Q,E$1,0)</f>
        <v>Y</v>
      </c>
      <c r="F31" s="26" t="str">
        <f>VLOOKUP($B31,'Выгр Торг'!$B:$Q,F$1,0)</f>
        <v>1</v>
      </c>
      <c r="G31" s="26">
        <f>VLOOKUP($B31,'Выгр Торг'!$B:$Q,G$1,0)</f>
        <v>0</v>
      </c>
      <c r="H31" s="2" t="s">
        <v>3</v>
      </c>
      <c r="I31" s="34">
        <v>152907</v>
      </c>
      <c r="J31" s="42">
        <f>INDEX($J:$J,MATCH($I31,$B:$B,0))</f>
        <v>450</v>
      </c>
      <c r="K31" s="43">
        <f>INDEX($K:$K,MATCH($I31,$B:$B,0))+$J31</f>
        <v>6950</v>
      </c>
      <c r="L31" s="5">
        <f>VLOOKUP(K31,Наценка!$A$1:$G$8,2,1)</f>
        <v>1.31</v>
      </c>
      <c r="M31" s="43">
        <f>INDEX($M:$M,MATCH($I31,$B:$B,0))+$J31*$M$2</f>
        <v>9499.5</v>
      </c>
      <c r="N31" s="39">
        <f t="shared" si="2"/>
        <v>9490</v>
      </c>
      <c r="O31" s="40">
        <f>VLOOKUP($B31,'Выгр Торг'!$B:$Q,O$1,0)</f>
        <v>6950</v>
      </c>
      <c r="P31" s="40">
        <f>VLOOKUP($B31,'Выгр Торг'!$B:$Q,P$1,0)</f>
        <v>9490</v>
      </c>
      <c r="Q31" s="28">
        <f t="shared" si="3"/>
        <v>0</v>
      </c>
      <c r="R31" s="28">
        <f t="shared" si="4"/>
        <v>0</v>
      </c>
      <c r="S31" s="36">
        <f t="shared" si="5"/>
        <v>8825.6999999999989</v>
      </c>
      <c r="T31" s="38">
        <f>IFERROR((VLOOKUP($B31,'Из Гугла'!$B:$G,6,0)+V31)*U31,VLOOKUP($B31,'Из Гугла'!$B:$G,6,0))</f>
        <v>9090</v>
      </c>
      <c r="U31" s="38">
        <v>1</v>
      </c>
      <c r="V31" s="38">
        <v>600</v>
      </c>
      <c r="W31" s="22">
        <f t="shared" si="6"/>
        <v>0.26988489208633082</v>
      </c>
      <c r="X31" s="22">
        <f t="shared" si="7"/>
        <v>2.9075907590759197E-2</v>
      </c>
      <c r="Y31" s="22">
        <f t="shared" si="8"/>
        <v>0.30791366906474815</v>
      </c>
      <c r="Z31" s="52">
        <f>INDEX($Z:$Z,MATCH(I31,$B:$B,0))+V31</f>
        <v>9090</v>
      </c>
      <c r="AA31" t="s">
        <v>1350</v>
      </c>
    </row>
    <row r="32" spans="1:27" ht="60" x14ac:dyDescent="0.25">
      <c r="A32" s="23" t="str">
        <f>INDEX('Выгр Торг'!$A:$A,MATCH(B32,'Выгр Торг'!$B:$B,0))</f>
        <v>Зеркала "МЕРСЕДЕС" с электрикой и обогревом для Лада Нива 4x4, Нива 4x4 Урбан</v>
      </c>
      <c r="B32" s="26">
        <v>152918</v>
      </c>
      <c r="C32" s="26">
        <f>VLOOKUP($B32,'Выгр Торг'!$B:$Q,C$1,0)</f>
        <v>89106</v>
      </c>
      <c r="D32" s="25" t="str">
        <f>VLOOKUP($B32,'Выгр Торг'!$B:$Q,D$1,0)</f>
        <v>Зеркала "МЕРСЕДЕС" с электрикой и обогревом для Лада Нива 4x4, Нива 4x4 Урбан (В цвет, Сити (золотисто-коричневый, 231))</v>
      </c>
      <c r="E32" s="26" t="str">
        <f>VLOOKUP($B32,'Выгр Торг'!$B:$Q,E$1,0)</f>
        <v>Y</v>
      </c>
      <c r="F32" s="26" t="str">
        <f>VLOOKUP($B32,'Выгр Торг'!$B:$Q,F$1,0)</f>
        <v>1</v>
      </c>
      <c r="G32" s="26">
        <f>VLOOKUP($B32,'Выгр Торг'!$B:$Q,G$1,0)</f>
        <v>0</v>
      </c>
      <c r="H32" s="2" t="s">
        <v>3</v>
      </c>
      <c r="I32" s="34">
        <v>152907</v>
      </c>
      <c r="J32" s="42">
        <f>INDEX($J:$J,MATCH($I32,$B:$B,0))</f>
        <v>450</v>
      </c>
      <c r="K32" s="43">
        <f>INDEX($K:$K,MATCH($I32,$B:$B,0))+$J32</f>
        <v>6950</v>
      </c>
      <c r="L32" s="5">
        <f>VLOOKUP(K32,Наценка!$A$1:$G$8,2,1)</f>
        <v>1.31</v>
      </c>
      <c r="M32" s="43">
        <f>INDEX($M:$M,MATCH($I32,$B:$B,0))+$J32*$M$2</f>
        <v>9499.5</v>
      </c>
      <c r="N32" s="39">
        <f t="shared" si="2"/>
        <v>9490</v>
      </c>
      <c r="O32" s="40">
        <f>VLOOKUP($B32,'Выгр Торг'!$B:$Q,O$1,0)</f>
        <v>6950</v>
      </c>
      <c r="P32" s="40">
        <f>VLOOKUP($B32,'Выгр Торг'!$B:$Q,P$1,0)</f>
        <v>9490</v>
      </c>
      <c r="Q32" s="28">
        <f t="shared" si="3"/>
        <v>0</v>
      </c>
      <c r="R32" s="28">
        <f t="shared" si="4"/>
        <v>0</v>
      </c>
      <c r="S32" s="36">
        <f t="shared" si="5"/>
        <v>8825.6999999999989</v>
      </c>
      <c r="T32" s="38">
        <f>IFERROR((VLOOKUP($B32,'Из Гугла'!$B:$G,6,0)+V32)*U32,VLOOKUP($B32,'Из Гугла'!$B:$G,6,0))</f>
        <v>9090</v>
      </c>
      <c r="U32" s="38">
        <v>1</v>
      </c>
      <c r="V32" s="38">
        <v>600</v>
      </c>
      <c r="W32" s="22">
        <f t="shared" si="6"/>
        <v>0.26988489208633082</v>
      </c>
      <c r="X32" s="22">
        <f t="shared" si="7"/>
        <v>2.9075907590759197E-2</v>
      </c>
      <c r="Y32" s="22">
        <f t="shared" si="8"/>
        <v>0.30791366906474815</v>
      </c>
      <c r="Z32" s="52">
        <f>INDEX($Z:$Z,MATCH(I32,$B:$B,0))+V32</f>
        <v>9090</v>
      </c>
      <c r="AA32" t="s">
        <v>1350</v>
      </c>
    </row>
    <row r="33" spans="1:27" ht="60" x14ac:dyDescent="0.25">
      <c r="A33" s="23" t="str">
        <f>INDEX('Выгр Торг'!$A:$A,MATCH(B33,'Выгр Торг'!$B:$B,0))</f>
        <v>Зеркала "МЕРСЕДЕС" с электрикой и обогревом для Лада Нива 4x4, Нива 4x4 Урбан</v>
      </c>
      <c r="B33" s="26">
        <v>152919</v>
      </c>
      <c r="C33" s="26">
        <f>VLOOKUP($B33,'Выгр Торг'!$B:$Q,C$1,0)</f>
        <v>89107</v>
      </c>
      <c r="D33" s="25" t="str">
        <f>VLOOKUP($B33,'Выгр Торг'!$B:$Q,D$1,0)</f>
        <v>Зеркала "МЕРСЕДЕС" с электрикой и обогревом для Лада Нива 4x4, Нива 4x4 Урбан (В цвет, Терра (коричневый, 507))</v>
      </c>
      <c r="E33" s="26" t="str">
        <f>VLOOKUP($B33,'Выгр Торг'!$B:$Q,E$1,0)</f>
        <v>Y</v>
      </c>
      <c r="F33" s="26" t="str">
        <f>VLOOKUP($B33,'Выгр Торг'!$B:$Q,F$1,0)</f>
        <v>1</v>
      </c>
      <c r="G33" s="26">
        <f>VLOOKUP($B33,'Выгр Торг'!$B:$Q,G$1,0)</f>
        <v>0</v>
      </c>
      <c r="H33" s="2" t="s">
        <v>3</v>
      </c>
      <c r="I33" s="34">
        <v>152907</v>
      </c>
      <c r="J33" s="42">
        <f>INDEX($J:$J,MATCH($I33,$B:$B,0))</f>
        <v>450</v>
      </c>
      <c r="K33" s="43">
        <f>INDEX($K:$K,MATCH($I33,$B:$B,0))+$J33</f>
        <v>6950</v>
      </c>
      <c r="L33" s="5">
        <f>VLOOKUP(K33,Наценка!$A$1:$G$8,2,1)</f>
        <v>1.31</v>
      </c>
      <c r="M33" s="43">
        <f>INDEX($M:$M,MATCH($I33,$B:$B,0))+$J33*$M$2</f>
        <v>9499.5</v>
      </c>
      <c r="N33" s="39">
        <f t="shared" si="2"/>
        <v>9490</v>
      </c>
      <c r="O33" s="40">
        <f>VLOOKUP($B33,'Выгр Торг'!$B:$Q,O$1,0)</f>
        <v>6950</v>
      </c>
      <c r="P33" s="40">
        <f>VLOOKUP($B33,'Выгр Торг'!$B:$Q,P$1,0)</f>
        <v>9490</v>
      </c>
      <c r="Q33" s="28">
        <f t="shared" si="3"/>
        <v>0</v>
      </c>
      <c r="R33" s="28">
        <f t="shared" si="4"/>
        <v>0</v>
      </c>
      <c r="S33" s="36">
        <f t="shared" si="5"/>
        <v>8825.6999999999989</v>
      </c>
      <c r="T33" s="38">
        <f>IFERROR((VLOOKUP($B33,'Из Гугла'!$B:$G,6,0)+V33)*U33,VLOOKUP($B33,'Из Гугла'!$B:$G,6,0))</f>
        <v>9090</v>
      </c>
      <c r="U33" s="38">
        <v>1</v>
      </c>
      <c r="V33" s="38">
        <v>600</v>
      </c>
      <c r="W33" s="22">
        <f t="shared" si="6"/>
        <v>0.26988489208633082</v>
      </c>
      <c r="X33" s="22">
        <f t="shared" si="7"/>
        <v>2.9075907590759197E-2</v>
      </c>
      <c r="Y33" s="22">
        <f t="shared" si="8"/>
        <v>0.30791366906474815</v>
      </c>
      <c r="Z33" s="52">
        <f>INDEX($Z:$Z,MATCH(I33,$B:$B,0))+V33</f>
        <v>9090</v>
      </c>
      <c r="AA33" t="s">
        <v>1350</v>
      </c>
    </row>
    <row r="34" spans="1:27" ht="60" x14ac:dyDescent="0.25">
      <c r="A34" s="23" t="str">
        <f>INDEX('Выгр Торг'!$A:$A,MATCH(B34,'Выгр Торг'!$B:$B,0))</f>
        <v>Зеркала "МЕРСЕДЕС" с электрикой и обогревом для Лада Нива 4x4, Нива 4x4 Урбан</v>
      </c>
      <c r="B34" s="26">
        <v>152920</v>
      </c>
      <c r="C34" s="26">
        <f>VLOOKUP($B34,'Выгр Торг'!$B:$Q,C$1,0)</f>
        <v>69576</v>
      </c>
      <c r="D34" s="25" t="str">
        <f>VLOOKUP($B34,'Выгр Торг'!$B:$Q,D$1,0)</f>
        <v>Зеркала "МЕРСЕДЕС" с электрикой и обогревом для Лада Нива 4x4, Нива 4x4 Урбан (В цвет, Уточнить у менеджера)</v>
      </c>
      <c r="E34" s="26" t="str">
        <f>VLOOKUP($B34,'Выгр Торг'!$B:$Q,E$1,0)</f>
        <v>Y</v>
      </c>
      <c r="F34" s="26" t="str">
        <f>VLOOKUP($B34,'Выгр Торг'!$B:$Q,F$1,0)</f>
        <v>1</v>
      </c>
      <c r="G34" s="26">
        <f>VLOOKUP($B34,'Выгр Торг'!$B:$Q,G$1,0)</f>
        <v>0</v>
      </c>
      <c r="H34" s="2" t="s">
        <v>3</v>
      </c>
      <c r="I34" s="34">
        <v>152907</v>
      </c>
      <c r="J34" s="42">
        <f>INDEX($J:$J,MATCH($I34,$B:$B,0))</f>
        <v>450</v>
      </c>
      <c r="K34" s="43">
        <f>INDEX($K:$K,MATCH($I34,$B:$B,0))+$J34</f>
        <v>6950</v>
      </c>
      <c r="L34" s="5">
        <f>VLOOKUP(K34,Наценка!$A$1:$G$8,2,1)</f>
        <v>1.31</v>
      </c>
      <c r="M34" s="43">
        <f>INDEX($M:$M,MATCH($I34,$B:$B,0))+$J34*$M$2</f>
        <v>9499.5</v>
      </c>
      <c r="N34" s="39">
        <f t="shared" si="2"/>
        <v>9490</v>
      </c>
      <c r="O34" s="40">
        <f>VLOOKUP($B34,'Выгр Торг'!$B:$Q,O$1,0)</f>
        <v>6950</v>
      </c>
      <c r="P34" s="40">
        <f>VLOOKUP($B34,'Выгр Торг'!$B:$Q,P$1,0)</f>
        <v>9490</v>
      </c>
      <c r="Q34" s="28">
        <f t="shared" si="3"/>
        <v>0</v>
      </c>
      <c r="R34" s="28">
        <f t="shared" si="4"/>
        <v>0</v>
      </c>
      <c r="S34" s="36">
        <f t="shared" si="5"/>
        <v>8825.6999999999989</v>
      </c>
      <c r="T34" s="38">
        <f>IFERROR((VLOOKUP($B34,'Из Гугла'!$B:$G,6,0)+V34)*U34,VLOOKUP($B34,'Из Гугла'!$B:$G,6,0))</f>
        <v>9090</v>
      </c>
      <c r="U34" s="38">
        <v>1</v>
      </c>
      <c r="V34" s="38">
        <v>600</v>
      </c>
      <c r="W34" s="22">
        <f t="shared" si="6"/>
        <v>0.26988489208633082</v>
      </c>
      <c r="X34" s="22">
        <f t="shared" si="7"/>
        <v>2.9075907590759197E-2</v>
      </c>
      <c r="Y34" s="22">
        <f t="shared" si="8"/>
        <v>0.30791366906474815</v>
      </c>
      <c r="Z34" s="52">
        <f>INDEX($Z:$Z,MATCH(I34,$B:$B,0))+V34</f>
        <v>9090</v>
      </c>
      <c r="AA34" t="s">
        <v>1350</v>
      </c>
    </row>
    <row r="35" spans="1:27" ht="60" x14ac:dyDescent="0.25">
      <c r="A35" s="23" t="str">
        <f>INDEX('Выгр Торг'!$A:$A,MATCH(B35,'Выгр Торг'!$B:$B,0))</f>
        <v>Зеркала "МЕРСЕДЕС" с электрикой и обогревом для Лада Нива 4x4, Нива 4x4 Урбан</v>
      </c>
      <c r="B35" s="26">
        <v>152921</v>
      </c>
      <c r="C35" s="26">
        <f>VLOOKUP($B35,'Выгр Торг'!$B:$Q,C$1,0)</f>
        <v>89108</v>
      </c>
      <c r="D35" s="25" t="str">
        <f>VLOOKUP($B35,'Выгр Торг'!$B:$Q,D$1,0)</f>
        <v>Зеркала "МЕРСЕДЕС" с электрикой и обогревом для Лада Нива 4x4, Нива 4x4 Урбан (В цвет, Яшма (темно-вишневый, 140))</v>
      </c>
      <c r="E35" s="26" t="str">
        <f>VLOOKUP($B35,'Выгр Торг'!$B:$Q,E$1,0)</f>
        <v>Y</v>
      </c>
      <c r="F35" s="26" t="str">
        <f>VLOOKUP($B35,'Выгр Торг'!$B:$Q,F$1,0)</f>
        <v>1</v>
      </c>
      <c r="G35" s="26">
        <f>VLOOKUP($B35,'Выгр Торг'!$B:$Q,G$1,0)</f>
        <v>0</v>
      </c>
      <c r="H35" s="2" t="s">
        <v>3</v>
      </c>
      <c r="I35" s="34">
        <v>152907</v>
      </c>
      <c r="J35" s="42">
        <f>INDEX($J:$J,MATCH($I35,$B:$B,0))</f>
        <v>450</v>
      </c>
      <c r="K35" s="43">
        <f>INDEX($K:$K,MATCH($I35,$B:$B,0))+$J35</f>
        <v>6950</v>
      </c>
      <c r="L35" s="5">
        <f>VLOOKUP(K35,Наценка!$A$1:$G$8,2,1)</f>
        <v>1.31</v>
      </c>
      <c r="M35" s="43">
        <f>INDEX($M:$M,MATCH($I35,$B:$B,0))+$J35*$M$2</f>
        <v>9499.5</v>
      </c>
      <c r="N35" s="39">
        <f t="shared" si="2"/>
        <v>9490</v>
      </c>
      <c r="O35" s="40">
        <f>VLOOKUP($B35,'Выгр Торг'!$B:$Q,O$1,0)</f>
        <v>6950</v>
      </c>
      <c r="P35" s="40">
        <f>VLOOKUP($B35,'Выгр Торг'!$B:$Q,P$1,0)</f>
        <v>9490</v>
      </c>
      <c r="Q35" s="28">
        <f t="shared" si="3"/>
        <v>0</v>
      </c>
      <c r="R35" s="28">
        <f t="shared" si="4"/>
        <v>0</v>
      </c>
      <c r="S35" s="36">
        <f t="shared" si="5"/>
        <v>8825.6999999999989</v>
      </c>
      <c r="T35" s="38">
        <f>IFERROR((VLOOKUP($B35,'Из Гугла'!$B:$G,6,0)+V35)*U35,VLOOKUP($B35,'Из Гугла'!$B:$G,6,0))</f>
        <v>9090</v>
      </c>
      <c r="U35" s="38">
        <v>1</v>
      </c>
      <c r="V35" s="38">
        <v>600</v>
      </c>
      <c r="W35" s="22">
        <f t="shared" si="6"/>
        <v>0.26988489208633082</v>
      </c>
      <c r="X35" s="22">
        <f t="shared" si="7"/>
        <v>2.9075907590759197E-2</v>
      </c>
      <c r="Y35" s="22">
        <f t="shared" si="8"/>
        <v>0.30791366906474815</v>
      </c>
      <c r="Z35" s="52">
        <f>INDEX($Z:$Z,MATCH(I35,$B:$B,0))+V35</f>
        <v>9090</v>
      </c>
      <c r="AA35" t="s">
        <v>1350</v>
      </c>
    </row>
    <row r="36" spans="1:27" ht="45" x14ac:dyDescent="0.25">
      <c r="A36" s="23" t="str">
        <f>INDEX('Выгр Торг'!$A:$A,MATCH(B36,'Выгр Торг'!$B:$B,0))</f>
        <v>Накладки на зеркала в стиле Mercedes для Лада Нива 4х4, Нива 4х4 Урбан</v>
      </c>
      <c r="B36" s="26">
        <v>169224</v>
      </c>
      <c r="C36" s="26">
        <f>VLOOKUP($B36,'Выгр Торг'!$B:$Q,C$1,0)</f>
        <v>69572</v>
      </c>
      <c r="D36" s="25" t="str">
        <f>VLOOKUP($B36,'Выгр Торг'!$B:$Q,D$1,0)</f>
        <v>Накладки на зеркала в стиле Mercedes для Лада Нива 4х4, Нива 4х4 Урбан (Без покраски)</v>
      </c>
      <c r="E36" s="26" t="str">
        <f>VLOOKUP($B36,'Выгр Торг'!$B:$Q,E$1,0)</f>
        <v>Y</v>
      </c>
      <c r="F36" s="26" t="str">
        <f>VLOOKUP($B36,'Выгр Торг'!$B:$Q,F$1,0)</f>
        <v>1ск2</v>
      </c>
      <c r="G36" s="26">
        <f>VLOOKUP($B36,'Выгр Торг'!$B:$Q,G$1,0)</f>
        <v>0</v>
      </c>
      <c r="H36" s="2" t="s">
        <v>3</v>
      </c>
      <c r="I36" s="34">
        <v>169224</v>
      </c>
      <c r="J36" s="34">
        <v>450</v>
      </c>
      <c r="K36" s="41">
        <v>2300</v>
      </c>
      <c r="L36" s="5">
        <f>VLOOKUP(K36,Наценка!$A$1:$G$8,2,1)</f>
        <v>1.27</v>
      </c>
      <c r="M36" s="47">
        <f>Z36*1.05</f>
        <v>3139.5</v>
      </c>
      <c r="N36" s="39">
        <f t="shared" si="2"/>
        <v>3190</v>
      </c>
      <c r="O36" s="40">
        <f>VLOOKUP($B36,'Выгр Торг'!$B:$Q,O$1,0)</f>
        <v>2300</v>
      </c>
      <c r="P36" s="40">
        <f>VLOOKUP($B36,'Выгр Торг'!$B:$Q,P$1,0)</f>
        <v>3190</v>
      </c>
      <c r="Q36" s="28">
        <f t="shared" si="3"/>
        <v>0</v>
      </c>
      <c r="R36" s="28">
        <f t="shared" si="4"/>
        <v>0</v>
      </c>
      <c r="S36" s="36">
        <f t="shared" si="5"/>
        <v>2966.7</v>
      </c>
      <c r="T36" s="38">
        <f>IFERROR((VLOOKUP($B36,'Из Гугла'!$B:$G,6,0)+V36)*U36,VLOOKUP($B36,'Из Гугла'!$B:$G,6,0))</f>
        <v>2990</v>
      </c>
      <c r="U36" s="38">
        <v>1</v>
      </c>
      <c r="V36" s="38"/>
      <c r="W36" s="22">
        <f t="shared" si="6"/>
        <v>0.28986956521739127</v>
      </c>
      <c r="X36" s="22">
        <f t="shared" si="7"/>
        <v>7.7926421404682878E-3</v>
      </c>
      <c r="Y36" s="22">
        <f t="shared" si="8"/>
        <v>0.30000000000000004</v>
      </c>
      <c r="Z36" s="9">
        <v>2990</v>
      </c>
      <c r="AA36" t="s">
        <v>1282</v>
      </c>
    </row>
    <row r="37" spans="1:27" ht="60" x14ac:dyDescent="0.25">
      <c r="A37" s="23" t="str">
        <f>INDEX('Выгр Торг'!$A:$A,MATCH(B37,'Выгр Торг'!$B:$B,0))</f>
        <v>Накладки на зеркала в стиле Mercedes для Лада Нива 4х4, Нива 4х4 Урбан</v>
      </c>
      <c r="B37" s="26">
        <v>169225</v>
      </c>
      <c r="C37" s="26">
        <f>VLOOKUP($B37,'Выгр Торг'!$B:$Q,C$1,0)</f>
        <v>89077</v>
      </c>
      <c r="D37" s="25" t="str">
        <f>VLOOKUP($B37,'Выгр Торг'!$B:$Q,D$1,0)</f>
        <v>Накладки на зеркала в стиле Mercedes для Лада Нива 4х4, Нива 4х4 Урбан (В цвет, Балтика (темно-сине-зеленый, 420))</v>
      </c>
      <c r="E37" s="26" t="str">
        <f>VLOOKUP($B37,'Выгр Торг'!$B:$Q,E$1,0)</f>
        <v>Y</v>
      </c>
      <c r="F37" s="26" t="str">
        <f>VLOOKUP($B37,'Выгр Торг'!$B:$Q,F$1,0)</f>
        <v>1</v>
      </c>
      <c r="G37" s="26">
        <f>VLOOKUP($B37,'Выгр Торг'!$B:$Q,G$1,0)</f>
        <v>0</v>
      </c>
      <c r="H37" s="2" t="s">
        <v>3</v>
      </c>
      <c r="I37" s="34">
        <v>169224</v>
      </c>
      <c r="J37" s="42">
        <f>INDEX($J:$J,MATCH($I37,$B:$B,0))</f>
        <v>450</v>
      </c>
      <c r="K37" s="43">
        <f>INDEX($K:$K,MATCH($I37,$B:$B,0))+$J37</f>
        <v>2750</v>
      </c>
      <c r="L37" s="5">
        <f>VLOOKUP(K37,Наценка!$A$1:$G$8,2,1)</f>
        <v>1.27</v>
      </c>
      <c r="M37" s="43">
        <f>INDEX($M:$M,MATCH($I37,$B:$B,0))+$J37*$M$2</f>
        <v>3724.5</v>
      </c>
      <c r="N37" s="39">
        <f t="shared" si="2"/>
        <v>3790</v>
      </c>
      <c r="O37" s="40">
        <f>VLOOKUP($B37,'Выгр Торг'!$B:$Q,O$1,0)</f>
        <v>2750</v>
      </c>
      <c r="P37" s="40">
        <f>VLOOKUP($B37,'Выгр Торг'!$B:$Q,P$1,0)</f>
        <v>3790</v>
      </c>
      <c r="Q37" s="28">
        <f t="shared" si="3"/>
        <v>0</v>
      </c>
      <c r="R37" s="28">
        <f t="shared" si="4"/>
        <v>0</v>
      </c>
      <c r="S37" s="36">
        <f t="shared" si="5"/>
        <v>3524.7</v>
      </c>
      <c r="T37" s="38">
        <f>IFERROR((VLOOKUP($B37,'Из Гугла'!$B:$G,6,0)+V37)*U37,VLOOKUP($B37,'Из Гугла'!$B:$G,6,0))</f>
        <v>3590</v>
      </c>
      <c r="U37" s="38">
        <v>1</v>
      </c>
      <c r="V37" s="38">
        <v>600</v>
      </c>
      <c r="W37" s="22">
        <f t="shared" si="6"/>
        <v>0.28170909090909091</v>
      </c>
      <c r="X37" s="22">
        <f t="shared" si="7"/>
        <v>1.8189415041782779E-2</v>
      </c>
      <c r="Y37" s="22">
        <f t="shared" si="8"/>
        <v>0.30545454545454542</v>
      </c>
      <c r="Z37" s="52">
        <f>INDEX($Z:$Z,MATCH(I37,$B:$B,0))+V37</f>
        <v>3590</v>
      </c>
      <c r="AA37" t="s">
        <v>1282</v>
      </c>
    </row>
    <row r="38" spans="1:27" ht="45" x14ac:dyDescent="0.25">
      <c r="A38" s="23" t="str">
        <f>INDEX('Выгр Торг'!$A:$A,MATCH(B38,'Выгр Торг'!$B:$B,0))</f>
        <v>Накладки на зеркала в стиле Mercedes для Лада Нива 4х4, Нива 4х4 Урбан</v>
      </c>
      <c r="B38" s="26">
        <v>348048</v>
      </c>
      <c r="C38" s="26">
        <f>VLOOKUP($B38,'Выгр Торг'!$B:$Q,C$1,0)</f>
        <v>348048</v>
      </c>
      <c r="D38" s="25" t="str">
        <f>VLOOKUP($B38,'Выгр Торг'!$B:$Q,D$1,0)</f>
        <v>Накладки на зеркала в стиле Mercedes для Лада Нива 4х4, Нива 4х4 Урбан (В цвет 240)</v>
      </c>
      <c r="E38" s="26" t="str">
        <f>VLOOKUP($B38,'Выгр Торг'!$B:$Q,E$1,0)</f>
        <v>Y</v>
      </c>
      <c r="F38" s="26" t="str">
        <f>VLOOKUP($B38,'Выгр Торг'!$B:$Q,F$1,0)</f>
        <v>1</v>
      </c>
      <c r="G38" s="26">
        <f>VLOOKUP($B38,'Выгр Торг'!$B:$Q,G$1,0)</f>
        <v>0</v>
      </c>
      <c r="H38" s="2" t="s">
        <v>3</v>
      </c>
      <c r="I38" s="34">
        <v>169224</v>
      </c>
      <c r="J38" s="42">
        <f>INDEX($J:$J,MATCH($I38,$B:$B,0))</f>
        <v>450</v>
      </c>
      <c r="K38" s="43">
        <f>INDEX($K:$K,MATCH($I38,$B:$B,0))+$J38</f>
        <v>2750</v>
      </c>
      <c r="L38" s="5">
        <f>VLOOKUP(K38,Наценка!$A$1:$G$8,2,1)</f>
        <v>1.27</v>
      </c>
      <c r="M38" s="43">
        <f>INDEX($M:$M,MATCH($I38,$B:$B,0))+$J38*$M$2</f>
        <v>3724.5</v>
      </c>
      <c r="N38" s="39">
        <f t="shared" ref="N38" si="16">IF(M38&lt;=1000,(ROUNDUP(M38,-1)-1),(ROUNDUP(M38,-2)-10))</f>
        <v>3790</v>
      </c>
      <c r="O38" s="40">
        <f>VLOOKUP($B38,'Выгр Торг'!$B:$Q,O$1,0)</f>
        <v>2750</v>
      </c>
      <c r="P38" s="40">
        <f>VLOOKUP($B38,'Выгр Торг'!$B:$Q,P$1,0)</f>
        <v>3790</v>
      </c>
      <c r="Q38" s="28">
        <f t="shared" ref="Q38" si="17">O38-K38</f>
        <v>0</v>
      </c>
      <c r="R38" s="28">
        <f t="shared" ref="R38" si="18">P38-N38</f>
        <v>0</v>
      </c>
      <c r="S38" s="36">
        <f t="shared" ref="S38" si="19">IFERROR(N38*(1-$S$2),"")</f>
        <v>3524.7</v>
      </c>
      <c r="T38" s="38">
        <f>IFERROR((VLOOKUP($B38,'Из Гугла'!$B:$G,6,0)+V38)*U38,VLOOKUP($B38,'Из Гугла'!$B:$G,6,0))</f>
        <v>3590</v>
      </c>
      <c r="U38" s="38">
        <v>1</v>
      </c>
      <c r="V38" s="38">
        <v>600</v>
      </c>
      <c r="W38" s="22">
        <f t="shared" ref="W38" si="20">IFERROR(S38/K38-1,"")</f>
        <v>0.28170909090909091</v>
      </c>
      <c r="X38" s="22">
        <f t="shared" ref="X38" si="21">IFERROR((Z38-S38)/Z38,"")</f>
        <v>1.8189415041782779E-2</v>
      </c>
      <c r="Y38" s="22">
        <f t="shared" ref="Y38" si="22">IFERROR(IF(Z38="","",Z38/K38-1),"")</f>
        <v>0.30545454545454542</v>
      </c>
      <c r="Z38" s="52">
        <f>INDEX($Z:$Z,MATCH(I38,$B:$B,0))+V38</f>
        <v>3590</v>
      </c>
      <c r="AA38" t="s">
        <v>1282</v>
      </c>
    </row>
    <row r="39" spans="1:27" ht="60" x14ac:dyDescent="0.25">
      <c r="A39" s="23" t="str">
        <f>INDEX('Выгр Торг'!$A:$A,MATCH(B39,'Выгр Торг'!$B:$B,0))</f>
        <v>Накладки на зеркала в стиле Mercedes для Лада Нива 4х4, Нива 4х4 Урбан</v>
      </c>
      <c r="B39" s="26">
        <v>169226</v>
      </c>
      <c r="C39" s="26">
        <f>VLOOKUP($B39,'Выгр Торг'!$B:$Q,C$1,0)</f>
        <v>89078</v>
      </c>
      <c r="D39" s="25" t="str">
        <f>VLOOKUP($B39,'Выгр Торг'!$B:$Q,D$1,0)</f>
        <v>Накладки на зеркала в стиле Mercedes для Лада Нива 4х4, Нива 4х4 Урбан (В цвет, Барокко (малиновый, 172))</v>
      </c>
      <c r="E39" s="26" t="str">
        <f>VLOOKUP($B39,'Выгр Торг'!$B:$Q,E$1,0)</f>
        <v>Y</v>
      </c>
      <c r="F39" s="26" t="str">
        <f>VLOOKUP($B39,'Выгр Торг'!$B:$Q,F$1,0)</f>
        <v>1</v>
      </c>
      <c r="G39" s="26">
        <f>VLOOKUP($B39,'Выгр Торг'!$B:$Q,G$1,0)</f>
        <v>0</v>
      </c>
      <c r="H39" s="2" t="s">
        <v>3</v>
      </c>
      <c r="I39" s="34">
        <v>169224</v>
      </c>
      <c r="J39" s="42">
        <f>INDEX($J:$J,MATCH($I39,$B:$B,0))</f>
        <v>450</v>
      </c>
      <c r="K39" s="43">
        <f>INDEX($K:$K,MATCH($I39,$B:$B,0))+$J39</f>
        <v>2750</v>
      </c>
      <c r="L39" s="5">
        <f>VLOOKUP(K39,Наценка!$A$1:$G$8,2,1)</f>
        <v>1.27</v>
      </c>
      <c r="M39" s="43">
        <f>INDEX($M:$M,MATCH($I39,$B:$B,0))+$J39*$M$2</f>
        <v>3724.5</v>
      </c>
      <c r="N39" s="39">
        <f t="shared" si="2"/>
        <v>3790</v>
      </c>
      <c r="O39" s="40">
        <f>VLOOKUP($B39,'Выгр Торг'!$B:$Q,O$1,0)</f>
        <v>2750</v>
      </c>
      <c r="P39" s="40">
        <f>VLOOKUP($B39,'Выгр Торг'!$B:$Q,P$1,0)</f>
        <v>3790</v>
      </c>
      <c r="Q39" s="28">
        <f t="shared" si="3"/>
        <v>0</v>
      </c>
      <c r="R39" s="28">
        <f t="shared" si="4"/>
        <v>0</v>
      </c>
      <c r="S39" s="36">
        <f t="shared" si="5"/>
        <v>3524.7</v>
      </c>
      <c r="T39" s="38">
        <f>IFERROR((VLOOKUP($B39,'Из Гугла'!$B:$G,6,0)+V39)*U39,VLOOKUP($B39,'Из Гугла'!$B:$G,6,0))</f>
        <v>3590</v>
      </c>
      <c r="U39" s="38">
        <v>1</v>
      </c>
      <c r="V39" s="38">
        <v>600</v>
      </c>
      <c r="W39" s="22">
        <f t="shared" si="6"/>
        <v>0.28170909090909091</v>
      </c>
      <c r="X39" s="22">
        <f t="shared" si="7"/>
        <v>1.8189415041782779E-2</v>
      </c>
      <c r="Y39" s="22">
        <f t="shared" si="8"/>
        <v>0.30545454545454542</v>
      </c>
      <c r="Z39" s="52">
        <f>INDEX($Z:$Z,MATCH(I39,$B:$B,0))+V39</f>
        <v>3590</v>
      </c>
      <c r="AA39" t="s">
        <v>1282</v>
      </c>
    </row>
    <row r="40" spans="1:27" ht="60" x14ac:dyDescent="0.25">
      <c r="A40" s="23" t="str">
        <f>INDEX('Выгр Торг'!$A:$A,MATCH(B40,'Выгр Торг'!$B:$B,0))</f>
        <v>Накладки на зеркала в стиле Mercedes для Лада Нива 4х4, Нива 4х4 Урбан</v>
      </c>
      <c r="B40" s="26">
        <v>169227</v>
      </c>
      <c r="C40" s="26">
        <f>VLOOKUP($B40,'Выгр Торг'!$B:$Q,C$1,0)</f>
        <v>89079</v>
      </c>
      <c r="D40" s="25" t="str">
        <f>VLOOKUP($B40,'Выгр Торг'!$B:$Q,D$1,0)</f>
        <v>Накладки на зеркала в стиле Mercedes для Лада Нива 4х4, Нива 4х4 Урбан (В цвет, Бенефис (глубокий темно-фиолетовый, 135))</v>
      </c>
      <c r="E40" s="26" t="str">
        <f>VLOOKUP($B40,'Выгр Торг'!$B:$Q,E$1,0)</f>
        <v>Y</v>
      </c>
      <c r="F40" s="26" t="str">
        <f>VLOOKUP($B40,'Выгр Торг'!$B:$Q,F$1,0)</f>
        <v>1</v>
      </c>
      <c r="G40" s="26">
        <f>VLOOKUP($B40,'Выгр Торг'!$B:$Q,G$1,0)</f>
        <v>0</v>
      </c>
      <c r="H40" s="2" t="s">
        <v>3</v>
      </c>
      <c r="I40" s="34">
        <v>169224</v>
      </c>
      <c r="J40" s="42">
        <f>INDEX($J:$J,MATCH($I40,$B:$B,0))</f>
        <v>450</v>
      </c>
      <c r="K40" s="43">
        <f>INDEX($K:$K,MATCH($I40,$B:$B,0))+$J40</f>
        <v>2750</v>
      </c>
      <c r="L40" s="5">
        <f>VLOOKUP(K40,Наценка!$A$1:$G$8,2,1)</f>
        <v>1.27</v>
      </c>
      <c r="M40" s="43">
        <f>INDEX($M:$M,MATCH($I40,$B:$B,0))+$J40*$M$2</f>
        <v>3724.5</v>
      </c>
      <c r="N40" s="39">
        <f t="shared" si="2"/>
        <v>3790</v>
      </c>
      <c r="O40" s="40">
        <f>VLOOKUP($B40,'Выгр Торг'!$B:$Q,O$1,0)</f>
        <v>2750</v>
      </c>
      <c r="P40" s="40">
        <f>VLOOKUP($B40,'Выгр Торг'!$B:$Q,P$1,0)</f>
        <v>3790</v>
      </c>
      <c r="Q40" s="28">
        <f t="shared" si="3"/>
        <v>0</v>
      </c>
      <c r="R40" s="28">
        <f t="shared" si="4"/>
        <v>0</v>
      </c>
      <c r="S40" s="36">
        <f t="shared" si="5"/>
        <v>3524.7</v>
      </c>
      <c r="T40" s="38">
        <f>IFERROR((VLOOKUP($B40,'Из Гугла'!$B:$G,6,0)+V40)*U40,VLOOKUP($B40,'Из Гугла'!$B:$G,6,0))</f>
        <v>3590</v>
      </c>
      <c r="U40" s="38">
        <v>1</v>
      </c>
      <c r="V40" s="38">
        <v>600</v>
      </c>
      <c r="W40" s="22">
        <f t="shared" si="6"/>
        <v>0.28170909090909091</v>
      </c>
      <c r="X40" s="22">
        <f t="shared" si="7"/>
        <v>1.8189415041782779E-2</v>
      </c>
      <c r="Y40" s="22">
        <f t="shared" si="8"/>
        <v>0.30545454545454542</v>
      </c>
      <c r="Z40" s="52">
        <f>INDEX($Z:$Z,MATCH(I40,$B:$B,0))+V40</f>
        <v>3590</v>
      </c>
      <c r="AA40" t="s">
        <v>1282</v>
      </c>
    </row>
    <row r="41" spans="1:27" ht="60" x14ac:dyDescent="0.25">
      <c r="A41" s="23" t="str">
        <f>INDEX('Выгр Торг'!$A:$A,MATCH(B41,'Выгр Торг'!$B:$B,0))</f>
        <v>Накладки на зеркала в стиле Mercedes для Лада Нива 4х4, Нива 4х4 Урбан</v>
      </c>
      <c r="B41" s="26">
        <v>169228</v>
      </c>
      <c r="C41" s="26">
        <f>VLOOKUP($B41,'Выгр Торг'!$B:$Q,C$1,0)</f>
        <v>89080</v>
      </c>
      <c r="D41" s="25" t="str">
        <f>VLOOKUP($B41,'Выгр Торг'!$B:$Q,D$1,0)</f>
        <v>Накладки на зеркала в стиле Mercedes для Лада Нива 4х4, Нива 4х4 Урбан (В цвет, Борнео (темный серебристо-серый, 633))</v>
      </c>
      <c r="E41" s="26" t="str">
        <f>VLOOKUP($B41,'Выгр Торг'!$B:$Q,E$1,0)</f>
        <v>Y</v>
      </c>
      <c r="F41" s="26" t="str">
        <f>VLOOKUP($B41,'Выгр Торг'!$B:$Q,F$1,0)</f>
        <v>1</v>
      </c>
      <c r="G41" s="26">
        <f>VLOOKUP($B41,'Выгр Торг'!$B:$Q,G$1,0)</f>
        <v>0</v>
      </c>
      <c r="H41" s="2" t="s">
        <v>3</v>
      </c>
      <c r="I41" s="34">
        <v>169224</v>
      </c>
      <c r="J41" s="42">
        <f>INDEX($J:$J,MATCH($I41,$B:$B,0))</f>
        <v>450</v>
      </c>
      <c r="K41" s="43">
        <f>INDEX($K:$K,MATCH($I41,$B:$B,0))+$J41</f>
        <v>2750</v>
      </c>
      <c r="L41" s="5">
        <f>VLOOKUP(K41,Наценка!$A$1:$G$8,2,1)</f>
        <v>1.27</v>
      </c>
      <c r="M41" s="43">
        <f>INDEX($M:$M,MATCH($I41,$B:$B,0))+$J41*$M$2</f>
        <v>3724.5</v>
      </c>
      <c r="N41" s="39">
        <f t="shared" si="2"/>
        <v>3790</v>
      </c>
      <c r="O41" s="40">
        <f>VLOOKUP($B41,'Выгр Торг'!$B:$Q,O$1,0)</f>
        <v>2750</v>
      </c>
      <c r="P41" s="40">
        <f>VLOOKUP($B41,'Выгр Торг'!$B:$Q,P$1,0)</f>
        <v>3790</v>
      </c>
      <c r="Q41" s="28">
        <f t="shared" si="3"/>
        <v>0</v>
      </c>
      <c r="R41" s="28">
        <f t="shared" si="4"/>
        <v>0</v>
      </c>
      <c r="S41" s="36">
        <f t="shared" si="5"/>
        <v>3524.7</v>
      </c>
      <c r="T41" s="38">
        <f>IFERROR((VLOOKUP($B41,'Из Гугла'!$B:$G,6,0)+V41)*U41,VLOOKUP($B41,'Из Гугла'!$B:$G,6,0))</f>
        <v>3590</v>
      </c>
      <c r="U41" s="38">
        <v>1</v>
      </c>
      <c r="V41" s="38">
        <v>600</v>
      </c>
      <c r="W41" s="22">
        <f t="shared" si="6"/>
        <v>0.28170909090909091</v>
      </c>
      <c r="X41" s="22">
        <f t="shared" si="7"/>
        <v>1.8189415041782779E-2</v>
      </c>
      <c r="Y41" s="22">
        <f t="shared" si="8"/>
        <v>0.30545454545454542</v>
      </c>
      <c r="Z41" s="52">
        <f>INDEX($Z:$Z,MATCH(I41,$B:$B,0))+V41</f>
        <v>3590</v>
      </c>
      <c r="AA41" t="s">
        <v>1282</v>
      </c>
    </row>
    <row r="42" spans="1:27" ht="60" x14ac:dyDescent="0.25">
      <c r="A42" s="23" t="str">
        <f>INDEX('Выгр Торг'!$A:$A,MATCH(B42,'Выгр Торг'!$B:$B,0))</f>
        <v>Накладки на зеркала в стиле Mercedes для Лада Нива 4х4, Нива 4х4 Урбан</v>
      </c>
      <c r="B42" s="26">
        <v>169229</v>
      </c>
      <c r="C42" s="26">
        <f>VLOOKUP($B42,'Выгр Торг'!$B:$Q,C$1,0)</f>
        <v>89081</v>
      </c>
      <c r="D42" s="25" t="str">
        <f>VLOOKUP($B42,'Выгр Торг'!$B:$Q,D$1,0)</f>
        <v>Накладки на зеркала в стиле Mercedes для Лада Нива 4х4, Нива 4х4 Урбан (В цвет, Гравилат (оливковый, 306))</v>
      </c>
      <c r="E42" s="26" t="str">
        <f>VLOOKUP($B42,'Выгр Торг'!$B:$Q,E$1,0)</f>
        <v>Y</v>
      </c>
      <c r="F42" s="26" t="str">
        <f>VLOOKUP($B42,'Выгр Торг'!$B:$Q,F$1,0)</f>
        <v>1</v>
      </c>
      <c r="G42" s="26">
        <f>VLOOKUP($B42,'Выгр Торг'!$B:$Q,G$1,0)</f>
        <v>0</v>
      </c>
      <c r="H42" s="2" t="s">
        <v>3</v>
      </c>
      <c r="I42" s="34">
        <v>169224</v>
      </c>
      <c r="J42" s="42">
        <f>INDEX($J:$J,MATCH($I42,$B:$B,0))</f>
        <v>450</v>
      </c>
      <c r="K42" s="43">
        <f>INDEX($K:$K,MATCH($I42,$B:$B,0))+$J42</f>
        <v>2750</v>
      </c>
      <c r="L42" s="5">
        <f>VLOOKUP(K42,Наценка!$A$1:$G$8,2,1)</f>
        <v>1.27</v>
      </c>
      <c r="M42" s="43">
        <f>INDEX($M:$M,MATCH($I42,$B:$B,0))+$J42*$M$2</f>
        <v>3724.5</v>
      </c>
      <c r="N42" s="39">
        <f t="shared" si="2"/>
        <v>3790</v>
      </c>
      <c r="O42" s="40">
        <f>VLOOKUP($B42,'Выгр Торг'!$B:$Q,O$1,0)</f>
        <v>2750</v>
      </c>
      <c r="P42" s="40">
        <f>VLOOKUP($B42,'Выгр Торг'!$B:$Q,P$1,0)</f>
        <v>3790</v>
      </c>
      <c r="Q42" s="28">
        <f t="shared" si="3"/>
        <v>0</v>
      </c>
      <c r="R42" s="28">
        <f t="shared" si="4"/>
        <v>0</v>
      </c>
      <c r="S42" s="36">
        <f t="shared" si="5"/>
        <v>3524.7</v>
      </c>
      <c r="T42" s="38">
        <f>IFERROR((VLOOKUP($B42,'Из Гугла'!$B:$G,6,0)+V42)*U42,VLOOKUP($B42,'Из Гугла'!$B:$G,6,0))</f>
        <v>3590</v>
      </c>
      <c r="U42" s="38">
        <v>1</v>
      </c>
      <c r="V42" s="38">
        <v>600</v>
      </c>
      <c r="W42" s="22">
        <f t="shared" si="6"/>
        <v>0.28170909090909091</v>
      </c>
      <c r="X42" s="22">
        <f t="shared" si="7"/>
        <v>1.8189415041782779E-2</v>
      </c>
      <c r="Y42" s="22">
        <f t="shared" si="8"/>
        <v>0.30545454545454542</v>
      </c>
      <c r="Z42" s="52">
        <f>INDEX($Z:$Z,MATCH(I42,$B:$B,0))+V42</f>
        <v>3590</v>
      </c>
      <c r="AA42" t="s">
        <v>1282</v>
      </c>
    </row>
    <row r="43" spans="1:27" ht="60" x14ac:dyDescent="0.25">
      <c r="A43" s="23" t="str">
        <f>INDEX('Выгр Торг'!$A:$A,MATCH(B43,'Выгр Торг'!$B:$B,0))</f>
        <v>Накладки на зеркала в стиле Mercedes для Лада Нива 4х4, Нива 4х4 Урбан</v>
      </c>
      <c r="B43" s="26">
        <v>169230</v>
      </c>
      <c r="C43" s="26">
        <f>VLOOKUP($B43,'Выгр Торг'!$B:$Q,C$1,0)</f>
        <v>89082</v>
      </c>
      <c r="D43" s="25" t="str">
        <f>VLOOKUP($B43,'Выгр Торг'!$B:$Q,D$1,0)</f>
        <v>Накладки на зеркала в стиле Mercedes для Лада Нива 4х4, Нива 4х4 Урбан (В цвет, Карма (темно-фиолетовый, 114))</v>
      </c>
      <c r="E43" s="26" t="str">
        <f>VLOOKUP($B43,'Выгр Торг'!$B:$Q,E$1,0)</f>
        <v>Y</v>
      </c>
      <c r="F43" s="26" t="str">
        <f>VLOOKUP($B43,'Выгр Торг'!$B:$Q,F$1,0)</f>
        <v>1</v>
      </c>
      <c r="G43" s="26">
        <f>VLOOKUP($B43,'Выгр Торг'!$B:$Q,G$1,0)</f>
        <v>0</v>
      </c>
      <c r="H43" s="2" t="s">
        <v>3</v>
      </c>
      <c r="I43" s="34">
        <v>169224</v>
      </c>
      <c r="J43" s="42">
        <f>INDEX($J:$J,MATCH($I43,$B:$B,0))</f>
        <v>450</v>
      </c>
      <c r="K43" s="43">
        <f>INDEX($K:$K,MATCH($I43,$B:$B,0))+$J43</f>
        <v>2750</v>
      </c>
      <c r="L43" s="5">
        <f>VLOOKUP(K43,Наценка!$A$1:$G$8,2,1)</f>
        <v>1.27</v>
      </c>
      <c r="M43" s="43">
        <f>INDEX($M:$M,MATCH($I43,$B:$B,0))+$J43*$M$2</f>
        <v>3724.5</v>
      </c>
      <c r="N43" s="39">
        <f t="shared" si="2"/>
        <v>3790</v>
      </c>
      <c r="O43" s="40">
        <f>VLOOKUP($B43,'Выгр Торг'!$B:$Q,O$1,0)</f>
        <v>2750</v>
      </c>
      <c r="P43" s="40">
        <f>VLOOKUP($B43,'Выгр Торг'!$B:$Q,P$1,0)</f>
        <v>3790</v>
      </c>
      <c r="Q43" s="28">
        <f t="shared" si="3"/>
        <v>0</v>
      </c>
      <c r="R43" s="28">
        <f t="shared" si="4"/>
        <v>0</v>
      </c>
      <c r="S43" s="36">
        <f t="shared" si="5"/>
        <v>3524.7</v>
      </c>
      <c r="T43" s="38">
        <f>IFERROR((VLOOKUP($B43,'Из Гугла'!$B:$G,6,0)+V43)*U43,VLOOKUP($B43,'Из Гугла'!$B:$G,6,0))</f>
        <v>3590</v>
      </c>
      <c r="U43" s="38">
        <v>1</v>
      </c>
      <c r="V43" s="38">
        <v>600</v>
      </c>
      <c r="W43" s="22">
        <f t="shared" si="6"/>
        <v>0.28170909090909091</v>
      </c>
      <c r="X43" s="22">
        <f t="shared" si="7"/>
        <v>1.8189415041782779E-2</v>
      </c>
      <c r="Y43" s="22">
        <f t="shared" si="8"/>
        <v>0.30545454545454542</v>
      </c>
      <c r="Z43" s="52">
        <f>INDEX($Z:$Z,MATCH(I43,$B:$B,0))+V43</f>
        <v>3590</v>
      </c>
      <c r="AA43" t="s">
        <v>1282</v>
      </c>
    </row>
    <row r="44" spans="1:27" ht="60" x14ac:dyDescent="0.25">
      <c r="A44" s="23" t="str">
        <f>INDEX('Выгр Торг'!$A:$A,MATCH(B44,'Выгр Торг'!$B:$B,0))</f>
        <v>Накладки на зеркала в стиле Mercedes для Лада Нива 4х4, Нива 4х4 Урбан</v>
      </c>
      <c r="B44" s="26">
        <v>169231</v>
      </c>
      <c r="C44" s="26">
        <f>VLOOKUP($B44,'Выгр Торг'!$B:$Q,C$1,0)</f>
        <v>89083</v>
      </c>
      <c r="D44" s="25" t="str">
        <f>VLOOKUP($B44,'Выгр Торг'!$B:$Q,D$1,0)</f>
        <v>Накладки на зеркала в стиле Mercedes для Лада Нива 4х4, Нива 4х4 Урбан (В цвет, Мурена (сине-зеленый, 377))</v>
      </c>
      <c r="E44" s="26" t="str">
        <f>VLOOKUP($B44,'Выгр Торг'!$B:$Q,E$1,0)</f>
        <v>Y</v>
      </c>
      <c r="F44" s="26" t="str">
        <f>VLOOKUP($B44,'Выгр Торг'!$B:$Q,F$1,0)</f>
        <v>1</v>
      </c>
      <c r="G44" s="26">
        <f>VLOOKUP($B44,'Выгр Торг'!$B:$Q,G$1,0)</f>
        <v>0</v>
      </c>
      <c r="H44" s="2" t="s">
        <v>3</v>
      </c>
      <c r="I44" s="34">
        <v>169224</v>
      </c>
      <c r="J44" s="42">
        <f>INDEX($J:$J,MATCH($I44,$B:$B,0))</f>
        <v>450</v>
      </c>
      <c r="K44" s="43">
        <f>INDEX($K:$K,MATCH($I44,$B:$B,0))+$J44</f>
        <v>2750</v>
      </c>
      <c r="L44" s="5">
        <f>VLOOKUP(K44,Наценка!$A$1:$G$8,2,1)</f>
        <v>1.27</v>
      </c>
      <c r="M44" s="43">
        <f>INDEX($M:$M,MATCH($I44,$B:$B,0))+$J44*$M$2</f>
        <v>3724.5</v>
      </c>
      <c r="N44" s="39">
        <f t="shared" si="2"/>
        <v>3790</v>
      </c>
      <c r="O44" s="40">
        <f>VLOOKUP($B44,'Выгр Торг'!$B:$Q,O$1,0)</f>
        <v>2750</v>
      </c>
      <c r="P44" s="40">
        <f>VLOOKUP($B44,'Выгр Торг'!$B:$Q,P$1,0)</f>
        <v>3790</v>
      </c>
      <c r="Q44" s="28">
        <f t="shared" si="3"/>
        <v>0</v>
      </c>
      <c r="R44" s="28">
        <f t="shared" si="4"/>
        <v>0</v>
      </c>
      <c r="S44" s="36">
        <f t="shared" si="5"/>
        <v>3524.7</v>
      </c>
      <c r="T44" s="38">
        <f>IFERROR((VLOOKUP($B44,'Из Гугла'!$B:$G,6,0)+V44)*U44,VLOOKUP($B44,'Из Гугла'!$B:$G,6,0))</f>
        <v>3590</v>
      </c>
      <c r="U44" s="38">
        <v>1</v>
      </c>
      <c r="V44" s="38">
        <v>600</v>
      </c>
      <c r="W44" s="22">
        <f t="shared" si="6"/>
        <v>0.28170909090909091</v>
      </c>
      <c r="X44" s="22">
        <f t="shared" si="7"/>
        <v>1.8189415041782779E-2</v>
      </c>
      <c r="Y44" s="22">
        <f t="shared" si="8"/>
        <v>0.30545454545454542</v>
      </c>
      <c r="Z44" s="52">
        <f>INDEX($Z:$Z,MATCH(I44,$B:$B,0))+V44</f>
        <v>3590</v>
      </c>
      <c r="AA44" t="s">
        <v>1282</v>
      </c>
    </row>
    <row r="45" spans="1:27" ht="60" x14ac:dyDescent="0.25">
      <c r="A45" s="23" t="str">
        <f>INDEX('Выгр Торг'!$A:$A,MATCH(B45,'Выгр Торг'!$B:$B,0))</f>
        <v>Накладки на зеркала в стиле Mercedes для Лада Нива 4х4, Нива 4х4 Урбан</v>
      </c>
      <c r="B45" s="26">
        <v>169232</v>
      </c>
      <c r="C45" s="26">
        <f>VLOOKUP($B45,'Выгр Торг'!$B:$Q,C$1,0)</f>
        <v>89084</v>
      </c>
      <c r="D45" s="25" t="str">
        <f>VLOOKUP($B45,'Выгр Торг'!$B:$Q,D$1,0)</f>
        <v>Накладки на зеркала в стиле Mercedes для Лада Нива 4х4, Нива 4х4 Урбан (В цвет, Несси (темно-зеленый, 368))</v>
      </c>
      <c r="E45" s="26" t="str">
        <f>VLOOKUP($B45,'Выгр Торг'!$B:$Q,E$1,0)</f>
        <v>Y</v>
      </c>
      <c r="F45" s="26" t="str">
        <f>VLOOKUP($B45,'Выгр Торг'!$B:$Q,F$1,0)</f>
        <v>1</v>
      </c>
      <c r="G45" s="26">
        <f>VLOOKUP($B45,'Выгр Торг'!$B:$Q,G$1,0)</f>
        <v>0</v>
      </c>
      <c r="H45" s="2" t="s">
        <v>3</v>
      </c>
      <c r="I45" s="34">
        <v>169224</v>
      </c>
      <c r="J45" s="42">
        <f>INDEX($J:$J,MATCH($I45,$B:$B,0))</f>
        <v>450</v>
      </c>
      <c r="K45" s="43">
        <f>INDEX($K:$K,MATCH($I45,$B:$B,0))+$J45</f>
        <v>2750</v>
      </c>
      <c r="L45" s="5">
        <f>VLOOKUP(K45,Наценка!$A$1:$G$8,2,1)</f>
        <v>1.27</v>
      </c>
      <c r="M45" s="43">
        <f>INDEX($M:$M,MATCH($I45,$B:$B,0))+$J45*$M$2</f>
        <v>3724.5</v>
      </c>
      <c r="N45" s="39">
        <f t="shared" si="2"/>
        <v>3790</v>
      </c>
      <c r="O45" s="40">
        <f>VLOOKUP($B45,'Выгр Торг'!$B:$Q,O$1,0)</f>
        <v>2750</v>
      </c>
      <c r="P45" s="40">
        <f>VLOOKUP($B45,'Выгр Торг'!$B:$Q,P$1,0)</f>
        <v>3790</v>
      </c>
      <c r="Q45" s="28">
        <f t="shared" si="3"/>
        <v>0</v>
      </c>
      <c r="R45" s="28">
        <f t="shared" si="4"/>
        <v>0</v>
      </c>
      <c r="S45" s="36">
        <f t="shared" si="5"/>
        <v>3524.7</v>
      </c>
      <c r="T45" s="38">
        <f>IFERROR((VLOOKUP($B45,'Из Гугла'!$B:$G,6,0)+V45)*U45,VLOOKUP($B45,'Из Гугла'!$B:$G,6,0))</f>
        <v>3590</v>
      </c>
      <c r="U45" s="38">
        <v>1</v>
      </c>
      <c r="V45" s="38">
        <v>600</v>
      </c>
      <c r="W45" s="22">
        <f t="shared" si="6"/>
        <v>0.28170909090909091</v>
      </c>
      <c r="X45" s="22">
        <f t="shared" si="7"/>
        <v>1.8189415041782779E-2</v>
      </c>
      <c r="Y45" s="22">
        <f t="shared" si="8"/>
        <v>0.30545454545454542</v>
      </c>
      <c r="Z45" s="52">
        <f>INDEX($Z:$Z,MATCH(I45,$B:$B,0))+V45</f>
        <v>3590</v>
      </c>
      <c r="AA45" t="s">
        <v>1282</v>
      </c>
    </row>
    <row r="46" spans="1:27" ht="60" x14ac:dyDescent="0.25">
      <c r="A46" s="23" t="str">
        <f>INDEX('Выгр Торг'!$A:$A,MATCH(B46,'Выгр Торг'!$B:$B,0))</f>
        <v>Накладки на зеркала в стиле Mercedes для Лада Нива 4х4, Нива 4х4 Урбан</v>
      </c>
      <c r="B46" s="26">
        <v>169233</v>
      </c>
      <c r="C46" s="26">
        <f>VLOOKUP($B46,'Выгр Торг'!$B:$Q,C$1,0)</f>
        <v>89085</v>
      </c>
      <c r="D46" s="25" t="str">
        <f>VLOOKUP($B46,'Выгр Торг'!$B:$Q,D$1,0)</f>
        <v>Накладки на зеркала в стиле Mercedes для Лада Нива 4х4, Нива 4х4 Урбан (В цвет, Океан (темно-синий, 449))</v>
      </c>
      <c r="E46" s="26" t="str">
        <f>VLOOKUP($B46,'Выгр Торг'!$B:$Q,E$1,0)</f>
        <v>Y</v>
      </c>
      <c r="F46" s="26" t="str">
        <f>VLOOKUP($B46,'Выгр Торг'!$B:$Q,F$1,0)</f>
        <v>1</v>
      </c>
      <c r="G46" s="26">
        <f>VLOOKUP($B46,'Выгр Торг'!$B:$Q,G$1,0)</f>
        <v>0</v>
      </c>
      <c r="H46" s="2" t="s">
        <v>3</v>
      </c>
      <c r="I46" s="34">
        <v>169224</v>
      </c>
      <c r="J46" s="42">
        <f>INDEX($J:$J,MATCH($I46,$B:$B,0))</f>
        <v>450</v>
      </c>
      <c r="K46" s="43">
        <f>INDEX($K:$K,MATCH($I46,$B:$B,0))+$J46</f>
        <v>2750</v>
      </c>
      <c r="L46" s="5">
        <f>VLOOKUP(K46,Наценка!$A$1:$G$8,2,1)</f>
        <v>1.27</v>
      </c>
      <c r="M46" s="43">
        <f>INDEX($M:$M,MATCH($I46,$B:$B,0))+$J46*$M$2</f>
        <v>3724.5</v>
      </c>
      <c r="N46" s="39">
        <f t="shared" si="2"/>
        <v>3790</v>
      </c>
      <c r="O46" s="40">
        <f>VLOOKUP($B46,'Выгр Торг'!$B:$Q,O$1,0)</f>
        <v>2750</v>
      </c>
      <c r="P46" s="40">
        <f>VLOOKUP($B46,'Выгр Торг'!$B:$Q,P$1,0)</f>
        <v>3790</v>
      </c>
      <c r="Q46" s="28">
        <f t="shared" si="3"/>
        <v>0</v>
      </c>
      <c r="R46" s="28">
        <f t="shared" si="4"/>
        <v>0</v>
      </c>
      <c r="S46" s="36">
        <f t="shared" si="5"/>
        <v>3524.7</v>
      </c>
      <c r="T46" s="38">
        <f>IFERROR((VLOOKUP($B46,'Из Гугла'!$B:$G,6,0)+V46)*U46,VLOOKUP($B46,'Из Гугла'!$B:$G,6,0))</f>
        <v>3590</v>
      </c>
      <c r="U46" s="38">
        <v>1</v>
      </c>
      <c r="V46" s="38">
        <v>600</v>
      </c>
      <c r="W46" s="22">
        <f t="shared" si="6"/>
        <v>0.28170909090909091</v>
      </c>
      <c r="X46" s="22">
        <f t="shared" si="7"/>
        <v>1.8189415041782779E-2</v>
      </c>
      <c r="Y46" s="22">
        <f t="shared" si="8"/>
        <v>0.30545454545454542</v>
      </c>
      <c r="Z46" s="52">
        <f>INDEX($Z:$Z,MATCH(I46,$B:$B,0))+V46</f>
        <v>3590</v>
      </c>
      <c r="AA46" t="s">
        <v>1282</v>
      </c>
    </row>
    <row r="47" spans="1:27" ht="60" x14ac:dyDescent="0.25">
      <c r="A47" s="23" t="str">
        <f>INDEX('Выгр Торг'!$A:$A,MATCH(B47,'Выгр Торг'!$B:$B,0))</f>
        <v>Накладки на зеркала в стиле Mercedes для Лада Нива 4х4, Нива 4х4 Урбан</v>
      </c>
      <c r="B47" s="26">
        <v>169234</v>
      </c>
      <c r="C47" s="26">
        <f>VLOOKUP($B47,'Выгр Торг'!$B:$Q,C$1,0)</f>
        <v>89086</v>
      </c>
      <c r="D47" s="25" t="str">
        <f>VLOOKUP($B47,'Выгр Торг'!$B:$Q,D$1,0)</f>
        <v>Накладки на зеркала в стиле Mercedes для Лада Нива 4х4, Нива 4х4 Урбан (В цвет, Пантера (черная база, 672))</v>
      </c>
      <c r="E47" s="26" t="str">
        <f>VLOOKUP($B47,'Выгр Торг'!$B:$Q,E$1,0)</f>
        <v>Y</v>
      </c>
      <c r="F47" s="26" t="str">
        <f>VLOOKUP($B47,'Выгр Торг'!$B:$Q,F$1,0)</f>
        <v>1</v>
      </c>
      <c r="G47" s="26">
        <f>VLOOKUP($B47,'Выгр Торг'!$B:$Q,G$1,0)</f>
        <v>0</v>
      </c>
      <c r="H47" s="2" t="s">
        <v>3</v>
      </c>
      <c r="I47" s="34">
        <v>169224</v>
      </c>
      <c r="J47" s="42">
        <f>INDEX($J:$J,MATCH($I47,$B:$B,0))</f>
        <v>450</v>
      </c>
      <c r="K47" s="43">
        <f>INDEX($K:$K,MATCH($I47,$B:$B,0))+$J47</f>
        <v>2750</v>
      </c>
      <c r="L47" s="5">
        <f>VLOOKUP(K47,Наценка!$A$1:$G$8,2,1)</f>
        <v>1.27</v>
      </c>
      <c r="M47" s="43">
        <f>INDEX($M:$M,MATCH($I47,$B:$B,0))+$J47*$M$2</f>
        <v>3724.5</v>
      </c>
      <c r="N47" s="39">
        <f t="shared" si="2"/>
        <v>3790</v>
      </c>
      <c r="O47" s="40">
        <f>VLOOKUP($B47,'Выгр Торг'!$B:$Q,O$1,0)</f>
        <v>2750</v>
      </c>
      <c r="P47" s="40">
        <f>VLOOKUP($B47,'Выгр Торг'!$B:$Q,P$1,0)</f>
        <v>3790</v>
      </c>
      <c r="Q47" s="28">
        <f t="shared" si="3"/>
        <v>0</v>
      </c>
      <c r="R47" s="28">
        <f t="shared" si="4"/>
        <v>0</v>
      </c>
      <c r="S47" s="36">
        <f t="shared" si="5"/>
        <v>3524.7</v>
      </c>
      <c r="T47" s="38">
        <f>IFERROR((VLOOKUP($B47,'Из Гугла'!$B:$G,6,0)+V47)*U47,VLOOKUP($B47,'Из Гугла'!$B:$G,6,0))</f>
        <v>3590</v>
      </c>
      <c r="U47" s="38">
        <v>1</v>
      </c>
      <c r="V47" s="38">
        <v>600</v>
      </c>
      <c r="W47" s="22">
        <f t="shared" si="6"/>
        <v>0.28170909090909091</v>
      </c>
      <c r="X47" s="22">
        <f t="shared" si="7"/>
        <v>1.8189415041782779E-2</v>
      </c>
      <c r="Y47" s="22">
        <f t="shared" si="8"/>
        <v>0.30545454545454542</v>
      </c>
      <c r="Z47" s="52">
        <f>INDEX($Z:$Z,MATCH(I47,$B:$B,0))+V47</f>
        <v>3590</v>
      </c>
      <c r="AA47" t="s">
        <v>1282</v>
      </c>
    </row>
    <row r="48" spans="1:27" ht="60" x14ac:dyDescent="0.25">
      <c r="A48" s="23" t="str">
        <f>INDEX('Выгр Торг'!$A:$A,MATCH(B48,'Выгр Торг'!$B:$B,0))</f>
        <v>Накладки на зеркала в стиле Mercedes для Лада Нива 4х4, Нива 4х4 Урбан</v>
      </c>
      <c r="B48" s="26">
        <v>169235</v>
      </c>
      <c r="C48" s="26">
        <f>VLOOKUP($B48,'Выгр Торг'!$B:$Q,C$1,0)</f>
        <v>89087</v>
      </c>
      <c r="D48" s="25" t="str">
        <f>VLOOKUP($B48,'Выгр Торг'!$B:$Q,D$1,0)</f>
        <v>Накладки на зеркала в стиле Mercedes для Лада Нива 4х4, Нива 4х4 Урбан (В цвет, Сити (золотисто-коричневый, 231))</v>
      </c>
      <c r="E48" s="26" t="str">
        <f>VLOOKUP($B48,'Выгр Торг'!$B:$Q,E$1,0)</f>
        <v>Y</v>
      </c>
      <c r="F48" s="26" t="str">
        <f>VLOOKUP($B48,'Выгр Торг'!$B:$Q,F$1,0)</f>
        <v>1</v>
      </c>
      <c r="G48" s="26">
        <f>VLOOKUP($B48,'Выгр Торг'!$B:$Q,G$1,0)</f>
        <v>0</v>
      </c>
      <c r="H48" s="2" t="s">
        <v>3</v>
      </c>
      <c r="I48" s="34">
        <v>169224</v>
      </c>
      <c r="J48" s="42">
        <f>INDEX($J:$J,MATCH($I48,$B:$B,0))</f>
        <v>450</v>
      </c>
      <c r="K48" s="43">
        <f>INDEX($K:$K,MATCH($I48,$B:$B,0))+$J48</f>
        <v>2750</v>
      </c>
      <c r="L48" s="5">
        <f>VLOOKUP(K48,Наценка!$A$1:$G$8,2,1)</f>
        <v>1.27</v>
      </c>
      <c r="M48" s="43">
        <f>INDEX($M:$M,MATCH($I48,$B:$B,0))+$J48*$M$2</f>
        <v>3724.5</v>
      </c>
      <c r="N48" s="39">
        <f t="shared" si="2"/>
        <v>3790</v>
      </c>
      <c r="O48" s="40">
        <f>VLOOKUP($B48,'Выгр Торг'!$B:$Q,O$1,0)</f>
        <v>2750</v>
      </c>
      <c r="P48" s="40">
        <f>VLOOKUP($B48,'Выгр Торг'!$B:$Q,P$1,0)</f>
        <v>3790</v>
      </c>
      <c r="Q48" s="28">
        <f t="shared" si="3"/>
        <v>0</v>
      </c>
      <c r="R48" s="28">
        <f t="shared" si="4"/>
        <v>0</v>
      </c>
      <c r="S48" s="36">
        <f t="shared" si="5"/>
        <v>3524.7</v>
      </c>
      <c r="T48" s="38">
        <f>IFERROR((VLOOKUP($B48,'Из Гугла'!$B:$G,6,0)+V48)*U48,VLOOKUP($B48,'Из Гугла'!$B:$G,6,0))</f>
        <v>3590</v>
      </c>
      <c r="U48" s="38">
        <v>1</v>
      </c>
      <c r="V48" s="38">
        <v>600</v>
      </c>
      <c r="W48" s="22">
        <f t="shared" si="6"/>
        <v>0.28170909090909091</v>
      </c>
      <c r="X48" s="22">
        <f t="shared" si="7"/>
        <v>1.8189415041782779E-2</v>
      </c>
      <c r="Y48" s="22">
        <f t="shared" si="8"/>
        <v>0.30545454545454542</v>
      </c>
      <c r="Z48" s="52">
        <f>INDEX($Z:$Z,MATCH(I48,$B:$B,0))+V48</f>
        <v>3590</v>
      </c>
      <c r="AA48" t="s">
        <v>1282</v>
      </c>
    </row>
    <row r="49" spans="1:27" ht="60" x14ac:dyDescent="0.25">
      <c r="A49" s="23" t="str">
        <f>INDEX('Выгр Торг'!$A:$A,MATCH(B49,'Выгр Торг'!$B:$B,0))</f>
        <v>Накладки на зеркала в стиле Mercedes для Лада Нива 4х4, Нива 4х4 Урбан</v>
      </c>
      <c r="B49" s="26">
        <v>169236</v>
      </c>
      <c r="C49" s="26">
        <f>VLOOKUP($B49,'Выгр Торг'!$B:$Q,C$1,0)</f>
        <v>89088</v>
      </c>
      <c r="D49" s="25" t="str">
        <f>VLOOKUP($B49,'Выгр Торг'!$B:$Q,D$1,0)</f>
        <v>Накладки на зеркала в стиле Mercedes для Лада Нива 4х4, Нива 4х4 Урбан (В цвет, Терра (коричневый, 507))</v>
      </c>
      <c r="E49" s="26" t="str">
        <f>VLOOKUP($B49,'Выгр Торг'!$B:$Q,E$1,0)</f>
        <v>Y</v>
      </c>
      <c r="F49" s="26" t="str">
        <f>VLOOKUP($B49,'Выгр Торг'!$B:$Q,F$1,0)</f>
        <v>1</v>
      </c>
      <c r="G49" s="26">
        <f>VLOOKUP($B49,'Выгр Торг'!$B:$Q,G$1,0)</f>
        <v>0</v>
      </c>
      <c r="H49" s="2" t="s">
        <v>3</v>
      </c>
      <c r="I49" s="34">
        <v>169224</v>
      </c>
      <c r="J49" s="42">
        <f>INDEX($J:$J,MATCH($I49,$B:$B,0))</f>
        <v>450</v>
      </c>
      <c r="K49" s="43">
        <f>INDEX($K:$K,MATCH($I49,$B:$B,0))+$J49</f>
        <v>2750</v>
      </c>
      <c r="L49" s="5">
        <f>VLOOKUP(K49,Наценка!$A$1:$G$8,2,1)</f>
        <v>1.27</v>
      </c>
      <c r="M49" s="43">
        <f>INDEX($M:$M,MATCH($I49,$B:$B,0))+$J49*$M$2</f>
        <v>3724.5</v>
      </c>
      <c r="N49" s="39">
        <f t="shared" si="2"/>
        <v>3790</v>
      </c>
      <c r="O49" s="40">
        <f>VLOOKUP($B49,'Выгр Торг'!$B:$Q,O$1,0)</f>
        <v>2750</v>
      </c>
      <c r="P49" s="40">
        <f>VLOOKUP($B49,'Выгр Торг'!$B:$Q,P$1,0)</f>
        <v>3790</v>
      </c>
      <c r="Q49" s="28">
        <f t="shared" si="3"/>
        <v>0</v>
      </c>
      <c r="R49" s="28">
        <f t="shared" si="4"/>
        <v>0</v>
      </c>
      <c r="S49" s="36">
        <f t="shared" si="5"/>
        <v>3524.7</v>
      </c>
      <c r="T49" s="38">
        <f>IFERROR((VLOOKUP($B49,'Из Гугла'!$B:$G,6,0)+V49)*U49,VLOOKUP($B49,'Из Гугла'!$B:$G,6,0))</f>
        <v>3590</v>
      </c>
      <c r="U49" s="38">
        <v>1</v>
      </c>
      <c r="V49" s="38">
        <v>600</v>
      </c>
      <c r="W49" s="22">
        <f t="shared" si="6"/>
        <v>0.28170909090909091</v>
      </c>
      <c r="X49" s="22">
        <f t="shared" si="7"/>
        <v>1.8189415041782779E-2</v>
      </c>
      <c r="Y49" s="22">
        <f t="shared" si="8"/>
        <v>0.30545454545454542</v>
      </c>
      <c r="Z49" s="52">
        <f>INDEX($Z:$Z,MATCH(I49,$B:$B,0))+V49</f>
        <v>3590</v>
      </c>
      <c r="AA49" t="s">
        <v>1282</v>
      </c>
    </row>
    <row r="50" spans="1:27" ht="60" x14ac:dyDescent="0.25">
      <c r="A50" s="23" t="str">
        <f>INDEX('Выгр Торг'!$A:$A,MATCH(B50,'Выгр Торг'!$B:$B,0))</f>
        <v>Накладки на зеркала в стиле Mercedes для Лада Нива 4х4, Нива 4х4 Урбан</v>
      </c>
      <c r="B50" s="26">
        <v>169237</v>
      </c>
      <c r="C50" s="26">
        <f>VLOOKUP($B50,'Выгр Торг'!$B:$Q,C$1,0)</f>
        <v>69573</v>
      </c>
      <c r="D50" s="25" t="str">
        <f>VLOOKUP($B50,'Выгр Торг'!$B:$Q,D$1,0)</f>
        <v>Накладки на зеркала в стиле Mercedes для Лада Нива 4х4, Нива 4х4 Урбан (В цвет, Уточнить у менеджера)</v>
      </c>
      <c r="E50" s="26" t="str">
        <f>VLOOKUP($B50,'Выгр Торг'!$B:$Q,E$1,0)</f>
        <v>Y</v>
      </c>
      <c r="F50" s="26" t="str">
        <f>VLOOKUP($B50,'Выгр Торг'!$B:$Q,F$1,0)</f>
        <v>1</v>
      </c>
      <c r="G50" s="26">
        <f>VLOOKUP($B50,'Выгр Торг'!$B:$Q,G$1,0)</f>
        <v>0</v>
      </c>
      <c r="H50" s="2" t="s">
        <v>3</v>
      </c>
      <c r="I50" s="34">
        <v>169224</v>
      </c>
      <c r="J50" s="42">
        <f>INDEX($J:$J,MATCH($I50,$B:$B,0))</f>
        <v>450</v>
      </c>
      <c r="K50" s="43">
        <f>INDEX($K:$K,MATCH($I50,$B:$B,0))+$J50</f>
        <v>2750</v>
      </c>
      <c r="L50" s="5">
        <f>VLOOKUP(K50,Наценка!$A$1:$G$8,2,1)</f>
        <v>1.27</v>
      </c>
      <c r="M50" s="43">
        <f>INDEX($M:$M,MATCH($I50,$B:$B,0))+$J50*$M$2</f>
        <v>3724.5</v>
      </c>
      <c r="N50" s="39">
        <f t="shared" si="2"/>
        <v>3790</v>
      </c>
      <c r="O50" s="40">
        <f>VLOOKUP($B50,'Выгр Торг'!$B:$Q,O$1,0)</f>
        <v>2750</v>
      </c>
      <c r="P50" s="40">
        <f>VLOOKUP($B50,'Выгр Торг'!$B:$Q,P$1,0)</f>
        <v>3790</v>
      </c>
      <c r="Q50" s="28">
        <f t="shared" si="3"/>
        <v>0</v>
      </c>
      <c r="R50" s="28">
        <f t="shared" si="4"/>
        <v>0</v>
      </c>
      <c r="S50" s="36">
        <f t="shared" si="5"/>
        <v>3524.7</v>
      </c>
      <c r="T50" s="38">
        <f>IFERROR((VLOOKUP($B50,'Из Гугла'!$B:$G,6,0)+V50)*U50,VLOOKUP($B50,'Из Гугла'!$B:$G,6,0))</f>
        <v>3590</v>
      </c>
      <c r="U50" s="38">
        <v>1</v>
      </c>
      <c r="V50" s="38">
        <v>600</v>
      </c>
      <c r="W50" s="22">
        <f t="shared" si="6"/>
        <v>0.28170909090909091</v>
      </c>
      <c r="X50" s="22">
        <f t="shared" si="7"/>
        <v>1.8189415041782779E-2</v>
      </c>
      <c r="Y50" s="22">
        <f t="shared" si="8"/>
        <v>0.30545454545454542</v>
      </c>
      <c r="Z50" s="52">
        <f>INDEX($Z:$Z,MATCH(I50,$B:$B,0))+V50</f>
        <v>3590</v>
      </c>
      <c r="AA50" t="s">
        <v>1282</v>
      </c>
    </row>
    <row r="51" spans="1:27" ht="60" x14ac:dyDescent="0.25">
      <c r="A51" s="23" t="str">
        <f>INDEX('Выгр Торг'!$A:$A,MATCH(B51,'Выгр Торг'!$B:$B,0))</f>
        <v>Накладки на зеркала в стиле Mercedes для Лада Нива 4х4, Нива 4х4 Урбан</v>
      </c>
      <c r="B51" s="26">
        <v>169238</v>
      </c>
      <c r="C51" s="26">
        <f>VLOOKUP($B51,'Выгр Торг'!$B:$Q,C$1,0)</f>
        <v>89089</v>
      </c>
      <c r="D51" s="25" t="str">
        <f>VLOOKUP($B51,'Выгр Торг'!$B:$Q,D$1,0)</f>
        <v>Накладки на зеркала в стиле Mercedes для Лада Нива 4х4, Нива 4х4 Урбан (В цвет, Яшма (темно-вишневый, 140))</v>
      </c>
      <c r="E51" s="26" t="str">
        <f>VLOOKUP($B51,'Выгр Торг'!$B:$Q,E$1,0)</f>
        <v>Y</v>
      </c>
      <c r="F51" s="26" t="str">
        <f>VLOOKUP($B51,'Выгр Торг'!$B:$Q,F$1,0)</f>
        <v>1</v>
      </c>
      <c r="G51" s="26">
        <f>VLOOKUP($B51,'Выгр Торг'!$B:$Q,G$1,0)</f>
        <v>0</v>
      </c>
      <c r="H51" s="2" t="s">
        <v>3</v>
      </c>
      <c r="I51" s="34">
        <v>169224</v>
      </c>
      <c r="J51" s="42">
        <f>INDEX($J:$J,MATCH($I51,$B:$B,0))</f>
        <v>450</v>
      </c>
      <c r="K51" s="43">
        <f>INDEX($K:$K,MATCH($I51,$B:$B,0))+$J51</f>
        <v>2750</v>
      </c>
      <c r="L51" s="5">
        <f>VLOOKUP(K51,Наценка!$A$1:$G$8,2,1)</f>
        <v>1.27</v>
      </c>
      <c r="M51" s="43">
        <f>INDEX($M:$M,MATCH($I51,$B:$B,0))+$J51*$M$2</f>
        <v>3724.5</v>
      </c>
      <c r="N51" s="39">
        <f t="shared" si="2"/>
        <v>3790</v>
      </c>
      <c r="O51" s="40">
        <f>VLOOKUP($B51,'Выгр Торг'!$B:$Q,O$1,0)</f>
        <v>2750</v>
      </c>
      <c r="P51" s="40">
        <f>VLOOKUP($B51,'Выгр Торг'!$B:$Q,P$1,0)</f>
        <v>3790</v>
      </c>
      <c r="Q51" s="28">
        <f t="shared" si="3"/>
        <v>0</v>
      </c>
      <c r="R51" s="28">
        <f t="shared" si="4"/>
        <v>0</v>
      </c>
      <c r="S51" s="36">
        <f t="shared" si="5"/>
        <v>3524.7</v>
      </c>
      <c r="T51" s="38">
        <f>IFERROR((VLOOKUP($B51,'Из Гугла'!$B:$G,6,0)+V51)*U51,VLOOKUP($B51,'Из Гугла'!$B:$G,6,0))</f>
        <v>3590</v>
      </c>
      <c r="U51" s="38">
        <v>1</v>
      </c>
      <c r="V51" s="38">
        <v>600</v>
      </c>
      <c r="W51" s="22">
        <f t="shared" si="6"/>
        <v>0.28170909090909091</v>
      </c>
      <c r="X51" s="22">
        <f t="shared" si="7"/>
        <v>1.8189415041782779E-2</v>
      </c>
      <c r="Y51" s="22">
        <f t="shared" si="8"/>
        <v>0.30545454545454542</v>
      </c>
      <c r="Z51" s="52">
        <f>INDEX($Z:$Z,MATCH(I51,$B:$B,0))+V51</f>
        <v>3590</v>
      </c>
      <c r="AA51" t="s">
        <v>1282</v>
      </c>
    </row>
    <row r="52" spans="1:27" ht="45" x14ac:dyDescent="0.25">
      <c r="A52" s="23" t="str">
        <f>INDEX('Выгр Торг'!$A:$A,MATCH(B52,'Выгр Торг'!$B:$B,0))</f>
        <v>Подлокотник-бокс для Лада (Калина 2, Гранта), Датсун (mi-DO, on-DO)</v>
      </c>
      <c r="B52" s="26">
        <v>194418</v>
      </c>
      <c r="C52" s="26">
        <f>VLOOKUP($B52,'Выгр Торг'!$B:$Q,C$1,0)</f>
        <v>85429</v>
      </c>
      <c r="D52" s="25" t="str">
        <f>VLOOKUP($B52,'Выгр Торг'!$B:$Q,D$1,0)</f>
        <v>Подлокотник-бокс для Лада (Калина 2, Гранта), Датсун (mi-DO, on-DO) (до 2018)</v>
      </c>
      <c r="E52" s="26" t="str">
        <f>VLOOKUP($B52,'Выгр Торг'!$B:$Q,E$1,0)</f>
        <v>Y</v>
      </c>
      <c r="F52" s="26" t="str">
        <f>VLOOKUP($B52,'Выгр Торг'!$B:$Q,F$1,0)</f>
        <v>0</v>
      </c>
      <c r="G52" s="26">
        <f>VLOOKUP($B52,'Выгр Торг'!$B:$Q,G$1,0)</f>
        <v>0</v>
      </c>
      <c r="H52" s="2" t="s">
        <v>3</v>
      </c>
      <c r="I52" s="34"/>
      <c r="J52" s="34"/>
      <c r="K52" s="41">
        <v>900</v>
      </c>
      <c r="L52" s="5">
        <f>VLOOKUP(K52,Наценка!$A$1:$G$8,2,1)</f>
        <v>1.45</v>
      </c>
      <c r="M52" s="34">
        <f t="shared" si="1"/>
        <v>1403.2258064516129</v>
      </c>
      <c r="N52" s="39">
        <f t="shared" si="2"/>
        <v>1490</v>
      </c>
      <c r="O52" s="40">
        <f>VLOOKUP($B52,'Выгр Торг'!$B:$Q,O$1,0)</f>
        <v>900</v>
      </c>
      <c r="P52" s="40">
        <f>VLOOKUP($B52,'Выгр Торг'!$B:$Q,P$1,0)</f>
        <v>1490</v>
      </c>
      <c r="Q52" s="28">
        <f t="shared" si="3"/>
        <v>0</v>
      </c>
      <c r="R52" s="28">
        <f t="shared" si="4"/>
        <v>0</v>
      </c>
      <c r="S52" s="36">
        <f t="shared" si="5"/>
        <v>1385.6999999999998</v>
      </c>
      <c r="T52" s="38" t="str">
        <f>IFERROR((VLOOKUP($B52,'Из Гугла'!$B:$G,6,0)+V52)*U52,VLOOKUP($B52,'Из Гугла'!$B:$G,6,0))</f>
        <v/>
      </c>
      <c r="U52" s="38">
        <v>1</v>
      </c>
      <c r="V52" s="38"/>
      <c r="W52" s="22">
        <f t="shared" si="6"/>
        <v>0.53966666666666652</v>
      </c>
      <c r="X52" s="22" t="str">
        <f t="shared" si="7"/>
        <v/>
      </c>
      <c r="Y52" s="22" t="str">
        <f t="shared" si="8"/>
        <v/>
      </c>
      <c r="Z52" s="9" t="s">
        <v>1269</v>
      </c>
    </row>
    <row r="53" spans="1:27" ht="45" x14ac:dyDescent="0.25">
      <c r="A53" s="23" t="str">
        <f>INDEX('Выгр Торг'!$A:$A,MATCH(B53,'Выгр Торг'!$B:$B,0))</f>
        <v>Подлокотник-бокс для Лада (Калина 2, Гранта), Датсун (mi-DO, on-DO)</v>
      </c>
      <c r="B53" s="26">
        <v>194419</v>
      </c>
      <c r="C53" s="26">
        <f>VLOOKUP($B53,'Выгр Торг'!$B:$Q,C$1,0)</f>
        <v>85430</v>
      </c>
      <c r="D53" s="25" t="str">
        <f>VLOOKUP($B53,'Выгр Торг'!$B:$Q,D$1,0)</f>
        <v>Подлокотник-бокс для Лада (Калина 2, Гранта), Датсун (mi-DO, on-DO) (после 2018)</v>
      </c>
      <c r="E53" s="26" t="str">
        <f>VLOOKUP($B53,'Выгр Торг'!$B:$Q,E$1,0)</f>
        <v>Y</v>
      </c>
      <c r="F53" s="26" t="str">
        <f>VLOOKUP($B53,'Выгр Торг'!$B:$Q,F$1,0)</f>
        <v>0</v>
      </c>
      <c r="G53" s="26">
        <f>VLOOKUP($B53,'Выгр Торг'!$B:$Q,G$1,0)</f>
        <v>0</v>
      </c>
      <c r="H53" s="2" t="s">
        <v>3</v>
      </c>
      <c r="I53" s="34"/>
      <c r="J53" s="34"/>
      <c r="K53" s="41">
        <v>900</v>
      </c>
      <c r="L53" s="5">
        <f>VLOOKUP(K53,Наценка!$A$1:$G$8,2,1)</f>
        <v>1.45</v>
      </c>
      <c r="M53" s="34">
        <f t="shared" si="1"/>
        <v>1403.2258064516129</v>
      </c>
      <c r="N53" s="39">
        <f t="shared" si="2"/>
        <v>1490</v>
      </c>
      <c r="O53" s="40">
        <f>VLOOKUP($B53,'Выгр Торг'!$B:$Q,O$1,0)</f>
        <v>900</v>
      </c>
      <c r="P53" s="40">
        <f>VLOOKUP($B53,'Выгр Торг'!$B:$Q,P$1,0)</f>
        <v>1490</v>
      </c>
      <c r="Q53" s="28">
        <f t="shared" si="3"/>
        <v>0</v>
      </c>
      <c r="R53" s="28">
        <f t="shared" si="4"/>
        <v>0</v>
      </c>
      <c r="S53" s="36">
        <f t="shared" si="5"/>
        <v>1385.6999999999998</v>
      </c>
      <c r="T53" s="38" t="str">
        <f>IFERROR((VLOOKUP($B53,'Из Гугла'!$B:$G,6,0)+V53)*U53,VLOOKUP($B53,'Из Гугла'!$B:$G,6,0))</f>
        <v/>
      </c>
      <c r="U53" s="38">
        <v>1</v>
      </c>
      <c r="V53" s="38"/>
      <c r="W53" s="22">
        <f t="shared" si="6"/>
        <v>0.53966666666666652</v>
      </c>
      <c r="X53" s="22" t="str">
        <f t="shared" si="7"/>
        <v/>
      </c>
      <c r="Y53" s="22" t="str">
        <f t="shared" si="8"/>
        <v/>
      </c>
      <c r="Z53" s="9" t="s">
        <v>1269</v>
      </c>
    </row>
    <row r="54" spans="1:27" ht="60" x14ac:dyDescent="0.25">
      <c r="A54" s="23" t="str">
        <f>INDEX('Выгр Торг'!$A:$A,MATCH(B54,'Выгр Торг'!$B:$B,0))</f>
        <v>Решётка радиатора в стиле Mercedes AMG с ДХО и LED-вставкой для Лада Нива 4х4, Нива Legend</v>
      </c>
      <c r="B54" s="26">
        <v>207590</v>
      </c>
      <c r="C54" s="26">
        <f>VLOOKUP($B54,'Выгр Торг'!$B:$Q,C$1,0)</f>
        <v>120971</v>
      </c>
      <c r="D54" s="25" t="str">
        <f>VLOOKUP($B54,'Выгр Торг'!$B:$Q,D$1,0)</f>
        <v>Решётка радиатора в стиле G63 AMG для Лада Нива 4х4, Нива Legend (Хром)</v>
      </c>
      <c r="E54" s="26" t="str">
        <f>VLOOKUP($B54,'Выгр Торг'!$B:$Q,E$1,0)</f>
        <v>Y</v>
      </c>
      <c r="F54" s="26" t="str">
        <f>VLOOKUP($B54,'Выгр Торг'!$B:$Q,F$1,0)</f>
        <v>1</v>
      </c>
      <c r="G54" s="26">
        <f>VLOOKUP($B54,'Выгр Торг'!$B:$Q,G$1,0)</f>
        <v>0</v>
      </c>
      <c r="H54" s="2" t="s">
        <v>3</v>
      </c>
      <c r="I54" s="34"/>
      <c r="J54" s="34"/>
      <c r="K54" s="41">
        <v>8500</v>
      </c>
      <c r="L54" s="5">
        <f>VLOOKUP(K54,Наценка!$A$1:$G$8,2,1)</f>
        <v>1.31</v>
      </c>
      <c r="M54" s="46">
        <f>Z54*1.04</f>
        <v>12989.6</v>
      </c>
      <c r="N54" s="39">
        <f t="shared" si="2"/>
        <v>12990</v>
      </c>
      <c r="O54" s="40">
        <f>VLOOKUP($B54,'Выгр Торг'!$B:$Q,O$1,0)</f>
        <v>8500</v>
      </c>
      <c r="P54" s="40">
        <f>VLOOKUP($B54,'Выгр Торг'!$B:$Q,P$1,0)</f>
        <v>12990</v>
      </c>
      <c r="Q54" s="28">
        <f t="shared" si="3"/>
        <v>0</v>
      </c>
      <c r="R54" s="28">
        <f t="shared" si="4"/>
        <v>0</v>
      </c>
      <c r="S54" s="36">
        <f t="shared" si="5"/>
        <v>12080.699999999999</v>
      </c>
      <c r="T54" s="38">
        <f>IFERROR((VLOOKUP($B54,'Из Гугла'!$B:$G,6,0)+V54)*U54,VLOOKUP($B54,'Из Гугла'!$B:$G,6,0))</f>
        <v>12490</v>
      </c>
      <c r="U54" s="38">
        <v>1</v>
      </c>
      <c r="V54" s="38"/>
      <c r="W54" s="22">
        <f t="shared" si="6"/>
        <v>0.42125882352941169</v>
      </c>
      <c r="X54" s="22">
        <f t="shared" si="7"/>
        <v>3.2770216172938439E-2</v>
      </c>
      <c r="Y54" s="22">
        <f t="shared" si="8"/>
        <v>0.46941176470588242</v>
      </c>
      <c r="Z54" s="9">
        <v>12490</v>
      </c>
      <c r="AA54" t="s">
        <v>1351</v>
      </c>
    </row>
    <row r="55" spans="1:27" ht="60" x14ac:dyDescent="0.25">
      <c r="A55" s="23" t="str">
        <f>INDEX('Выгр Торг'!$A:$A,MATCH(B55,'Выгр Торг'!$B:$B,0))</f>
        <v>Решётка радиатора в стиле Mercedes AMG с ДХО и LED-вставкой для Лада Нива 4х4, Нива Legend</v>
      </c>
      <c r="B55" s="26">
        <v>207591</v>
      </c>
      <c r="C55" s="26">
        <f>VLOOKUP($B55,'Выгр Торг'!$B:$Q,C$1,0)</f>
        <v>120972</v>
      </c>
      <c r="D55" s="25" t="str">
        <f>VLOOKUP($B55,'Выгр Торг'!$B:$Q,D$1,0)</f>
        <v>Решётка радиатора в стиле G63 AMG для Лада Нива 4х4, Нива Legend (Чёрный глянец)</v>
      </c>
      <c r="E55" s="26" t="str">
        <f>VLOOKUP($B55,'Выгр Торг'!$B:$Q,E$1,0)</f>
        <v>Y</v>
      </c>
      <c r="F55" s="26" t="str">
        <f>VLOOKUP($B55,'Выгр Торг'!$B:$Q,F$1,0)</f>
        <v>1</v>
      </c>
      <c r="G55" s="26">
        <f>VLOOKUP($B55,'Выгр Торг'!$B:$Q,G$1,0)</f>
        <v>0</v>
      </c>
      <c r="H55" s="2" t="s">
        <v>3</v>
      </c>
      <c r="I55" s="34"/>
      <c r="J55" s="34"/>
      <c r="K55" s="41">
        <v>9000</v>
      </c>
      <c r="L55" s="5">
        <f>VLOOKUP(K55,Наценка!$A$1:$G$8,2,1)</f>
        <v>1.31</v>
      </c>
      <c r="M55" s="46">
        <f>Z55*1.04</f>
        <v>11741.6</v>
      </c>
      <c r="N55" s="39">
        <f t="shared" si="2"/>
        <v>11790</v>
      </c>
      <c r="O55" s="40">
        <f>VLOOKUP($B55,'Выгр Торг'!$B:$Q,O$1,0)</f>
        <v>9000</v>
      </c>
      <c r="P55" s="40">
        <f>VLOOKUP($B55,'Выгр Торг'!$B:$Q,P$1,0)</f>
        <v>11790</v>
      </c>
      <c r="Q55" s="28">
        <f t="shared" si="3"/>
        <v>0</v>
      </c>
      <c r="R55" s="28">
        <f t="shared" si="4"/>
        <v>0</v>
      </c>
      <c r="S55" s="36">
        <f t="shared" si="5"/>
        <v>10964.699999999999</v>
      </c>
      <c r="T55" s="38">
        <f>IFERROR((VLOOKUP($B55,'Из Гугла'!$B:$G,6,0)+V55)*U55,VLOOKUP($B55,'Из Гугла'!$B:$G,6,0))</f>
        <v>11290</v>
      </c>
      <c r="U55" s="38">
        <v>1</v>
      </c>
      <c r="V55" s="38"/>
      <c r="W55" s="22">
        <f t="shared" si="6"/>
        <v>0.21829999999999994</v>
      </c>
      <c r="X55" s="22">
        <f t="shared" si="7"/>
        <v>2.881310894596998E-2</v>
      </c>
      <c r="Y55" s="22">
        <f t="shared" si="8"/>
        <v>0.25444444444444447</v>
      </c>
      <c r="Z55" s="9">
        <v>11290</v>
      </c>
      <c r="AA55" t="s">
        <v>1352</v>
      </c>
    </row>
    <row r="56" spans="1:27" ht="60" x14ac:dyDescent="0.25">
      <c r="A56" s="23" t="str">
        <f>INDEX('Выгр Торг'!$A:$A,MATCH(B56,'Выгр Торг'!$B:$B,0))</f>
        <v>Боковые зеркала (аналог, бегающий повторитель, электропривод, обогрев) для Лада Веста</v>
      </c>
      <c r="B56" s="26">
        <v>243499</v>
      </c>
      <c r="C56" s="26">
        <f>VLOOKUP($B56,'Выгр Торг'!$B:$Q,C$1,0)</f>
        <v>182083</v>
      </c>
      <c r="D56" s="25" t="str">
        <f>VLOOKUP($B56,'Выгр Торг'!$B:$Q,D$1,0)</f>
        <v>Боковые зеркала (аналог, бегающий повторитель, электропривод, обогрев) для Лада Веста (Без покраски)</v>
      </c>
      <c r="E56" s="26" t="str">
        <f>VLOOKUP($B56,'Выгр Торг'!$B:$Q,E$1,0)</f>
        <v>Y</v>
      </c>
      <c r="F56" s="26" t="str">
        <f>VLOOKUP($B56,'Выгр Торг'!$B:$Q,F$1,0)</f>
        <v>1ск2</v>
      </c>
      <c r="G56" s="26">
        <f>VLOOKUP($B56,'Выгр Торг'!$B:$Q,G$1,0)</f>
        <v>0</v>
      </c>
      <c r="H56" s="2" t="s">
        <v>3</v>
      </c>
      <c r="I56" s="34">
        <v>243499</v>
      </c>
      <c r="J56" s="34">
        <v>450</v>
      </c>
      <c r="K56" s="41">
        <v>2600</v>
      </c>
      <c r="L56" s="5">
        <f>VLOOKUP(K56,Наценка!$A$1:$G$8,2,1)</f>
        <v>1.27</v>
      </c>
      <c r="M56" s="34">
        <f t="shared" ref="M56:M74" si="23">K56*L56*100/93</f>
        <v>3550.5376344086021</v>
      </c>
      <c r="N56" s="39">
        <f t="shared" ref="N56:N91" si="24">IF(M56&lt;=1000,(ROUNDUP(M56,-1)-1),(ROUNDUP(M56,-2)-10))</f>
        <v>3590</v>
      </c>
      <c r="O56" s="40">
        <f>VLOOKUP($B56,'Выгр Торг'!$B:$Q,O$1,0)</f>
        <v>2600</v>
      </c>
      <c r="P56" s="40">
        <f>VLOOKUP($B56,'Выгр Торг'!$B:$Q,P$1,0)</f>
        <v>3590</v>
      </c>
      <c r="Q56" s="28">
        <f t="shared" si="3"/>
        <v>0</v>
      </c>
      <c r="R56" s="28">
        <f t="shared" si="4"/>
        <v>0</v>
      </c>
      <c r="S56" s="36">
        <f t="shared" si="5"/>
        <v>3338.7</v>
      </c>
      <c r="T56" s="38" t="str">
        <f>IFERROR((VLOOKUP($B56,'Из Гугла'!$B:$G,6,0)+V56)*U56,VLOOKUP($B56,'Из Гугла'!$B:$G,6,0))</f>
        <v/>
      </c>
      <c r="U56" s="38">
        <v>1</v>
      </c>
      <c r="V56" s="38"/>
      <c r="W56" s="22">
        <f t="shared" si="6"/>
        <v>0.28411538461538455</v>
      </c>
      <c r="X56" s="22" t="str">
        <f t="shared" si="7"/>
        <v/>
      </c>
      <c r="Y56" s="22" t="str">
        <f t="shared" si="8"/>
        <v/>
      </c>
      <c r="Z56" s="9" t="s">
        <v>1269</v>
      </c>
    </row>
    <row r="57" spans="1:27" ht="60" x14ac:dyDescent="0.25">
      <c r="A57" s="23" t="str">
        <f>INDEX('Выгр Торг'!$A:$A,MATCH(B57,'Выгр Торг'!$B:$B,0))</f>
        <v>Боковые зеркала (аналог, бегающий повторитель, электропривод, обогрев) для Лада Веста</v>
      </c>
      <c r="B57" s="26">
        <v>243500</v>
      </c>
      <c r="C57" s="26">
        <f>VLOOKUP($B57,'Выгр Торг'!$B:$Q,C$1,0)</f>
        <v>182086</v>
      </c>
      <c r="D57" s="25" t="str">
        <f>VLOOKUP($B57,'Выгр Торг'!$B:$Q,D$1,0)</f>
        <v>Боковые зеркала (аналог, бегающий повторитель, электропривод, обогрев) для Лада Веста (В цвет, Ангкор (темно-коричневый, 246))</v>
      </c>
      <c r="E57" s="26" t="str">
        <f>VLOOKUP($B57,'Выгр Торг'!$B:$Q,E$1,0)</f>
        <v>Y</v>
      </c>
      <c r="F57" s="26" t="str">
        <f>VLOOKUP($B57,'Выгр Торг'!$B:$Q,F$1,0)</f>
        <v>1</v>
      </c>
      <c r="G57" s="26">
        <f>VLOOKUP($B57,'Выгр Торг'!$B:$Q,G$1,0)</f>
        <v>0</v>
      </c>
      <c r="H57" s="2" t="s">
        <v>3</v>
      </c>
      <c r="I57" s="34">
        <v>243499</v>
      </c>
      <c r="J57" s="42">
        <f>INDEX($J:$J,MATCH($I57,$B:$B,0))</f>
        <v>450</v>
      </c>
      <c r="K57" s="43">
        <f>INDEX($K:$K,MATCH($I57,$B:$B,0))+$J57</f>
        <v>3050</v>
      </c>
      <c r="L57" s="5">
        <f>VLOOKUP(K57,Наценка!$A$1:$G$8,2,1)</f>
        <v>1.27</v>
      </c>
      <c r="M57" s="43">
        <f>INDEX($M:$M,MATCH($I57,$B:$B,0))+$J57*$M$2</f>
        <v>4135.5376344086017</v>
      </c>
      <c r="N57" s="39">
        <f t="shared" si="24"/>
        <v>4190</v>
      </c>
      <c r="O57" s="40">
        <f>VLOOKUP($B57,'Выгр Торг'!$B:$Q,O$1,0)</f>
        <v>3050</v>
      </c>
      <c r="P57" s="40">
        <f>VLOOKUP($B57,'Выгр Торг'!$B:$Q,P$1,0)</f>
        <v>4190</v>
      </c>
      <c r="Q57" s="28">
        <f t="shared" si="3"/>
        <v>0</v>
      </c>
      <c r="R57" s="28">
        <f t="shared" si="4"/>
        <v>0</v>
      </c>
      <c r="S57" s="36">
        <f t="shared" si="5"/>
        <v>3896.7</v>
      </c>
      <c r="T57" s="38" t="str">
        <f>IFERROR((VLOOKUP($B57,'Из Гугла'!$B:$G,6,0)+V57)*U57,VLOOKUP($B57,'Из Гугла'!$B:$G,6,0))</f>
        <v/>
      </c>
      <c r="U57" s="38">
        <v>1</v>
      </c>
      <c r="V57" s="38"/>
      <c r="W57" s="22">
        <f t="shared" si="6"/>
        <v>0.2776065573770492</v>
      </c>
      <c r="X57" s="22" t="str">
        <f t="shared" si="7"/>
        <v/>
      </c>
      <c r="Y57" s="22" t="str">
        <f t="shared" si="8"/>
        <v/>
      </c>
      <c r="Z57" s="9" t="s">
        <v>1269</v>
      </c>
    </row>
    <row r="58" spans="1:27" ht="60" x14ac:dyDescent="0.25">
      <c r="A58" s="23" t="str">
        <f>INDEX('Выгр Торг'!$A:$A,MATCH(B58,'Выгр Торг'!$B:$B,0))</f>
        <v>Боковые зеркала (аналог, бегающий повторитель, электропривод, обогрев) для Лада Веста</v>
      </c>
      <c r="B58" s="26">
        <v>243501</v>
      </c>
      <c r="C58" s="26">
        <f>VLOOKUP($B58,'Выгр Торг'!$B:$Q,C$1,0)</f>
        <v>182087</v>
      </c>
      <c r="D58" s="25" t="str">
        <f>VLOOKUP($B58,'Выгр Торг'!$B:$Q,D$1,0)</f>
        <v>Боковые зеркала (аналог, бегающий повторитель, электропривод, обогрев) для Лада Веста (В цвет, Блюз (темно-синий, 492))</v>
      </c>
      <c r="E58" s="26" t="str">
        <f>VLOOKUP($B58,'Выгр Торг'!$B:$Q,E$1,0)</f>
        <v>Y</v>
      </c>
      <c r="F58" s="26" t="str">
        <f>VLOOKUP($B58,'Выгр Торг'!$B:$Q,F$1,0)</f>
        <v>1</v>
      </c>
      <c r="G58" s="26">
        <f>VLOOKUP($B58,'Выгр Торг'!$B:$Q,G$1,0)</f>
        <v>0</v>
      </c>
      <c r="H58" s="2" t="s">
        <v>3</v>
      </c>
      <c r="I58" s="34">
        <v>243499</v>
      </c>
      <c r="J58" s="42">
        <f>INDEX($J:$J,MATCH($I58,$B:$B,0))</f>
        <v>450</v>
      </c>
      <c r="K58" s="43">
        <f>INDEX($K:$K,MATCH($I58,$B:$B,0))+$J58</f>
        <v>3050</v>
      </c>
      <c r="L58" s="5">
        <f>VLOOKUP(K58,Наценка!$A$1:$G$8,2,1)</f>
        <v>1.27</v>
      </c>
      <c r="M58" s="43">
        <f>INDEX($M:$M,MATCH($I58,$B:$B,0))+$J58*$M$2</f>
        <v>4135.5376344086017</v>
      </c>
      <c r="N58" s="39">
        <f t="shared" si="24"/>
        <v>4190</v>
      </c>
      <c r="O58" s="40">
        <f>VLOOKUP($B58,'Выгр Торг'!$B:$Q,O$1,0)</f>
        <v>3050</v>
      </c>
      <c r="P58" s="40">
        <f>VLOOKUP($B58,'Выгр Торг'!$B:$Q,P$1,0)</f>
        <v>4190</v>
      </c>
      <c r="Q58" s="28">
        <f t="shared" si="3"/>
        <v>0</v>
      </c>
      <c r="R58" s="28">
        <f t="shared" si="4"/>
        <v>0</v>
      </c>
      <c r="S58" s="36">
        <f t="shared" si="5"/>
        <v>3896.7</v>
      </c>
      <c r="T58" s="38" t="str">
        <f>IFERROR((VLOOKUP($B58,'Из Гугла'!$B:$G,6,0)+V58)*U58,VLOOKUP($B58,'Из Гугла'!$B:$G,6,0))</f>
        <v/>
      </c>
      <c r="U58" s="38">
        <v>1</v>
      </c>
      <c r="V58" s="38"/>
      <c r="W58" s="22">
        <f t="shared" si="6"/>
        <v>0.2776065573770492</v>
      </c>
      <c r="X58" s="22" t="str">
        <f t="shared" si="7"/>
        <v/>
      </c>
      <c r="Y58" s="22" t="str">
        <f t="shared" si="8"/>
        <v/>
      </c>
      <c r="Z58" s="9" t="s">
        <v>1269</v>
      </c>
    </row>
    <row r="59" spans="1:27" ht="60" x14ac:dyDescent="0.25">
      <c r="A59" s="23" t="str">
        <f>INDEX('Выгр Торг'!$A:$A,MATCH(B59,'Выгр Торг'!$B:$B,0))</f>
        <v>Боковые зеркала (аналог, бегающий повторитель, электропривод, обогрев) для Лада Веста</v>
      </c>
      <c r="B59" s="26">
        <v>243502</v>
      </c>
      <c r="C59" s="26">
        <f>VLOOKUP($B59,'Выгр Торг'!$B:$Q,C$1,0)</f>
        <v>182088</v>
      </c>
      <c r="D59" s="25" t="str">
        <f>VLOOKUP($B59,'Выгр Торг'!$B:$Q,D$1,0)</f>
        <v>Боковые зеркала (аналог, бегающий повторитель, электропривод, обогрев) для Лада Веста (В цвет, Дайвинг (ярко-синий, 476))</v>
      </c>
      <c r="E59" s="26" t="str">
        <f>VLOOKUP($B59,'Выгр Торг'!$B:$Q,E$1,0)</f>
        <v>Y</v>
      </c>
      <c r="F59" s="26" t="str">
        <f>VLOOKUP($B59,'Выгр Торг'!$B:$Q,F$1,0)</f>
        <v>1</v>
      </c>
      <c r="G59" s="26">
        <f>VLOOKUP($B59,'Выгр Торг'!$B:$Q,G$1,0)</f>
        <v>0</v>
      </c>
      <c r="H59" s="2" t="s">
        <v>3</v>
      </c>
      <c r="I59" s="34">
        <v>243499</v>
      </c>
      <c r="J59" s="42">
        <f>INDEX($J:$J,MATCH($I59,$B:$B,0))</f>
        <v>450</v>
      </c>
      <c r="K59" s="43">
        <f>INDEX($K:$K,MATCH($I59,$B:$B,0))+$J59</f>
        <v>3050</v>
      </c>
      <c r="L59" s="5">
        <f>VLOOKUP(K59,Наценка!$A$1:$G$8,2,1)</f>
        <v>1.27</v>
      </c>
      <c r="M59" s="43">
        <f>INDEX($M:$M,MATCH($I59,$B:$B,0))+$J59*$M$2</f>
        <v>4135.5376344086017</v>
      </c>
      <c r="N59" s="39">
        <f t="shared" si="24"/>
        <v>4190</v>
      </c>
      <c r="O59" s="40">
        <f>VLOOKUP($B59,'Выгр Торг'!$B:$Q,O$1,0)</f>
        <v>3050</v>
      </c>
      <c r="P59" s="40">
        <f>VLOOKUP($B59,'Выгр Торг'!$B:$Q,P$1,0)</f>
        <v>4190</v>
      </c>
      <c r="Q59" s="28">
        <f t="shared" si="3"/>
        <v>0</v>
      </c>
      <c r="R59" s="28">
        <f t="shared" si="4"/>
        <v>0</v>
      </c>
      <c r="S59" s="36">
        <f t="shared" si="5"/>
        <v>3896.7</v>
      </c>
      <c r="T59" s="38" t="str">
        <f>IFERROR((VLOOKUP($B59,'Из Гугла'!$B:$G,6,0)+V59)*U59,VLOOKUP($B59,'Из Гугла'!$B:$G,6,0))</f>
        <v/>
      </c>
      <c r="U59" s="38">
        <v>1</v>
      </c>
      <c r="V59" s="38"/>
      <c r="W59" s="22">
        <f t="shared" si="6"/>
        <v>0.2776065573770492</v>
      </c>
      <c r="X59" s="22" t="str">
        <f t="shared" si="7"/>
        <v/>
      </c>
      <c r="Y59" s="22" t="str">
        <f t="shared" si="8"/>
        <v/>
      </c>
      <c r="Z59" s="9" t="s">
        <v>1269</v>
      </c>
    </row>
    <row r="60" spans="1:27" ht="60" x14ac:dyDescent="0.25">
      <c r="A60" s="23" t="str">
        <f>INDEX('Выгр Торг'!$A:$A,MATCH(B60,'Выгр Торг'!$B:$B,0))</f>
        <v>Боковые зеркала (аналог, бегающий повторитель, электропривод, обогрев) для Лада Веста</v>
      </c>
      <c r="B60" s="26">
        <v>243503</v>
      </c>
      <c r="C60" s="26">
        <f>VLOOKUP($B60,'Выгр Торг'!$B:$Q,C$1,0)</f>
        <v>182089</v>
      </c>
      <c r="D60" s="25" t="str">
        <f>VLOOKUP($B60,'Выгр Торг'!$B:$Q,D$1,0)</f>
        <v>Боковые зеркала (аналог, бегающий повторитель, электропривод, обогрев) для Лада Веста (В цвет, Карфаген (бежевый, 247))</v>
      </c>
      <c r="E60" s="26" t="str">
        <f>VLOOKUP($B60,'Выгр Торг'!$B:$Q,E$1,0)</f>
        <v>Y</v>
      </c>
      <c r="F60" s="26" t="str">
        <f>VLOOKUP($B60,'Выгр Торг'!$B:$Q,F$1,0)</f>
        <v>1</v>
      </c>
      <c r="G60" s="26">
        <f>VLOOKUP($B60,'Выгр Торг'!$B:$Q,G$1,0)</f>
        <v>0</v>
      </c>
      <c r="H60" s="2" t="s">
        <v>3</v>
      </c>
      <c r="I60" s="34">
        <v>243499</v>
      </c>
      <c r="J60" s="42">
        <f>INDEX($J:$J,MATCH($I60,$B:$B,0))</f>
        <v>450</v>
      </c>
      <c r="K60" s="43">
        <f>INDEX($K:$K,MATCH($I60,$B:$B,0))+$J60</f>
        <v>3050</v>
      </c>
      <c r="L60" s="5">
        <f>VLOOKUP(K60,Наценка!$A$1:$G$8,2,1)</f>
        <v>1.27</v>
      </c>
      <c r="M60" s="43">
        <f>INDEX($M:$M,MATCH($I60,$B:$B,0))+$J60*$M$2</f>
        <v>4135.5376344086017</v>
      </c>
      <c r="N60" s="39">
        <f t="shared" si="24"/>
        <v>4190</v>
      </c>
      <c r="O60" s="40">
        <f>VLOOKUP($B60,'Выгр Торг'!$B:$Q,O$1,0)</f>
        <v>3050</v>
      </c>
      <c r="P60" s="40">
        <f>VLOOKUP($B60,'Выгр Торг'!$B:$Q,P$1,0)</f>
        <v>4190</v>
      </c>
      <c r="Q60" s="28">
        <f t="shared" si="3"/>
        <v>0</v>
      </c>
      <c r="R60" s="28">
        <f t="shared" si="4"/>
        <v>0</v>
      </c>
      <c r="S60" s="36">
        <f t="shared" si="5"/>
        <v>3896.7</v>
      </c>
      <c r="T60" s="38" t="str">
        <f>IFERROR((VLOOKUP($B60,'Из Гугла'!$B:$G,6,0)+V60)*U60,VLOOKUP($B60,'Из Гугла'!$B:$G,6,0))</f>
        <v/>
      </c>
      <c r="U60" s="38">
        <v>1</v>
      </c>
      <c r="V60" s="38"/>
      <c r="W60" s="22">
        <f t="shared" si="6"/>
        <v>0.2776065573770492</v>
      </c>
      <c r="X60" s="22" t="str">
        <f t="shared" si="7"/>
        <v/>
      </c>
      <c r="Y60" s="22" t="str">
        <f t="shared" si="8"/>
        <v/>
      </c>
      <c r="Z60" s="9" t="s">
        <v>1269</v>
      </c>
    </row>
    <row r="61" spans="1:27" ht="60" x14ac:dyDescent="0.25">
      <c r="A61" s="23" t="str">
        <f>INDEX('Выгр Торг'!$A:$A,MATCH(B61,'Выгр Торг'!$B:$B,0))</f>
        <v>Боковые зеркала (аналог, бегающий повторитель, электропривод, обогрев) для Лада Веста</v>
      </c>
      <c r="B61" s="26">
        <v>243504</v>
      </c>
      <c r="C61" s="26">
        <f>VLOOKUP($B61,'Выгр Торг'!$B:$Q,C$1,0)</f>
        <v>182090</v>
      </c>
      <c r="D61" s="25" t="str">
        <f>VLOOKUP($B61,'Выгр Торг'!$B:$Q,D$1,0)</f>
        <v>Боковые зеркала (аналог, бегающий повторитель, электропривод, обогрев) для Лада Веста (В цвет, Криптон (темно-зеленый, 372))</v>
      </c>
      <c r="E61" s="26" t="str">
        <f>VLOOKUP($B61,'Выгр Торг'!$B:$Q,E$1,0)</f>
        <v>Y</v>
      </c>
      <c r="F61" s="26" t="str">
        <f>VLOOKUP($B61,'Выгр Торг'!$B:$Q,F$1,0)</f>
        <v>1</v>
      </c>
      <c r="G61" s="26">
        <f>VLOOKUP($B61,'Выгр Торг'!$B:$Q,G$1,0)</f>
        <v>0</v>
      </c>
      <c r="H61" s="2" t="s">
        <v>3</v>
      </c>
      <c r="I61" s="34">
        <v>243499</v>
      </c>
      <c r="J61" s="42">
        <f>INDEX($J:$J,MATCH($I61,$B:$B,0))</f>
        <v>450</v>
      </c>
      <c r="K61" s="43">
        <f>INDEX($K:$K,MATCH($I61,$B:$B,0))+$J61</f>
        <v>3050</v>
      </c>
      <c r="L61" s="5">
        <f>VLOOKUP(K61,Наценка!$A$1:$G$8,2,1)</f>
        <v>1.27</v>
      </c>
      <c r="M61" s="43">
        <f>INDEX($M:$M,MATCH($I61,$B:$B,0))+$J61*$M$2</f>
        <v>4135.5376344086017</v>
      </c>
      <c r="N61" s="39">
        <f t="shared" si="24"/>
        <v>4190</v>
      </c>
      <c r="O61" s="40">
        <f>VLOOKUP($B61,'Выгр Торг'!$B:$Q,O$1,0)</f>
        <v>3050</v>
      </c>
      <c r="P61" s="40">
        <f>VLOOKUP($B61,'Выгр Торг'!$B:$Q,P$1,0)</f>
        <v>4190</v>
      </c>
      <c r="Q61" s="28">
        <f t="shared" si="3"/>
        <v>0</v>
      </c>
      <c r="R61" s="28">
        <f t="shared" si="4"/>
        <v>0</v>
      </c>
      <c r="S61" s="36">
        <f t="shared" si="5"/>
        <v>3896.7</v>
      </c>
      <c r="T61" s="38" t="str">
        <f>IFERROR((VLOOKUP($B61,'Из Гугла'!$B:$G,6,0)+V61)*U61,VLOOKUP($B61,'Из Гугла'!$B:$G,6,0))</f>
        <v/>
      </c>
      <c r="U61" s="38">
        <v>1</v>
      </c>
      <c r="V61" s="38"/>
      <c r="W61" s="22">
        <f t="shared" si="6"/>
        <v>0.2776065573770492</v>
      </c>
      <c r="X61" s="22" t="str">
        <f t="shared" si="7"/>
        <v/>
      </c>
      <c r="Y61" s="22" t="str">
        <f t="shared" si="8"/>
        <v/>
      </c>
      <c r="Z61" s="9" t="s">
        <v>1269</v>
      </c>
    </row>
    <row r="62" spans="1:27" ht="60" x14ac:dyDescent="0.25">
      <c r="A62" s="23" t="str">
        <f>INDEX('Выгр Торг'!$A:$A,MATCH(B62,'Выгр Торг'!$B:$B,0))</f>
        <v>Боковые зеркала (аналог, бегающий повторитель, электропривод, обогрев) для Лада Веста</v>
      </c>
      <c r="B62" s="26">
        <v>243505</v>
      </c>
      <c r="C62" s="26">
        <f>VLOOKUP($B62,'Выгр Торг'!$B:$Q,C$1,0)</f>
        <v>182091</v>
      </c>
      <c r="D62" s="25" t="str">
        <f>VLOOKUP($B62,'Выгр Торг'!$B:$Q,D$1,0)</f>
        <v>Боковые зеркала (аналог, бегающий повторитель, электропривод, обогрев) для Лада Веста (В цвет, Лайм (яркий желто-зеленый, 366))</v>
      </c>
      <c r="E62" s="26" t="str">
        <f>VLOOKUP($B62,'Выгр Торг'!$B:$Q,E$1,0)</f>
        <v>Y</v>
      </c>
      <c r="F62" s="26" t="str">
        <f>VLOOKUP($B62,'Выгр Торг'!$B:$Q,F$1,0)</f>
        <v>1</v>
      </c>
      <c r="G62" s="26">
        <f>VLOOKUP($B62,'Выгр Торг'!$B:$Q,G$1,0)</f>
        <v>0</v>
      </c>
      <c r="H62" s="2" t="s">
        <v>3</v>
      </c>
      <c r="I62" s="34">
        <v>243499</v>
      </c>
      <c r="J62" s="42">
        <f>INDEX($J:$J,MATCH($I62,$B:$B,0))</f>
        <v>450</v>
      </c>
      <c r="K62" s="43">
        <f>INDEX($K:$K,MATCH($I62,$B:$B,0))+$J62</f>
        <v>3050</v>
      </c>
      <c r="L62" s="5">
        <f>VLOOKUP(K62,Наценка!$A$1:$G$8,2,1)</f>
        <v>1.27</v>
      </c>
      <c r="M62" s="43">
        <f>INDEX($M:$M,MATCH($I62,$B:$B,0))+$J62*$M$2</f>
        <v>4135.5376344086017</v>
      </c>
      <c r="N62" s="39">
        <f t="shared" si="24"/>
        <v>4190</v>
      </c>
      <c r="O62" s="40">
        <f>VLOOKUP($B62,'Выгр Торг'!$B:$Q,O$1,0)</f>
        <v>3050</v>
      </c>
      <c r="P62" s="40">
        <f>VLOOKUP($B62,'Выгр Торг'!$B:$Q,P$1,0)</f>
        <v>4190</v>
      </c>
      <c r="Q62" s="28">
        <f t="shared" si="3"/>
        <v>0</v>
      </c>
      <c r="R62" s="28">
        <f t="shared" si="4"/>
        <v>0</v>
      </c>
      <c r="S62" s="36">
        <f t="shared" si="5"/>
        <v>3896.7</v>
      </c>
      <c r="T62" s="38" t="str">
        <f>IFERROR((VLOOKUP($B62,'Из Гугла'!$B:$G,6,0)+V62)*U62,VLOOKUP($B62,'Из Гугла'!$B:$G,6,0))</f>
        <v/>
      </c>
      <c r="U62" s="38">
        <v>1</v>
      </c>
      <c r="V62" s="38"/>
      <c r="W62" s="22">
        <f t="shared" si="6"/>
        <v>0.2776065573770492</v>
      </c>
      <c r="X62" s="22" t="str">
        <f t="shared" si="7"/>
        <v/>
      </c>
      <c r="Y62" s="22" t="str">
        <f t="shared" si="8"/>
        <v/>
      </c>
      <c r="Z62" s="9" t="s">
        <v>1269</v>
      </c>
    </row>
    <row r="63" spans="1:27" ht="60" x14ac:dyDescent="0.25">
      <c r="A63" s="23" t="str">
        <f>INDEX('Выгр Торг'!$A:$A,MATCH(B63,'Выгр Торг'!$B:$B,0))</f>
        <v>Боковые зеркала (аналог, бегающий повторитель, электропривод, обогрев) для Лада Веста</v>
      </c>
      <c r="B63" s="26">
        <v>243506</v>
      </c>
      <c r="C63" s="26">
        <f>VLOOKUP($B63,'Выгр Торг'!$B:$Q,C$1,0)</f>
        <v>182092</v>
      </c>
      <c r="D63" s="25" t="str">
        <f>VLOOKUP($B63,'Выгр Торг'!$B:$Q,D$1,0)</f>
        <v>Боковые зеркала (аналог, бегающий повторитель, электропривод, обогрев) для Лада Веста (В цвет, Ледниковый (белый, 221))</v>
      </c>
      <c r="E63" s="26" t="str">
        <f>VLOOKUP($B63,'Выгр Торг'!$B:$Q,E$1,0)</f>
        <v>Y</v>
      </c>
      <c r="F63" s="26" t="str">
        <f>VLOOKUP($B63,'Выгр Торг'!$B:$Q,F$1,0)</f>
        <v>1</v>
      </c>
      <c r="G63" s="26">
        <f>VLOOKUP($B63,'Выгр Торг'!$B:$Q,G$1,0)</f>
        <v>0</v>
      </c>
      <c r="H63" s="2" t="s">
        <v>3</v>
      </c>
      <c r="I63" s="34">
        <v>243499</v>
      </c>
      <c r="J63" s="42">
        <f>INDEX($J:$J,MATCH($I63,$B:$B,0))</f>
        <v>450</v>
      </c>
      <c r="K63" s="43">
        <f>INDEX($K:$K,MATCH($I63,$B:$B,0))+$J63</f>
        <v>3050</v>
      </c>
      <c r="L63" s="5">
        <f>VLOOKUP(K63,Наценка!$A$1:$G$8,2,1)</f>
        <v>1.27</v>
      </c>
      <c r="M63" s="43">
        <f>INDEX($M:$M,MATCH($I63,$B:$B,0))+$J63*$M$2</f>
        <v>4135.5376344086017</v>
      </c>
      <c r="N63" s="39">
        <f t="shared" si="24"/>
        <v>4190</v>
      </c>
      <c r="O63" s="40">
        <f>VLOOKUP($B63,'Выгр Торг'!$B:$Q,O$1,0)</f>
        <v>3050</v>
      </c>
      <c r="P63" s="40">
        <f>VLOOKUP($B63,'Выгр Торг'!$B:$Q,P$1,0)</f>
        <v>4190</v>
      </c>
      <c r="Q63" s="28">
        <f t="shared" si="3"/>
        <v>0</v>
      </c>
      <c r="R63" s="28">
        <f t="shared" si="4"/>
        <v>0</v>
      </c>
      <c r="S63" s="36">
        <f t="shared" si="5"/>
        <v>3896.7</v>
      </c>
      <c r="T63" s="38" t="str">
        <f>IFERROR((VLOOKUP($B63,'Из Гугла'!$B:$G,6,0)+V63)*U63,VLOOKUP($B63,'Из Гугла'!$B:$G,6,0))</f>
        <v/>
      </c>
      <c r="U63" s="38">
        <v>1</v>
      </c>
      <c r="V63" s="38"/>
      <c r="W63" s="22">
        <f t="shared" si="6"/>
        <v>0.2776065573770492</v>
      </c>
      <c r="X63" s="22" t="str">
        <f t="shared" si="7"/>
        <v/>
      </c>
      <c r="Y63" s="22" t="str">
        <f t="shared" si="8"/>
        <v/>
      </c>
      <c r="Z63" s="9" t="s">
        <v>1269</v>
      </c>
    </row>
    <row r="64" spans="1:27" ht="60" x14ac:dyDescent="0.25">
      <c r="A64" s="23" t="str">
        <f>INDEX('Выгр Торг'!$A:$A,MATCH(B64,'Выгр Торг'!$B:$B,0))</f>
        <v>Боковые зеркала (аналог, бегающий повторитель, электропривод, обогрев) для Лада Веста</v>
      </c>
      <c r="B64" s="26">
        <v>243507</v>
      </c>
      <c r="C64" s="26">
        <f>VLOOKUP($B64,'Выгр Торг'!$B:$Q,C$1,0)</f>
        <v>182093</v>
      </c>
      <c r="D64" s="25" t="str">
        <f>VLOOKUP($B64,'Выгр Торг'!$B:$Q,D$1,0)</f>
        <v>Боковые зеркала (аналог, бегающий повторитель, электропривод, обогрев) для Лада Веста (В цвет, Марс (оранжевый, 130))</v>
      </c>
      <c r="E64" s="26" t="str">
        <f>VLOOKUP($B64,'Выгр Торг'!$B:$Q,E$1,0)</f>
        <v>Y</v>
      </c>
      <c r="F64" s="26" t="str">
        <f>VLOOKUP($B64,'Выгр Торг'!$B:$Q,F$1,0)</f>
        <v>1</v>
      </c>
      <c r="G64" s="26">
        <f>VLOOKUP($B64,'Выгр Торг'!$B:$Q,G$1,0)</f>
        <v>0</v>
      </c>
      <c r="H64" s="2" t="s">
        <v>3</v>
      </c>
      <c r="I64" s="34">
        <v>243499</v>
      </c>
      <c r="J64" s="42">
        <f>INDEX($J:$J,MATCH($I64,$B:$B,0))</f>
        <v>450</v>
      </c>
      <c r="K64" s="43">
        <f>INDEX($K:$K,MATCH($I64,$B:$B,0))+$J64</f>
        <v>3050</v>
      </c>
      <c r="L64" s="5">
        <f>VLOOKUP(K64,Наценка!$A$1:$G$8,2,1)</f>
        <v>1.27</v>
      </c>
      <c r="M64" s="43">
        <f>INDEX($M:$M,MATCH($I64,$B:$B,0))+$J64*$M$2</f>
        <v>4135.5376344086017</v>
      </c>
      <c r="N64" s="39">
        <f t="shared" si="24"/>
        <v>4190</v>
      </c>
      <c r="O64" s="40">
        <f>VLOOKUP($B64,'Выгр Торг'!$B:$Q,O$1,0)</f>
        <v>3050</v>
      </c>
      <c r="P64" s="40">
        <f>VLOOKUP($B64,'Выгр Торг'!$B:$Q,P$1,0)</f>
        <v>4190</v>
      </c>
      <c r="Q64" s="28">
        <f t="shared" si="3"/>
        <v>0</v>
      </c>
      <c r="R64" s="28">
        <f t="shared" si="4"/>
        <v>0</v>
      </c>
      <c r="S64" s="36">
        <f t="shared" si="5"/>
        <v>3896.7</v>
      </c>
      <c r="T64" s="38" t="str">
        <f>IFERROR((VLOOKUP($B64,'Из Гугла'!$B:$G,6,0)+V64)*U64,VLOOKUP($B64,'Из Гугла'!$B:$G,6,0))</f>
        <v/>
      </c>
      <c r="U64" s="38">
        <v>1</v>
      </c>
      <c r="V64" s="38"/>
      <c r="W64" s="22">
        <f t="shared" si="6"/>
        <v>0.2776065573770492</v>
      </c>
      <c r="X64" s="22" t="str">
        <f t="shared" si="7"/>
        <v/>
      </c>
      <c r="Y64" s="22" t="str">
        <f t="shared" si="8"/>
        <v/>
      </c>
      <c r="Z64" s="9" t="s">
        <v>1269</v>
      </c>
    </row>
    <row r="65" spans="1:26" ht="60" x14ac:dyDescent="0.25">
      <c r="A65" s="23" t="str">
        <f>INDEX('Выгр Торг'!$A:$A,MATCH(B65,'Выгр Торг'!$B:$B,0))</f>
        <v>Боковые зеркала (аналог, бегающий повторитель, электропривод, обогрев) для Лада Веста</v>
      </c>
      <c r="B65" s="26">
        <v>243508</v>
      </c>
      <c r="C65" s="26">
        <f>VLOOKUP($B65,'Выгр Торг'!$B:$Q,C$1,0)</f>
        <v>182094</v>
      </c>
      <c r="D65" s="25" t="str">
        <f>VLOOKUP($B65,'Выгр Торг'!$B:$Q,D$1,0)</f>
        <v>Боковые зеркала (аналог, бегающий повторитель, электропривод, обогрев) для Лада Веста (В цвет, Маэстро (черное стекло, 653))</v>
      </c>
      <c r="E65" s="26" t="str">
        <f>VLOOKUP($B65,'Выгр Торг'!$B:$Q,E$1,0)</f>
        <v>Y</v>
      </c>
      <c r="F65" s="26" t="str">
        <f>VLOOKUP($B65,'Выгр Торг'!$B:$Q,F$1,0)</f>
        <v>1</v>
      </c>
      <c r="G65" s="26">
        <f>VLOOKUP($B65,'Выгр Торг'!$B:$Q,G$1,0)</f>
        <v>0</v>
      </c>
      <c r="H65" s="2" t="s">
        <v>3</v>
      </c>
      <c r="I65" s="34">
        <v>243499</v>
      </c>
      <c r="J65" s="42">
        <f>INDEX($J:$J,MATCH($I65,$B:$B,0))</f>
        <v>450</v>
      </c>
      <c r="K65" s="43">
        <f>INDEX($K:$K,MATCH($I65,$B:$B,0))+$J65</f>
        <v>3050</v>
      </c>
      <c r="L65" s="5">
        <f>VLOOKUP(K65,Наценка!$A$1:$G$8,2,1)</f>
        <v>1.27</v>
      </c>
      <c r="M65" s="43">
        <f>INDEX($M:$M,MATCH($I65,$B:$B,0))+$J65*$M$2</f>
        <v>4135.5376344086017</v>
      </c>
      <c r="N65" s="39">
        <f t="shared" si="24"/>
        <v>4190</v>
      </c>
      <c r="O65" s="40">
        <f>VLOOKUP($B65,'Выгр Торг'!$B:$Q,O$1,0)</f>
        <v>3050</v>
      </c>
      <c r="P65" s="40">
        <f>VLOOKUP($B65,'Выгр Торг'!$B:$Q,P$1,0)</f>
        <v>4190</v>
      </c>
      <c r="Q65" s="28">
        <f t="shared" si="3"/>
        <v>0</v>
      </c>
      <c r="R65" s="28">
        <f t="shared" si="4"/>
        <v>0</v>
      </c>
      <c r="S65" s="36">
        <f t="shared" si="5"/>
        <v>3896.7</v>
      </c>
      <c r="T65" s="38" t="str">
        <f>IFERROR((VLOOKUP($B65,'Из Гугла'!$B:$G,6,0)+V65)*U65,VLOOKUP($B65,'Из Гугла'!$B:$G,6,0))</f>
        <v/>
      </c>
      <c r="U65" s="38">
        <v>1</v>
      </c>
      <c r="V65" s="38"/>
      <c r="W65" s="22">
        <f t="shared" si="6"/>
        <v>0.2776065573770492</v>
      </c>
      <c r="X65" s="22" t="str">
        <f t="shared" si="7"/>
        <v/>
      </c>
      <c r="Y65" s="22" t="str">
        <f t="shared" si="8"/>
        <v/>
      </c>
      <c r="Z65" s="9" t="s">
        <v>1269</v>
      </c>
    </row>
    <row r="66" spans="1:26" ht="60" x14ac:dyDescent="0.25">
      <c r="A66" s="23" t="str">
        <f>INDEX('Выгр Торг'!$A:$A,MATCH(B66,'Выгр Торг'!$B:$B,0))</f>
        <v>Боковые зеркала (аналог, бегающий повторитель, электропривод, обогрев) для Лада Веста</v>
      </c>
      <c r="B66" s="26">
        <v>243509</v>
      </c>
      <c r="C66" s="26">
        <f>VLOOKUP($B66,'Выгр Торг'!$B:$Q,C$1,0)</f>
        <v>182095</v>
      </c>
      <c r="D66" s="25" t="str">
        <f>VLOOKUP($B66,'Выгр Торг'!$B:$Q,D$1,0)</f>
        <v>Боковые зеркала (аналог, бегающий повторитель, электропривод, обогрев) для Лада Веста (В цвет, Пантера (черная база, 672))</v>
      </c>
      <c r="E66" s="26" t="str">
        <f>VLOOKUP($B66,'Выгр Торг'!$B:$Q,E$1,0)</f>
        <v>Y</v>
      </c>
      <c r="F66" s="26" t="str">
        <f>VLOOKUP($B66,'Выгр Торг'!$B:$Q,F$1,0)</f>
        <v>1</v>
      </c>
      <c r="G66" s="26">
        <f>VLOOKUP($B66,'Выгр Торг'!$B:$Q,G$1,0)</f>
        <v>0</v>
      </c>
      <c r="H66" s="2" t="s">
        <v>3</v>
      </c>
      <c r="I66" s="34">
        <v>243499</v>
      </c>
      <c r="J66" s="42">
        <f>INDEX($J:$J,MATCH($I66,$B:$B,0))</f>
        <v>450</v>
      </c>
      <c r="K66" s="43">
        <f>INDEX($K:$K,MATCH($I66,$B:$B,0))+$J66</f>
        <v>3050</v>
      </c>
      <c r="L66" s="5">
        <f>VLOOKUP(K66,Наценка!$A$1:$G$8,2,1)</f>
        <v>1.27</v>
      </c>
      <c r="M66" s="43">
        <f>INDEX($M:$M,MATCH($I66,$B:$B,0))+$J66*$M$2</f>
        <v>4135.5376344086017</v>
      </c>
      <c r="N66" s="39">
        <f t="shared" si="24"/>
        <v>4190</v>
      </c>
      <c r="O66" s="40">
        <f>VLOOKUP($B66,'Выгр Торг'!$B:$Q,O$1,0)</f>
        <v>3050</v>
      </c>
      <c r="P66" s="40">
        <f>VLOOKUP($B66,'Выгр Торг'!$B:$Q,P$1,0)</f>
        <v>4190</v>
      </c>
      <c r="Q66" s="28">
        <f t="shared" si="3"/>
        <v>0</v>
      </c>
      <c r="R66" s="28">
        <f t="shared" si="4"/>
        <v>0</v>
      </c>
      <c r="S66" s="36">
        <f t="shared" si="5"/>
        <v>3896.7</v>
      </c>
      <c r="T66" s="38" t="str">
        <f>IFERROR((VLOOKUP($B66,'Из Гугла'!$B:$G,6,0)+V66)*U66,VLOOKUP($B66,'Из Гугла'!$B:$G,6,0))</f>
        <v/>
      </c>
      <c r="U66" s="38">
        <v>1</v>
      </c>
      <c r="V66" s="38"/>
      <c r="W66" s="22">
        <f t="shared" si="6"/>
        <v>0.2776065573770492</v>
      </c>
      <c r="X66" s="22" t="str">
        <f t="shared" si="7"/>
        <v/>
      </c>
      <c r="Y66" s="22" t="str">
        <f t="shared" si="8"/>
        <v/>
      </c>
      <c r="Z66" s="9" t="s">
        <v>1269</v>
      </c>
    </row>
    <row r="67" spans="1:26" ht="60" x14ac:dyDescent="0.25">
      <c r="A67" s="23" t="str">
        <f>INDEX('Выгр Торг'!$A:$A,MATCH(B67,'Выгр Торг'!$B:$B,0))</f>
        <v>Боковые зеркала (аналог, бегающий повторитель, электропривод, обогрев) для Лада Веста</v>
      </c>
      <c r="B67" s="26">
        <v>243510</v>
      </c>
      <c r="C67" s="26">
        <f>VLOOKUP($B67,'Выгр Торг'!$B:$Q,C$1,0)</f>
        <v>182096</v>
      </c>
      <c r="D67" s="25" t="str">
        <f>VLOOKUP($B67,'Выгр Торг'!$B:$Q,D$1,0)</f>
        <v>Боковые зеркала (аналог, бегающий повторитель, электропривод, обогрев) для Лада Веста (В цвет, Платина (серебристо-бежевый, 691))</v>
      </c>
      <c r="E67" s="26" t="str">
        <f>VLOOKUP($B67,'Выгр Торг'!$B:$Q,E$1,0)</f>
        <v>Y</v>
      </c>
      <c r="F67" s="26" t="str">
        <f>VLOOKUP($B67,'Выгр Торг'!$B:$Q,F$1,0)</f>
        <v>1</v>
      </c>
      <c r="G67" s="26">
        <f>VLOOKUP($B67,'Выгр Торг'!$B:$Q,G$1,0)</f>
        <v>0</v>
      </c>
      <c r="H67" s="2" t="s">
        <v>3</v>
      </c>
      <c r="I67" s="34">
        <v>243499</v>
      </c>
      <c r="J67" s="42">
        <f>INDEX($J:$J,MATCH($I67,$B:$B,0))</f>
        <v>450</v>
      </c>
      <c r="K67" s="43">
        <f>INDEX($K:$K,MATCH($I67,$B:$B,0))+$J67</f>
        <v>3050</v>
      </c>
      <c r="L67" s="5">
        <f>VLOOKUP(K67,Наценка!$A$1:$G$8,2,1)</f>
        <v>1.27</v>
      </c>
      <c r="M67" s="43">
        <f>INDEX($M:$M,MATCH($I67,$B:$B,0))+$J67*$M$2</f>
        <v>4135.5376344086017</v>
      </c>
      <c r="N67" s="39">
        <f t="shared" si="24"/>
        <v>4190</v>
      </c>
      <c r="O67" s="40">
        <f>VLOOKUP($B67,'Выгр Торг'!$B:$Q,O$1,0)</f>
        <v>3050</v>
      </c>
      <c r="P67" s="40">
        <f>VLOOKUP($B67,'Выгр Торг'!$B:$Q,P$1,0)</f>
        <v>4190</v>
      </c>
      <c r="Q67" s="28">
        <f t="shared" si="3"/>
        <v>0</v>
      </c>
      <c r="R67" s="28">
        <f t="shared" si="4"/>
        <v>0</v>
      </c>
      <c r="S67" s="36">
        <f t="shared" si="5"/>
        <v>3896.7</v>
      </c>
      <c r="T67" s="38" t="str">
        <f>IFERROR((VLOOKUP($B67,'Из Гугла'!$B:$G,6,0)+V67)*U67,VLOOKUP($B67,'Из Гугла'!$B:$G,6,0))</f>
        <v/>
      </c>
      <c r="U67" s="38">
        <v>1</v>
      </c>
      <c r="V67" s="38"/>
      <c r="W67" s="22">
        <f t="shared" si="6"/>
        <v>0.2776065573770492</v>
      </c>
      <c r="X67" s="22" t="str">
        <f t="shared" si="7"/>
        <v/>
      </c>
      <c r="Y67" s="22" t="str">
        <f t="shared" si="8"/>
        <v/>
      </c>
      <c r="Z67" s="9" t="s">
        <v>1269</v>
      </c>
    </row>
    <row r="68" spans="1:26" ht="60" x14ac:dyDescent="0.25">
      <c r="A68" s="23" t="str">
        <f>INDEX('Выгр Торг'!$A:$A,MATCH(B68,'Выгр Торг'!$B:$B,0))</f>
        <v>Боковые зеркала (аналог, бегающий повторитель, электропривод, обогрев) для Лада Веста</v>
      </c>
      <c r="B68" s="26">
        <v>243511</v>
      </c>
      <c r="C68" s="26">
        <f>VLOOKUP($B68,'Выгр Торг'!$B:$Q,C$1,0)</f>
        <v>182097</v>
      </c>
      <c r="D68" s="25" t="str">
        <f>VLOOKUP($B68,'Выгр Торг'!$B:$Q,D$1,0)</f>
        <v>Боковые зеркала (аналог, бегающий повторитель, электропривод, обогрев) для Лада Веста (В цвет, Плутон (темно-серый, 608))</v>
      </c>
      <c r="E68" s="26" t="str">
        <f>VLOOKUP($B68,'Выгр Торг'!$B:$Q,E$1,0)</f>
        <v>Y</v>
      </c>
      <c r="F68" s="26" t="str">
        <f>VLOOKUP($B68,'Выгр Торг'!$B:$Q,F$1,0)</f>
        <v>1</v>
      </c>
      <c r="G68" s="26">
        <f>VLOOKUP($B68,'Выгр Торг'!$B:$Q,G$1,0)</f>
        <v>0</v>
      </c>
      <c r="H68" s="2" t="s">
        <v>3</v>
      </c>
      <c r="I68" s="34">
        <v>243499</v>
      </c>
      <c r="J68" s="42">
        <f>INDEX($J:$J,MATCH($I68,$B:$B,0))</f>
        <v>450</v>
      </c>
      <c r="K68" s="43">
        <f>INDEX($K:$K,MATCH($I68,$B:$B,0))+$J68</f>
        <v>3050</v>
      </c>
      <c r="L68" s="5">
        <f>VLOOKUP(K68,Наценка!$A$1:$G$8,2,1)</f>
        <v>1.27</v>
      </c>
      <c r="M68" s="43">
        <f>INDEX($M:$M,MATCH($I68,$B:$B,0))+$J68*$M$2</f>
        <v>4135.5376344086017</v>
      </c>
      <c r="N68" s="39">
        <f t="shared" si="24"/>
        <v>4190</v>
      </c>
      <c r="O68" s="40">
        <f>VLOOKUP($B68,'Выгр Торг'!$B:$Q,O$1,0)</f>
        <v>3050</v>
      </c>
      <c r="P68" s="40">
        <f>VLOOKUP($B68,'Выгр Торг'!$B:$Q,P$1,0)</f>
        <v>4190</v>
      </c>
      <c r="Q68" s="28">
        <f t="shared" si="3"/>
        <v>0</v>
      </c>
      <c r="R68" s="28">
        <f t="shared" si="4"/>
        <v>0</v>
      </c>
      <c r="S68" s="36">
        <f t="shared" si="5"/>
        <v>3896.7</v>
      </c>
      <c r="T68" s="38" t="str">
        <f>IFERROR((VLOOKUP($B68,'Из Гугла'!$B:$G,6,0)+V68)*U68,VLOOKUP($B68,'Из Гугла'!$B:$G,6,0))</f>
        <v/>
      </c>
      <c r="U68" s="38">
        <v>1</v>
      </c>
      <c r="V68" s="38"/>
      <c r="W68" s="22">
        <f t="shared" si="6"/>
        <v>0.2776065573770492</v>
      </c>
      <c r="X68" s="22" t="str">
        <f t="shared" si="7"/>
        <v/>
      </c>
      <c r="Y68" s="22" t="str">
        <f t="shared" si="8"/>
        <v/>
      </c>
      <c r="Z68" s="9" t="s">
        <v>1269</v>
      </c>
    </row>
    <row r="69" spans="1:26" ht="60" x14ac:dyDescent="0.25">
      <c r="A69" s="23" t="str">
        <f>INDEX('Выгр Торг'!$A:$A,MATCH(B69,'Выгр Торг'!$B:$B,0))</f>
        <v>Боковые зеркала (аналог, бегающий повторитель, электропривод, обогрев) для Лада Веста</v>
      </c>
      <c r="B69" s="26">
        <v>243512</v>
      </c>
      <c r="C69" s="26">
        <f>VLOOKUP($B69,'Выгр Торг'!$B:$Q,C$1,0)</f>
        <v>182098</v>
      </c>
      <c r="D69" s="25" t="str">
        <f>VLOOKUP($B69,'Выгр Торг'!$B:$Q,D$1,0)</f>
        <v>Боковые зеркала (аналог, бегающий повторитель, электропривод, обогрев) для Лада Веста (В цвет, Сердолик (темно-красный, 195))</v>
      </c>
      <c r="E69" s="26" t="str">
        <f>VLOOKUP($B69,'Выгр Торг'!$B:$Q,E$1,0)</f>
        <v>Y</v>
      </c>
      <c r="F69" s="26" t="str">
        <f>VLOOKUP($B69,'Выгр Торг'!$B:$Q,F$1,0)</f>
        <v>1</v>
      </c>
      <c r="G69" s="26">
        <f>VLOOKUP($B69,'Выгр Торг'!$B:$Q,G$1,0)</f>
        <v>0</v>
      </c>
      <c r="H69" s="2" t="s">
        <v>3</v>
      </c>
      <c r="I69" s="34">
        <v>243499</v>
      </c>
      <c r="J69" s="42">
        <f>INDEX($J:$J,MATCH($I69,$B:$B,0))</f>
        <v>450</v>
      </c>
      <c r="K69" s="43">
        <f>INDEX($K:$K,MATCH($I69,$B:$B,0))+$J69</f>
        <v>3050</v>
      </c>
      <c r="L69" s="5">
        <f>VLOOKUP(K69,Наценка!$A$1:$G$8,2,1)</f>
        <v>1.27</v>
      </c>
      <c r="M69" s="43">
        <f>INDEX($M:$M,MATCH($I69,$B:$B,0))+$J69*$M$2</f>
        <v>4135.5376344086017</v>
      </c>
      <c r="N69" s="39">
        <f t="shared" si="24"/>
        <v>4190</v>
      </c>
      <c r="O69" s="40">
        <f>VLOOKUP($B69,'Выгр Торг'!$B:$Q,O$1,0)</f>
        <v>3050</v>
      </c>
      <c r="P69" s="40">
        <f>VLOOKUP($B69,'Выгр Торг'!$B:$Q,P$1,0)</f>
        <v>4190</v>
      </c>
      <c r="Q69" s="28">
        <f t="shared" si="3"/>
        <v>0</v>
      </c>
      <c r="R69" s="28">
        <f t="shared" si="4"/>
        <v>0</v>
      </c>
      <c r="S69" s="36">
        <f t="shared" si="5"/>
        <v>3896.7</v>
      </c>
      <c r="T69" s="38" t="str">
        <f>IFERROR((VLOOKUP($B69,'Из Гугла'!$B:$G,6,0)+V69)*U69,VLOOKUP($B69,'Из Гугла'!$B:$G,6,0))</f>
        <v/>
      </c>
      <c r="U69" s="38">
        <v>1</v>
      </c>
      <c r="V69" s="38"/>
      <c r="W69" s="22">
        <f t="shared" si="6"/>
        <v>0.2776065573770492</v>
      </c>
      <c r="X69" s="22" t="str">
        <f t="shared" si="7"/>
        <v/>
      </c>
      <c r="Y69" s="22" t="str">
        <f t="shared" si="8"/>
        <v/>
      </c>
      <c r="Z69" s="9" t="s">
        <v>1269</v>
      </c>
    </row>
    <row r="70" spans="1:26" ht="60" x14ac:dyDescent="0.25">
      <c r="A70" s="23" t="str">
        <f>INDEX('Выгр Торг'!$A:$A,MATCH(B70,'Выгр Торг'!$B:$B,0))</f>
        <v>Боковые зеркала (аналог, бегающий повторитель, электропривод, обогрев) для Лада Веста</v>
      </c>
      <c r="B70" s="26">
        <v>243513</v>
      </c>
      <c r="C70" s="26">
        <f>VLOOKUP($B70,'Выгр Торг'!$B:$Q,C$1,0)</f>
        <v>182099</v>
      </c>
      <c r="D70" s="25" t="str">
        <f>VLOOKUP($B70,'Выгр Торг'!$B:$Q,D$1,0)</f>
        <v>Боковые зеркала (аналог, бегающий повторитель, электропривод, обогрев) для Лада Веста (В цвет, Тайфун (серый, 616))</v>
      </c>
      <c r="E70" s="26" t="str">
        <f>VLOOKUP($B70,'Выгр Торг'!$B:$Q,E$1,0)</f>
        <v>Y</v>
      </c>
      <c r="F70" s="26" t="str">
        <f>VLOOKUP($B70,'Выгр Торг'!$B:$Q,F$1,0)</f>
        <v>1</v>
      </c>
      <c r="G70" s="26">
        <f>VLOOKUP($B70,'Выгр Торг'!$B:$Q,G$1,0)</f>
        <v>0</v>
      </c>
      <c r="H70" s="2" t="s">
        <v>3</v>
      </c>
      <c r="I70" s="34">
        <v>243499</v>
      </c>
      <c r="J70" s="42">
        <f>INDEX($J:$J,MATCH($I70,$B:$B,0))</f>
        <v>450</v>
      </c>
      <c r="K70" s="43">
        <f>INDEX($K:$K,MATCH($I70,$B:$B,0))+$J70</f>
        <v>3050</v>
      </c>
      <c r="L70" s="5">
        <f>VLOOKUP(K70,Наценка!$A$1:$G$8,2,1)</f>
        <v>1.27</v>
      </c>
      <c r="M70" s="43">
        <f>INDEX($M:$M,MATCH($I70,$B:$B,0))+$J70*$M$2</f>
        <v>4135.5376344086017</v>
      </c>
      <c r="N70" s="39">
        <f t="shared" si="24"/>
        <v>4190</v>
      </c>
      <c r="O70" s="40">
        <f>VLOOKUP($B70,'Выгр Торг'!$B:$Q,O$1,0)</f>
        <v>3050</v>
      </c>
      <c r="P70" s="40">
        <f>VLOOKUP($B70,'Выгр Торг'!$B:$Q,P$1,0)</f>
        <v>4190</v>
      </c>
      <c r="Q70" s="28">
        <f t="shared" ref="Q70:Q91" si="25">O70-K70</f>
        <v>0</v>
      </c>
      <c r="R70" s="28">
        <f t="shared" ref="R70:R91" si="26">P70-N70</f>
        <v>0</v>
      </c>
      <c r="S70" s="36">
        <f t="shared" ref="S70:S91" si="27">IFERROR(N70*(1-$S$2),"")</f>
        <v>3896.7</v>
      </c>
      <c r="T70" s="38" t="str">
        <f>IFERROR((VLOOKUP($B70,'Из Гугла'!$B:$G,6,0)+V70)*U70,VLOOKUP($B70,'Из Гугла'!$B:$G,6,0))</f>
        <v/>
      </c>
      <c r="U70" s="38">
        <v>1</v>
      </c>
      <c r="V70" s="38"/>
      <c r="W70" s="22">
        <f t="shared" ref="W70:W91" si="28">IFERROR(S70/K70-1,"")</f>
        <v>0.2776065573770492</v>
      </c>
      <c r="X70" s="22" t="str">
        <f t="shared" ref="X70:X91" si="29">IFERROR((Z70-S70)/Z70,"")</f>
        <v/>
      </c>
      <c r="Y70" s="22" t="str">
        <f t="shared" ref="Y70:Y91" si="30">IFERROR(IF(Z70="","",Z70/K70-1),"")</f>
        <v/>
      </c>
      <c r="Z70" s="9" t="s">
        <v>1269</v>
      </c>
    </row>
    <row r="71" spans="1:26" ht="60" x14ac:dyDescent="0.25">
      <c r="A71" s="23" t="str">
        <f>INDEX('Выгр Торг'!$A:$A,MATCH(B71,'Выгр Торг'!$B:$B,0))</f>
        <v>Боковые зеркала (аналог, бегающий повторитель, электропривод, обогрев) для Лада Веста</v>
      </c>
      <c r="B71" s="26">
        <v>243514</v>
      </c>
      <c r="C71" s="26">
        <f>VLOOKUP($B71,'Выгр Торг'!$B:$Q,C$1,0)</f>
        <v>182085</v>
      </c>
      <c r="D71" s="25" t="str">
        <f>VLOOKUP($B71,'Выгр Торг'!$B:$Q,D$1,0)</f>
        <v>Боковые зеркала (аналог, бегающий повторитель, электропривод, обогрев) для Лада Веста (В цвет, Уточнить у менеджера)</v>
      </c>
      <c r="E71" s="26" t="str">
        <f>VLOOKUP($B71,'Выгр Торг'!$B:$Q,E$1,0)</f>
        <v>Y</v>
      </c>
      <c r="F71" s="26" t="str">
        <f>VLOOKUP($B71,'Выгр Торг'!$B:$Q,F$1,0)</f>
        <v>1</v>
      </c>
      <c r="G71" s="26">
        <f>VLOOKUP($B71,'Выгр Торг'!$B:$Q,G$1,0)</f>
        <v>0</v>
      </c>
      <c r="H71" s="2" t="s">
        <v>3</v>
      </c>
      <c r="I71" s="34">
        <v>243499</v>
      </c>
      <c r="J71" s="42">
        <f>INDEX($J:$J,MATCH($I71,$B:$B,0))</f>
        <v>450</v>
      </c>
      <c r="K71" s="43">
        <f>INDEX($K:$K,MATCH($I71,$B:$B,0))+$J71</f>
        <v>3050</v>
      </c>
      <c r="L71" s="5">
        <f>VLOOKUP(K71,Наценка!$A$1:$G$8,2,1)</f>
        <v>1.27</v>
      </c>
      <c r="M71" s="43">
        <f>INDEX($M:$M,MATCH($I71,$B:$B,0))+$J71*$M$2</f>
        <v>4135.5376344086017</v>
      </c>
      <c r="N71" s="39">
        <f t="shared" si="24"/>
        <v>4190</v>
      </c>
      <c r="O71" s="40">
        <f>VLOOKUP($B71,'Выгр Торг'!$B:$Q,O$1,0)</f>
        <v>3050</v>
      </c>
      <c r="P71" s="40">
        <f>VLOOKUP($B71,'Выгр Торг'!$B:$Q,P$1,0)</f>
        <v>4190</v>
      </c>
      <c r="Q71" s="28">
        <f t="shared" si="25"/>
        <v>0</v>
      </c>
      <c r="R71" s="28">
        <f t="shared" si="26"/>
        <v>0</v>
      </c>
      <c r="S71" s="36">
        <f t="shared" si="27"/>
        <v>3896.7</v>
      </c>
      <c r="T71" s="38" t="str">
        <f>IFERROR((VLOOKUP($B71,'Из Гугла'!$B:$G,6,0)+V71)*U71,VLOOKUP($B71,'Из Гугла'!$B:$G,6,0))</f>
        <v/>
      </c>
      <c r="U71" s="38">
        <v>1</v>
      </c>
      <c r="V71" s="38"/>
      <c r="W71" s="22">
        <f t="shared" si="28"/>
        <v>0.2776065573770492</v>
      </c>
      <c r="X71" s="22" t="str">
        <f t="shared" si="29"/>
        <v/>
      </c>
      <c r="Y71" s="22" t="str">
        <f t="shared" si="30"/>
        <v/>
      </c>
      <c r="Z71" s="9" t="s">
        <v>1269</v>
      </c>
    </row>
    <row r="72" spans="1:26" ht="60" x14ac:dyDescent="0.25">
      <c r="A72" s="23" t="str">
        <f>INDEX('Выгр Торг'!$A:$A,MATCH(B72,'Выгр Торг'!$B:$B,0))</f>
        <v>Боковые зеркала (аналог, бегающий повторитель, электропривод, обогрев) для Лада Веста</v>
      </c>
      <c r="B72" s="26">
        <v>243515</v>
      </c>
      <c r="C72" s="26">
        <f>VLOOKUP($B72,'Выгр Торг'!$B:$Q,C$1,0)</f>
        <v>182100</v>
      </c>
      <c r="D72" s="25" t="str">
        <f>VLOOKUP($B72,'Выгр Торг'!$B:$Q,D$1,0)</f>
        <v>Боковые зеркала (аналог, бегающий повторитель, электропривод, обогрев) для Лада Веста (В цвет, Фантом (темно-серо-голубой, 496))</v>
      </c>
      <c r="E72" s="26" t="str">
        <f>VLOOKUP($B72,'Выгр Торг'!$B:$Q,E$1,0)</f>
        <v>Y</v>
      </c>
      <c r="F72" s="26" t="str">
        <f>VLOOKUP($B72,'Выгр Торг'!$B:$Q,F$1,0)</f>
        <v>1</v>
      </c>
      <c r="G72" s="26">
        <f>VLOOKUP($B72,'Выгр Торг'!$B:$Q,G$1,0)</f>
        <v>0</v>
      </c>
      <c r="H72" s="2" t="s">
        <v>3</v>
      </c>
      <c r="I72" s="34">
        <v>243499</v>
      </c>
      <c r="J72" s="42">
        <f>INDEX($J:$J,MATCH($I72,$B:$B,0))</f>
        <v>450</v>
      </c>
      <c r="K72" s="43">
        <f>INDEX($K:$K,MATCH($I72,$B:$B,0))+$J72</f>
        <v>3050</v>
      </c>
      <c r="L72" s="5">
        <f>VLOOKUP(K72,Наценка!$A$1:$G$8,2,1)</f>
        <v>1.27</v>
      </c>
      <c r="M72" s="43">
        <f>INDEX($M:$M,MATCH($I72,$B:$B,0))+$J72*$M$2</f>
        <v>4135.5376344086017</v>
      </c>
      <c r="N72" s="39">
        <f t="shared" si="24"/>
        <v>4190</v>
      </c>
      <c r="O72" s="40">
        <f>VLOOKUP($B72,'Выгр Торг'!$B:$Q,O$1,0)</f>
        <v>3050</v>
      </c>
      <c r="P72" s="40">
        <f>VLOOKUP($B72,'Выгр Торг'!$B:$Q,P$1,0)</f>
        <v>4190</v>
      </c>
      <c r="Q72" s="28">
        <f t="shared" si="25"/>
        <v>0</v>
      </c>
      <c r="R72" s="28">
        <f t="shared" si="26"/>
        <v>0</v>
      </c>
      <c r="S72" s="36">
        <f t="shared" si="27"/>
        <v>3896.7</v>
      </c>
      <c r="T72" s="38" t="str">
        <f>IFERROR((VLOOKUP($B72,'Из Гугла'!$B:$G,6,0)+V72)*U72,VLOOKUP($B72,'Из Гугла'!$B:$G,6,0))</f>
        <v/>
      </c>
      <c r="U72" s="38">
        <v>1</v>
      </c>
      <c r="V72" s="38"/>
      <c r="W72" s="22">
        <f t="shared" si="28"/>
        <v>0.2776065573770492</v>
      </c>
      <c r="X72" s="22" t="str">
        <f t="shared" si="29"/>
        <v/>
      </c>
      <c r="Y72" s="22" t="str">
        <f t="shared" si="30"/>
        <v/>
      </c>
      <c r="Z72" s="9" t="s">
        <v>1269</v>
      </c>
    </row>
    <row r="73" spans="1:26" ht="60" x14ac:dyDescent="0.25">
      <c r="A73" s="23" t="str">
        <f>INDEX('Выгр Торг'!$A:$A,MATCH(B73,'Выгр Торг'!$B:$B,0))</f>
        <v>Боковые зеркала (аналог, бегающий повторитель, электропривод, обогрев) для Лада Веста</v>
      </c>
      <c r="B73" s="26">
        <v>243516</v>
      </c>
      <c r="C73" s="26">
        <f>VLOOKUP($B73,'Выгр Торг'!$B:$Q,C$1,0)</f>
        <v>182101</v>
      </c>
      <c r="D73" s="25" t="str">
        <f>VLOOKUP($B73,'Выгр Торг'!$B:$Q,D$1,0)</f>
        <v>Боковые зеркала (аналог, бегающий повторитель, электропривод, обогрев) для Лада Веста (В цвет, Черная жемчужина (черный, 676))</v>
      </c>
      <c r="E73" s="26" t="str">
        <f>VLOOKUP($B73,'Выгр Торг'!$B:$Q,E$1,0)</f>
        <v>Y</v>
      </c>
      <c r="F73" s="26" t="str">
        <f>VLOOKUP($B73,'Выгр Торг'!$B:$Q,F$1,0)</f>
        <v>1</v>
      </c>
      <c r="G73" s="26">
        <f>VLOOKUP($B73,'Выгр Торг'!$B:$Q,G$1,0)</f>
        <v>0</v>
      </c>
      <c r="H73" s="2" t="s">
        <v>3</v>
      </c>
      <c r="I73" s="34">
        <v>243499</v>
      </c>
      <c r="J73" s="42">
        <f>INDEX($J:$J,MATCH($I73,$B:$B,0))</f>
        <v>450</v>
      </c>
      <c r="K73" s="43">
        <f>INDEX($K:$K,MATCH($I73,$B:$B,0))+$J73</f>
        <v>3050</v>
      </c>
      <c r="L73" s="5">
        <f>VLOOKUP(K73,Наценка!$A$1:$G$8,2,1)</f>
        <v>1.27</v>
      </c>
      <c r="M73" s="43">
        <f>INDEX($M:$M,MATCH($I73,$B:$B,0))+$J73*$M$2</f>
        <v>4135.5376344086017</v>
      </c>
      <c r="N73" s="39">
        <f t="shared" si="24"/>
        <v>4190</v>
      </c>
      <c r="O73" s="40">
        <f>VLOOKUP($B73,'Выгр Торг'!$B:$Q,O$1,0)</f>
        <v>3050</v>
      </c>
      <c r="P73" s="40">
        <f>VLOOKUP($B73,'Выгр Торг'!$B:$Q,P$1,0)</f>
        <v>4190</v>
      </c>
      <c r="Q73" s="28">
        <f t="shared" si="25"/>
        <v>0</v>
      </c>
      <c r="R73" s="28">
        <f t="shared" si="26"/>
        <v>0</v>
      </c>
      <c r="S73" s="36">
        <f t="shared" si="27"/>
        <v>3896.7</v>
      </c>
      <c r="T73" s="38" t="str">
        <f>IFERROR((VLOOKUP($B73,'Из Гугла'!$B:$G,6,0)+V73)*U73,VLOOKUP($B73,'Из Гугла'!$B:$G,6,0))</f>
        <v/>
      </c>
      <c r="U73" s="38">
        <v>1</v>
      </c>
      <c r="V73" s="38"/>
      <c r="W73" s="22">
        <f t="shared" si="28"/>
        <v>0.2776065573770492</v>
      </c>
      <c r="X73" s="22" t="str">
        <f t="shared" si="29"/>
        <v/>
      </c>
      <c r="Y73" s="22" t="str">
        <f t="shared" si="30"/>
        <v/>
      </c>
      <c r="Z73" s="9" t="s">
        <v>1269</v>
      </c>
    </row>
    <row r="74" spans="1:26" ht="60" x14ac:dyDescent="0.25">
      <c r="A74" s="23" t="str">
        <f>INDEX('Выгр Торг'!$A:$A,MATCH(B74,'Выгр Торг'!$B:$B,0))</f>
        <v>Боковые зеркала (аналог) с электроприводом, обогревом и повторителем для Лада Веста</v>
      </c>
      <c r="B74" s="26">
        <v>243517</v>
      </c>
      <c r="C74" s="26">
        <f>VLOOKUP($B74,'Выгр Торг'!$B:$Q,C$1,0)</f>
        <v>182063</v>
      </c>
      <c r="D74" s="25" t="str">
        <f>VLOOKUP($B74,'Выгр Торг'!$B:$Q,D$1,0)</f>
        <v>Боковые зеркала (аналог) с электроприводом, обогревом и повторителем для Лада Веста (Без покраски)</v>
      </c>
      <c r="E74" s="26" t="str">
        <f>VLOOKUP($B74,'Выгр Торг'!$B:$Q,E$1,0)</f>
        <v>Y</v>
      </c>
      <c r="F74" s="26" t="str">
        <f>VLOOKUP($B74,'Выгр Торг'!$B:$Q,F$1,0)</f>
        <v>1</v>
      </c>
      <c r="G74" s="26">
        <f>VLOOKUP($B74,'Выгр Торг'!$B:$Q,G$1,0)</f>
        <v>0</v>
      </c>
      <c r="H74" s="2" t="s">
        <v>3</v>
      </c>
      <c r="I74" s="34">
        <v>243517</v>
      </c>
      <c r="J74" s="34">
        <v>450</v>
      </c>
      <c r="K74" s="41">
        <v>2300</v>
      </c>
      <c r="L74" s="5">
        <f>VLOOKUP(K74,Наценка!$A$1:$G$8,2,1)</f>
        <v>1.27</v>
      </c>
      <c r="M74" s="34">
        <f t="shared" si="23"/>
        <v>3140.8602150537636</v>
      </c>
      <c r="N74" s="39">
        <f t="shared" si="24"/>
        <v>3190</v>
      </c>
      <c r="O74" s="40">
        <f>VLOOKUP($B74,'Выгр Торг'!$B:$Q,O$1,0)</f>
        <v>2300</v>
      </c>
      <c r="P74" s="40">
        <f>VLOOKUP($B74,'Выгр Торг'!$B:$Q,P$1,0)</f>
        <v>3190</v>
      </c>
      <c r="Q74" s="28">
        <f t="shared" si="25"/>
        <v>0</v>
      </c>
      <c r="R74" s="28">
        <f t="shared" si="26"/>
        <v>0</v>
      </c>
      <c r="S74" s="36">
        <f t="shared" si="27"/>
        <v>2966.7</v>
      </c>
      <c r="T74" s="38" t="str">
        <f>IFERROR((VLOOKUP($B74,'Из Гугла'!$B:$G,6,0)+V74)*U74,VLOOKUP($B74,'Из Гугла'!$B:$G,6,0))</f>
        <v/>
      </c>
      <c r="U74" s="38">
        <v>1</v>
      </c>
      <c r="V74" s="38"/>
      <c r="W74" s="22">
        <f t="shared" si="28"/>
        <v>0.28986956521739127</v>
      </c>
      <c r="X74" s="22" t="str">
        <f t="shared" si="29"/>
        <v/>
      </c>
      <c r="Y74" s="22" t="str">
        <f t="shared" si="30"/>
        <v/>
      </c>
      <c r="Z74" s="9" t="s">
        <v>1269</v>
      </c>
    </row>
    <row r="75" spans="1:26" ht="60" x14ac:dyDescent="0.25">
      <c r="A75" s="23" t="str">
        <f>INDEX('Выгр Торг'!$A:$A,MATCH(B75,'Выгр Торг'!$B:$B,0))</f>
        <v>Боковые зеркала (аналог) с электроприводом, обогревом и повторителем для Лада Веста</v>
      </c>
      <c r="B75" s="26">
        <v>243518</v>
      </c>
      <c r="C75" s="26">
        <f>VLOOKUP($B75,'Выгр Торг'!$B:$Q,C$1,0)</f>
        <v>182065</v>
      </c>
      <c r="D75" s="25" t="str">
        <f>VLOOKUP($B75,'Выгр Торг'!$B:$Q,D$1,0)</f>
        <v>Боковые зеркала (аналог) с электроприводом, обогревом и повторителем для Лада Веста (В цвет, Ангкор (темно-коричневый, 246))</v>
      </c>
      <c r="E75" s="26" t="str">
        <f>VLOOKUP($B75,'Выгр Торг'!$B:$Q,E$1,0)</f>
        <v>Y</v>
      </c>
      <c r="F75" s="26" t="str">
        <f>VLOOKUP($B75,'Выгр Торг'!$B:$Q,F$1,0)</f>
        <v>1</v>
      </c>
      <c r="G75" s="26">
        <f>VLOOKUP($B75,'Выгр Торг'!$B:$Q,G$1,0)</f>
        <v>0</v>
      </c>
      <c r="H75" s="2" t="s">
        <v>3</v>
      </c>
      <c r="I75" s="34">
        <v>243517</v>
      </c>
      <c r="J75" s="42">
        <f>INDEX($J:$J,MATCH($I75,$B:$B,0))</f>
        <v>450</v>
      </c>
      <c r="K75" s="43">
        <f>INDEX($K:$K,MATCH($I75,$B:$B,0))+$J75</f>
        <v>2750</v>
      </c>
      <c r="L75" s="5">
        <f>VLOOKUP(K75,Наценка!$A$1:$G$8,2,1)</f>
        <v>1.27</v>
      </c>
      <c r="M75" s="43">
        <f>INDEX($M:$M,MATCH($I75,$B:$B,0))+$J75*$M$2</f>
        <v>3725.8602150537636</v>
      </c>
      <c r="N75" s="39">
        <f t="shared" si="24"/>
        <v>3790</v>
      </c>
      <c r="O75" s="40">
        <f>VLOOKUP($B75,'Выгр Торг'!$B:$Q,O$1,0)</f>
        <v>2750</v>
      </c>
      <c r="P75" s="40">
        <f>VLOOKUP($B75,'Выгр Торг'!$B:$Q,P$1,0)</f>
        <v>3790</v>
      </c>
      <c r="Q75" s="28">
        <f t="shared" si="25"/>
        <v>0</v>
      </c>
      <c r="R75" s="28">
        <f t="shared" si="26"/>
        <v>0</v>
      </c>
      <c r="S75" s="36">
        <f t="shared" si="27"/>
        <v>3524.7</v>
      </c>
      <c r="T75" s="38" t="str">
        <f>IFERROR((VLOOKUP($B75,'Из Гугла'!$B:$G,6,0)+V75)*U75,VLOOKUP($B75,'Из Гугла'!$B:$G,6,0))</f>
        <v/>
      </c>
      <c r="U75" s="38">
        <v>1</v>
      </c>
      <c r="V75" s="38"/>
      <c r="W75" s="22">
        <f t="shared" si="28"/>
        <v>0.28170909090909091</v>
      </c>
      <c r="X75" s="22" t="str">
        <f t="shared" si="29"/>
        <v/>
      </c>
      <c r="Y75" s="22" t="str">
        <f t="shared" si="30"/>
        <v/>
      </c>
      <c r="Z75" s="9" t="s">
        <v>1269</v>
      </c>
    </row>
    <row r="76" spans="1:26" ht="60" x14ac:dyDescent="0.25">
      <c r="A76" s="23" t="str">
        <f>INDEX('Выгр Торг'!$A:$A,MATCH(B76,'Выгр Торг'!$B:$B,0))</f>
        <v>Боковые зеркала (аналог) с электроприводом, обогревом и повторителем для Лада Веста</v>
      </c>
      <c r="B76" s="26">
        <v>243519</v>
      </c>
      <c r="C76" s="26">
        <f>VLOOKUP($B76,'Выгр Торг'!$B:$Q,C$1,0)</f>
        <v>182066</v>
      </c>
      <c r="D76" s="25" t="str">
        <f>VLOOKUP($B76,'Выгр Торг'!$B:$Q,D$1,0)</f>
        <v>Боковые зеркала (аналог) с электроприводом, обогревом и повторителем для Лада Веста (В цвет, Блюз (темно-синий, 492))</v>
      </c>
      <c r="E76" s="26" t="str">
        <f>VLOOKUP($B76,'Выгр Торг'!$B:$Q,E$1,0)</f>
        <v>Y</v>
      </c>
      <c r="F76" s="26" t="str">
        <f>VLOOKUP($B76,'Выгр Торг'!$B:$Q,F$1,0)</f>
        <v>1</v>
      </c>
      <c r="G76" s="26">
        <f>VLOOKUP($B76,'Выгр Торг'!$B:$Q,G$1,0)</f>
        <v>0</v>
      </c>
      <c r="H76" s="2" t="s">
        <v>3</v>
      </c>
      <c r="I76" s="34">
        <v>243517</v>
      </c>
      <c r="J76" s="42">
        <f>INDEX($J:$J,MATCH($I76,$B:$B,0))</f>
        <v>450</v>
      </c>
      <c r="K76" s="43">
        <f>INDEX($K:$K,MATCH($I76,$B:$B,0))+$J76</f>
        <v>2750</v>
      </c>
      <c r="L76" s="5">
        <f>VLOOKUP(K76,Наценка!$A$1:$G$8,2,1)</f>
        <v>1.27</v>
      </c>
      <c r="M76" s="43">
        <f>INDEX($M:$M,MATCH($I76,$B:$B,0))+$J76*$M$2</f>
        <v>3725.8602150537636</v>
      </c>
      <c r="N76" s="39">
        <f t="shared" si="24"/>
        <v>3790</v>
      </c>
      <c r="O76" s="40">
        <f>VLOOKUP($B76,'Выгр Торг'!$B:$Q,O$1,0)</f>
        <v>2750</v>
      </c>
      <c r="P76" s="40">
        <f>VLOOKUP($B76,'Выгр Торг'!$B:$Q,P$1,0)</f>
        <v>3790</v>
      </c>
      <c r="Q76" s="28">
        <f t="shared" si="25"/>
        <v>0</v>
      </c>
      <c r="R76" s="28">
        <f t="shared" si="26"/>
        <v>0</v>
      </c>
      <c r="S76" s="36">
        <f t="shared" si="27"/>
        <v>3524.7</v>
      </c>
      <c r="T76" s="38" t="str">
        <f>IFERROR((VLOOKUP($B76,'Из Гугла'!$B:$G,6,0)+V76)*U76,VLOOKUP($B76,'Из Гугла'!$B:$G,6,0))</f>
        <v/>
      </c>
      <c r="U76" s="38">
        <v>1</v>
      </c>
      <c r="V76" s="38"/>
      <c r="W76" s="22">
        <f t="shared" si="28"/>
        <v>0.28170909090909091</v>
      </c>
      <c r="X76" s="22" t="str">
        <f t="shared" si="29"/>
        <v/>
      </c>
      <c r="Y76" s="22" t="str">
        <f t="shared" si="30"/>
        <v/>
      </c>
      <c r="Z76" s="9" t="s">
        <v>1269</v>
      </c>
    </row>
    <row r="77" spans="1:26" ht="60" x14ac:dyDescent="0.25">
      <c r="A77" s="23" t="str">
        <f>INDEX('Выгр Торг'!$A:$A,MATCH(B77,'Выгр Торг'!$B:$B,0))</f>
        <v>Боковые зеркала (аналог) с электроприводом, обогревом и повторителем для Лада Веста</v>
      </c>
      <c r="B77" s="26">
        <v>243520</v>
      </c>
      <c r="C77" s="26">
        <f>VLOOKUP($B77,'Выгр Торг'!$B:$Q,C$1,0)</f>
        <v>182067</v>
      </c>
      <c r="D77" s="25" t="str">
        <f>VLOOKUP($B77,'Выгр Торг'!$B:$Q,D$1,0)</f>
        <v>Боковые зеркала (аналог) с электроприводом, обогревом и повторителем для Лада Веста (В цвет, Дайвинг (ярко-синий, 476))</v>
      </c>
      <c r="E77" s="26" t="str">
        <f>VLOOKUP($B77,'Выгр Торг'!$B:$Q,E$1,0)</f>
        <v>Y</v>
      </c>
      <c r="F77" s="26" t="str">
        <f>VLOOKUP($B77,'Выгр Торг'!$B:$Q,F$1,0)</f>
        <v>1</v>
      </c>
      <c r="G77" s="26">
        <f>VLOOKUP($B77,'Выгр Торг'!$B:$Q,G$1,0)</f>
        <v>0</v>
      </c>
      <c r="H77" s="2" t="s">
        <v>3</v>
      </c>
      <c r="I77" s="34">
        <v>243517</v>
      </c>
      <c r="J77" s="42">
        <f>INDEX($J:$J,MATCH($I77,$B:$B,0))</f>
        <v>450</v>
      </c>
      <c r="K77" s="43">
        <f>INDEX($K:$K,MATCH($I77,$B:$B,0))+$J77</f>
        <v>2750</v>
      </c>
      <c r="L77" s="5">
        <f>VLOOKUP(K77,Наценка!$A$1:$G$8,2,1)</f>
        <v>1.27</v>
      </c>
      <c r="M77" s="43">
        <f>INDEX($M:$M,MATCH($I77,$B:$B,0))+$J77*$M$2</f>
        <v>3725.8602150537636</v>
      </c>
      <c r="N77" s="39">
        <f t="shared" si="24"/>
        <v>3790</v>
      </c>
      <c r="O77" s="40">
        <f>VLOOKUP($B77,'Выгр Торг'!$B:$Q,O$1,0)</f>
        <v>2750</v>
      </c>
      <c r="P77" s="40">
        <f>VLOOKUP($B77,'Выгр Торг'!$B:$Q,P$1,0)</f>
        <v>3790</v>
      </c>
      <c r="Q77" s="28">
        <f t="shared" si="25"/>
        <v>0</v>
      </c>
      <c r="R77" s="28">
        <f t="shared" si="26"/>
        <v>0</v>
      </c>
      <c r="S77" s="36">
        <f t="shared" si="27"/>
        <v>3524.7</v>
      </c>
      <c r="T77" s="38" t="str">
        <f>IFERROR((VLOOKUP($B77,'Из Гугла'!$B:$G,6,0)+V77)*U77,VLOOKUP($B77,'Из Гугла'!$B:$G,6,0))</f>
        <v/>
      </c>
      <c r="U77" s="38">
        <v>1</v>
      </c>
      <c r="V77" s="38"/>
      <c r="W77" s="22">
        <f t="shared" si="28"/>
        <v>0.28170909090909091</v>
      </c>
      <c r="X77" s="22" t="str">
        <f t="shared" si="29"/>
        <v/>
      </c>
      <c r="Y77" s="22" t="str">
        <f t="shared" si="30"/>
        <v/>
      </c>
      <c r="Z77" s="9" t="s">
        <v>1269</v>
      </c>
    </row>
    <row r="78" spans="1:26" ht="60" x14ac:dyDescent="0.25">
      <c r="A78" s="23" t="str">
        <f>INDEX('Выгр Торг'!$A:$A,MATCH(B78,'Выгр Торг'!$B:$B,0))</f>
        <v>Боковые зеркала (аналог) с электроприводом, обогревом и повторителем для Лада Веста</v>
      </c>
      <c r="B78" s="26">
        <v>243521</v>
      </c>
      <c r="C78" s="26">
        <f>VLOOKUP($B78,'Выгр Торг'!$B:$Q,C$1,0)</f>
        <v>182068</v>
      </c>
      <c r="D78" s="25" t="str">
        <f>VLOOKUP($B78,'Выгр Торг'!$B:$Q,D$1,0)</f>
        <v>Боковые зеркала (аналог) с электроприводом, обогревом и повторителем для Лада Веста (В цвет, Карфаген (бежевый, 247))</v>
      </c>
      <c r="E78" s="26" t="str">
        <f>VLOOKUP($B78,'Выгр Торг'!$B:$Q,E$1,0)</f>
        <v>Y</v>
      </c>
      <c r="F78" s="26" t="str">
        <f>VLOOKUP($B78,'Выгр Торг'!$B:$Q,F$1,0)</f>
        <v>1</v>
      </c>
      <c r="G78" s="26">
        <f>VLOOKUP($B78,'Выгр Торг'!$B:$Q,G$1,0)</f>
        <v>0</v>
      </c>
      <c r="H78" s="2" t="s">
        <v>3</v>
      </c>
      <c r="I78" s="34">
        <v>243517</v>
      </c>
      <c r="J78" s="42">
        <f>INDEX($J:$J,MATCH($I78,$B:$B,0))</f>
        <v>450</v>
      </c>
      <c r="K78" s="43">
        <f>INDEX($K:$K,MATCH($I78,$B:$B,0))+$J78</f>
        <v>2750</v>
      </c>
      <c r="L78" s="5">
        <f>VLOOKUP(K78,Наценка!$A$1:$G$8,2,1)</f>
        <v>1.27</v>
      </c>
      <c r="M78" s="43">
        <f>INDEX($M:$M,MATCH($I78,$B:$B,0))+$J78*$M$2</f>
        <v>3725.8602150537636</v>
      </c>
      <c r="N78" s="39">
        <f t="shared" si="24"/>
        <v>3790</v>
      </c>
      <c r="O78" s="40">
        <f>VLOOKUP($B78,'Выгр Торг'!$B:$Q,O$1,0)</f>
        <v>2750</v>
      </c>
      <c r="P78" s="40">
        <f>VLOOKUP($B78,'Выгр Торг'!$B:$Q,P$1,0)</f>
        <v>3790</v>
      </c>
      <c r="Q78" s="28">
        <f t="shared" si="25"/>
        <v>0</v>
      </c>
      <c r="R78" s="28">
        <f t="shared" si="26"/>
        <v>0</v>
      </c>
      <c r="S78" s="36">
        <f t="shared" si="27"/>
        <v>3524.7</v>
      </c>
      <c r="T78" s="38" t="str">
        <f>IFERROR((VLOOKUP($B78,'Из Гугла'!$B:$G,6,0)+V78)*U78,VLOOKUP($B78,'Из Гугла'!$B:$G,6,0))</f>
        <v/>
      </c>
      <c r="U78" s="38">
        <v>1</v>
      </c>
      <c r="V78" s="38"/>
      <c r="W78" s="22">
        <f t="shared" si="28"/>
        <v>0.28170909090909091</v>
      </c>
      <c r="X78" s="22" t="str">
        <f t="shared" si="29"/>
        <v/>
      </c>
      <c r="Y78" s="22" t="str">
        <f t="shared" si="30"/>
        <v/>
      </c>
      <c r="Z78" s="9" t="s">
        <v>1269</v>
      </c>
    </row>
    <row r="79" spans="1:26" ht="60" x14ac:dyDescent="0.25">
      <c r="A79" s="23" t="str">
        <f>INDEX('Выгр Торг'!$A:$A,MATCH(B79,'Выгр Торг'!$B:$B,0))</f>
        <v>Боковые зеркала (аналог) с электроприводом, обогревом и повторителем для Лада Веста</v>
      </c>
      <c r="B79" s="26">
        <v>243522</v>
      </c>
      <c r="C79" s="26">
        <f>VLOOKUP($B79,'Выгр Торг'!$B:$Q,C$1,0)</f>
        <v>182069</v>
      </c>
      <c r="D79" s="25" t="str">
        <f>VLOOKUP($B79,'Выгр Торг'!$B:$Q,D$1,0)</f>
        <v>Боковые зеркала (аналог) с электроприводом, обогревом и повторителем для Лада Веста (В цвет, Криптон (темно-зеленый, 372))</v>
      </c>
      <c r="E79" s="26" t="str">
        <f>VLOOKUP($B79,'Выгр Торг'!$B:$Q,E$1,0)</f>
        <v>Y</v>
      </c>
      <c r="F79" s="26" t="str">
        <f>VLOOKUP($B79,'Выгр Торг'!$B:$Q,F$1,0)</f>
        <v>1</v>
      </c>
      <c r="G79" s="26">
        <f>VLOOKUP($B79,'Выгр Торг'!$B:$Q,G$1,0)</f>
        <v>0</v>
      </c>
      <c r="H79" s="2" t="s">
        <v>3</v>
      </c>
      <c r="I79" s="34">
        <v>243517</v>
      </c>
      <c r="J79" s="42">
        <f>INDEX($J:$J,MATCH($I79,$B:$B,0))</f>
        <v>450</v>
      </c>
      <c r="K79" s="43">
        <f>INDEX($K:$K,MATCH($I79,$B:$B,0))+$J79</f>
        <v>2750</v>
      </c>
      <c r="L79" s="5">
        <f>VLOOKUP(K79,Наценка!$A$1:$G$8,2,1)</f>
        <v>1.27</v>
      </c>
      <c r="M79" s="43">
        <f>INDEX($M:$M,MATCH($I79,$B:$B,0))+$J79*$M$2</f>
        <v>3725.8602150537636</v>
      </c>
      <c r="N79" s="39">
        <f t="shared" si="24"/>
        <v>3790</v>
      </c>
      <c r="O79" s="40">
        <f>VLOOKUP($B79,'Выгр Торг'!$B:$Q,O$1,0)</f>
        <v>2750</v>
      </c>
      <c r="P79" s="40">
        <f>VLOOKUP($B79,'Выгр Торг'!$B:$Q,P$1,0)</f>
        <v>3790</v>
      </c>
      <c r="Q79" s="28">
        <f t="shared" si="25"/>
        <v>0</v>
      </c>
      <c r="R79" s="28">
        <f t="shared" si="26"/>
        <v>0</v>
      </c>
      <c r="S79" s="36">
        <f t="shared" si="27"/>
        <v>3524.7</v>
      </c>
      <c r="T79" s="38" t="str">
        <f>IFERROR((VLOOKUP($B79,'Из Гугла'!$B:$G,6,0)+V79)*U79,VLOOKUP($B79,'Из Гугла'!$B:$G,6,0))</f>
        <v/>
      </c>
      <c r="U79" s="38">
        <v>1</v>
      </c>
      <c r="V79" s="38"/>
      <c r="W79" s="22">
        <f t="shared" si="28"/>
        <v>0.28170909090909091</v>
      </c>
      <c r="X79" s="22" t="str">
        <f t="shared" si="29"/>
        <v/>
      </c>
      <c r="Y79" s="22" t="str">
        <f t="shared" si="30"/>
        <v/>
      </c>
      <c r="Z79" s="9" t="s">
        <v>1269</v>
      </c>
    </row>
    <row r="80" spans="1:26" ht="60" x14ac:dyDescent="0.25">
      <c r="A80" s="23" t="str">
        <f>INDEX('Выгр Торг'!$A:$A,MATCH(B80,'Выгр Торг'!$B:$B,0))</f>
        <v>Боковые зеркала (аналог) с электроприводом, обогревом и повторителем для Лада Веста</v>
      </c>
      <c r="B80" s="26">
        <v>243523</v>
      </c>
      <c r="C80" s="26">
        <f>VLOOKUP($B80,'Выгр Торг'!$B:$Q,C$1,0)</f>
        <v>182070</v>
      </c>
      <c r="D80" s="25" t="str">
        <f>VLOOKUP($B80,'Выгр Торг'!$B:$Q,D$1,0)</f>
        <v>Боковые зеркала (аналог) с электроприводом, обогревом и повторителем для Лада Веста (В цвет, Лайм (яркий желто-зеленый, 366))</v>
      </c>
      <c r="E80" s="26" t="str">
        <f>VLOOKUP($B80,'Выгр Торг'!$B:$Q,E$1,0)</f>
        <v>Y</v>
      </c>
      <c r="F80" s="26" t="str">
        <f>VLOOKUP($B80,'Выгр Торг'!$B:$Q,F$1,0)</f>
        <v>1</v>
      </c>
      <c r="G80" s="26">
        <f>VLOOKUP($B80,'Выгр Торг'!$B:$Q,G$1,0)</f>
        <v>0</v>
      </c>
      <c r="H80" s="2" t="s">
        <v>3</v>
      </c>
      <c r="I80" s="34">
        <v>243517</v>
      </c>
      <c r="J80" s="42">
        <f>INDEX($J:$J,MATCH($I80,$B:$B,0))</f>
        <v>450</v>
      </c>
      <c r="K80" s="43">
        <f>INDEX($K:$K,MATCH($I80,$B:$B,0))+$J80</f>
        <v>2750</v>
      </c>
      <c r="L80" s="5">
        <f>VLOOKUP(K80,Наценка!$A$1:$G$8,2,1)</f>
        <v>1.27</v>
      </c>
      <c r="M80" s="43">
        <f>INDEX($M:$M,MATCH($I80,$B:$B,0))+$J80*$M$2</f>
        <v>3725.8602150537636</v>
      </c>
      <c r="N80" s="39">
        <f t="shared" si="24"/>
        <v>3790</v>
      </c>
      <c r="O80" s="40">
        <f>VLOOKUP($B80,'Выгр Торг'!$B:$Q,O$1,0)</f>
        <v>2750</v>
      </c>
      <c r="P80" s="40">
        <f>VLOOKUP($B80,'Выгр Торг'!$B:$Q,P$1,0)</f>
        <v>3790</v>
      </c>
      <c r="Q80" s="28">
        <f t="shared" si="25"/>
        <v>0</v>
      </c>
      <c r="R80" s="28">
        <f t="shared" si="26"/>
        <v>0</v>
      </c>
      <c r="S80" s="36">
        <f t="shared" si="27"/>
        <v>3524.7</v>
      </c>
      <c r="T80" s="38" t="str">
        <f>IFERROR((VLOOKUP($B80,'Из Гугла'!$B:$G,6,0)+V80)*U80,VLOOKUP($B80,'Из Гугла'!$B:$G,6,0))</f>
        <v/>
      </c>
      <c r="U80" s="38">
        <v>1</v>
      </c>
      <c r="V80" s="38"/>
      <c r="W80" s="22">
        <f t="shared" si="28"/>
        <v>0.28170909090909091</v>
      </c>
      <c r="X80" s="22" t="str">
        <f t="shared" si="29"/>
        <v/>
      </c>
      <c r="Y80" s="22" t="str">
        <f t="shared" si="30"/>
        <v/>
      </c>
      <c r="Z80" s="9" t="s">
        <v>1269</v>
      </c>
    </row>
    <row r="81" spans="1:27" ht="60" x14ac:dyDescent="0.25">
      <c r="A81" s="23" t="str">
        <f>INDEX('Выгр Торг'!$A:$A,MATCH(B81,'Выгр Торг'!$B:$B,0))</f>
        <v>Боковые зеркала (аналог) с электроприводом, обогревом и повторителем для Лада Веста</v>
      </c>
      <c r="B81" s="26">
        <v>243524</v>
      </c>
      <c r="C81" s="26">
        <f>VLOOKUP($B81,'Выгр Торг'!$B:$Q,C$1,0)</f>
        <v>182071</v>
      </c>
      <c r="D81" s="25" t="str">
        <f>VLOOKUP($B81,'Выгр Торг'!$B:$Q,D$1,0)</f>
        <v>Боковые зеркала (аналог) с электроприводом, обогревом и повторителем для Лада Веста (В цвет, Ледниковый (белый, 221))</v>
      </c>
      <c r="E81" s="26" t="str">
        <f>VLOOKUP($B81,'Выгр Торг'!$B:$Q,E$1,0)</f>
        <v>Y</v>
      </c>
      <c r="F81" s="26" t="str">
        <f>VLOOKUP($B81,'Выгр Торг'!$B:$Q,F$1,0)</f>
        <v>1</v>
      </c>
      <c r="G81" s="26">
        <f>VLOOKUP($B81,'Выгр Торг'!$B:$Q,G$1,0)</f>
        <v>0</v>
      </c>
      <c r="H81" s="2" t="s">
        <v>3</v>
      </c>
      <c r="I81" s="34">
        <v>243517</v>
      </c>
      <c r="J81" s="42">
        <f>INDEX($J:$J,MATCH($I81,$B:$B,0))</f>
        <v>450</v>
      </c>
      <c r="K81" s="43">
        <f>INDEX($K:$K,MATCH($I81,$B:$B,0))+$J81</f>
        <v>2750</v>
      </c>
      <c r="L81" s="5">
        <f>VLOOKUP(K81,Наценка!$A$1:$G$8,2,1)</f>
        <v>1.27</v>
      </c>
      <c r="M81" s="43">
        <f>INDEX($M:$M,MATCH($I81,$B:$B,0))+$J81*$M$2</f>
        <v>3725.8602150537636</v>
      </c>
      <c r="N81" s="39">
        <f t="shared" si="24"/>
        <v>3790</v>
      </c>
      <c r="O81" s="40">
        <f>VLOOKUP($B81,'Выгр Торг'!$B:$Q,O$1,0)</f>
        <v>2750</v>
      </c>
      <c r="P81" s="40">
        <f>VLOOKUP($B81,'Выгр Торг'!$B:$Q,P$1,0)</f>
        <v>3790</v>
      </c>
      <c r="Q81" s="28">
        <f t="shared" si="25"/>
        <v>0</v>
      </c>
      <c r="R81" s="28">
        <f t="shared" si="26"/>
        <v>0</v>
      </c>
      <c r="S81" s="36">
        <f t="shared" si="27"/>
        <v>3524.7</v>
      </c>
      <c r="T81" s="38" t="str">
        <f>IFERROR((VLOOKUP($B81,'Из Гугла'!$B:$G,6,0)+V81)*U81,VLOOKUP($B81,'Из Гугла'!$B:$G,6,0))</f>
        <v/>
      </c>
      <c r="U81" s="38">
        <v>1</v>
      </c>
      <c r="V81" s="38"/>
      <c r="W81" s="22">
        <f t="shared" si="28"/>
        <v>0.28170909090909091</v>
      </c>
      <c r="X81" s="22" t="str">
        <f t="shared" si="29"/>
        <v/>
      </c>
      <c r="Y81" s="22" t="str">
        <f t="shared" si="30"/>
        <v/>
      </c>
      <c r="Z81" s="9" t="s">
        <v>1269</v>
      </c>
    </row>
    <row r="82" spans="1:27" ht="60" x14ac:dyDescent="0.25">
      <c r="A82" s="23" t="str">
        <f>INDEX('Выгр Торг'!$A:$A,MATCH(B82,'Выгр Торг'!$B:$B,0))</f>
        <v>Боковые зеркала (аналог) с электроприводом, обогревом и повторителем для Лада Веста</v>
      </c>
      <c r="B82" s="26">
        <v>243525</v>
      </c>
      <c r="C82" s="26">
        <f>VLOOKUP($B82,'Выгр Торг'!$B:$Q,C$1,0)</f>
        <v>182072</v>
      </c>
      <c r="D82" s="25" t="str">
        <f>VLOOKUP($B82,'Выгр Торг'!$B:$Q,D$1,0)</f>
        <v>Боковые зеркала (аналог) с электроприводом, обогревом и повторителем для Лада Веста (В цвет, Марс (оранжевый, 130))</v>
      </c>
      <c r="E82" s="26" t="str">
        <f>VLOOKUP($B82,'Выгр Торг'!$B:$Q,E$1,0)</f>
        <v>Y</v>
      </c>
      <c r="F82" s="26" t="str">
        <f>VLOOKUP($B82,'Выгр Торг'!$B:$Q,F$1,0)</f>
        <v>1</v>
      </c>
      <c r="G82" s="26">
        <f>VLOOKUP($B82,'Выгр Торг'!$B:$Q,G$1,0)</f>
        <v>0</v>
      </c>
      <c r="H82" s="2" t="s">
        <v>3</v>
      </c>
      <c r="I82" s="34">
        <v>243517</v>
      </c>
      <c r="J82" s="42">
        <f>INDEX($J:$J,MATCH($I82,$B:$B,0))</f>
        <v>450</v>
      </c>
      <c r="K82" s="43">
        <f>INDEX($K:$K,MATCH($I82,$B:$B,0))+$J82</f>
        <v>2750</v>
      </c>
      <c r="L82" s="5">
        <f>VLOOKUP(K82,Наценка!$A$1:$G$8,2,1)</f>
        <v>1.27</v>
      </c>
      <c r="M82" s="43">
        <f>INDEX($M:$M,MATCH($I82,$B:$B,0))+$J82*$M$2</f>
        <v>3725.8602150537636</v>
      </c>
      <c r="N82" s="39">
        <f t="shared" si="24"/>
        <v>3790</v>
      </c>
      <c r="O82" s="40">
        <f>VLOOKUP($B82,'Выгр Торг'!$B:$Q,O$1,0)</f>
        <v>2750</v>
      </c>
      <c r="P82" s="40">
        <f>VLOOKUP($B82,'Выгр Торг'!$B:$Q,P$1,0)</f>
        <v>3790</v>
      </c>
      <c r="Q82" s="28">
        <f t="shared" si="25"/>
        <v>0</v>
      </c>
      <c r="R82" s="28">
        <f t="shared" si="26"/>
        <v>0</v>
      </c>
      <c r="S82" s="36">
        <f t="shared" si="27"/>
        <v>3524.7</v>
      </c>
      <c r="T82" s="38" t="str">
        <f>IFERROR((VLOOKUP($B82,'Из Гугла'!$B:$G,6,0)+V82)*U82,VLOOKUP($B82,'Из Гугла'!$B:$G,6,0))</f>
        <v/>
      </c>
      <c r="U82" s="38">
        <v>1</v>
      </c>
      <c r="V82" s="38"/>
      <c r="W82" s="22">
        <f t="shared" si="28"/>
        <v>0.28170909090909091</v>
      </c>
      <c r="X82" s="22" t="str">
        <f t="shared" si="29"/>
        <v/>
      </c>
      <c r="Y82" s="22" t="str">
        <f t="shared" si="30"/>
        <v/>
      </c>
      <c r="Z82" s="9" t="s">
        <v>1269</v>
      </c>
    </row>
    <row r="83" spans="1:27" ht="60" x14ac:dyDescent="0.25">
      <c r="A83" s="23" t="str">
        <f>INDEX('Выгр Торг'!$A:$A,MATCH(B83,'Выгр Торг'!$B:$B,0))</f>
        <v>Боковые зеркала (аналог) с электроприводом, обогревом и повторителем для Лада Веста</v>
      </c>
      <c r="B83" s="26">
        <v>243526</v>
      </c>
      <c r="C83" s="26">
        <f>VLOOKUP($B83,'Выгр Торг'!$B:$Q,C$1,0)</f>
        <v>182073</v>
      </c>
      <c r="D83" s="25" t="str">
        <f>VLOOKUP($B83,'Выгр Торг'!$B:$Q,D$1,0)</f>
        <v>Боковые зеркала (аналог) с электроприводом, обогревом и повторителем для Лада Веста (В цвет, Маэстро (черное стекло, 653))</v>
      </c>
      <c r="E83" s="26" t="str">
        <f>VLOOKUP($B83,'Выгр Торг'!$B:$Q,E$1,0)</f>
        <v>Y</v>
      </c>
      <c r="F83" s="26" t="str">
        <f>VLOOKUP($B83,'Выгр Торг'!$B:$Q,F$1,0)</f>
        <v>1</v>
      </c>
      <c r="G83" s="26">
        <f>VLOOKUP($B83,'Выгр Торг'!$B:$Q,G$1,0)</f>
        <v>0</v>
      </c>
      <c r="H83" s="2" t="s">
        <v>3</v>
      </c>
      <c r="I83" s="34">
        <v>243517</v>
      </c>
      <c r="J83" s="42">
        <f>INDEX($J:$J,MATCH($I83,$B:$B,0))</f>
        <v>450</v>
      </c>
      <c r="K83" s="43">
        <f>INDEX($K:$K,MATCH($I83,$B:$B,0))+$J83</f>
        <v>2750</v>
      </c>
      <c r="L83" s="5">
        <f>VLOOKUP(K83,Наценка!$A$1:$G$8,2,1)</f>
        <v>1.27</v>
      </c>
      <c r="M83" s="43">
        <f>INDEX($M:$M,MATCH($I83,$B:$B,0))+$J83*$M$2</f>
        <v>3725.8602150537636</v>
      </c>
      <c r="N83" s="39">
        <f t="shared" si="24"/>
        <v>3790</v>
      </c>
      <c r="O83" s="40">
        <f>VLOOKUP($B83,'Выгр Торг'!$B:$Q,O$1,0)</f>
        <v>2750</v>
      </c>
      <c r="P83" s="40">
        <f>VLOOKUP($B83,'Выгр Торг'!$B:$Q,P$1,0)</f>
        <v>3790</v>
      </c>
      <c r="Q83" s="28">
        <f t="shared" si="25"/>
        <v>0</v>
      </c>
      <c r="R83" s="28">
        <f t="shared" si="26"/>
        <v>0</v>
      </c>
      <c r="S83" s="36">
        <f t="shared" si="27"/>
        <v>3524.7</v>
      </c>
      <c r="T83" s="38" t="str">
        <f>IFERROR((VLOOKUP($B83,'Из Гугла'!$B:$G,6,0)+V83)*U83,VLOOKUP($B83,'Из Гугла'!$B:$G,6,0))</f>
        <v/>
      </c>
      <c r="U83" s="38">
        <v>1</v>
      </c>
      <c r="V83" s="38"/>
      <c r="W83" s="22">
        <f t="shared" si="28"/>
        <v>0.28170909090909091</v>
      </c>
      <c r="X83" s="22" t="str">
        <f t="shared" si="29"/>
        <v/>
      </c>
      <c r="Y83" s="22" t="str">
        <f t="shared" si="30"/>
        <v/>
      </c>
      <c r="Z83" s="9" t="s">
        <v>1269</v>
      </c>
    </row>
    <row r="84" spans="1:27" ht="60" x14ac:dyDescent="0.25">
      <c r="A84" s="23" t="str">
        <f>INDEX('Выгр Торг'!$A:$A,MATCH(B84,'Выгр Торг'!$B:$B,0))</f>
        <v>Боковые зеркала (аналог) с электроприводом, обогревом и повторителем для Лада Веста</v>
      </c>
      <c r="B84" s="26">
        <v>243527</v>
      </c>
      <c r="C84" s="26">
        <f>VLOOKUP($B84,'Выгр Торг'!$B:$Q,C$1,0)</f>
        <v>182074</v>
      </c>
      <c r="D84" s="25" t="str">
        <f>VLOOKUP($B84,'Выгр Торг'!$B:$Q,D$1,0)</f>
        <v>Боковые зеркала (аналог) с электроприводом, обогревом и повторителем для Лада Веста (В цвет, Пантера (черная база, 672))</v>
      </c>
      <c r="E84" s="26" t="str">
        <f>VLOOKUP($B84,'Выгр Торг'!$B:$Q,E$1,0)</f>
        <v>Y</v>
      </c>
      <c r="F84" s="26" t="str">
        <f>VLOOKUP($B84,'Выгр Торг'!$B:$Q,F$1,0)</f>
        <v>1</v>
      </c>
      <c r="G84" s="26">
        <f>VLOOKUP($B84,'Выгр Торг'!$B:$Q,G$1,0)</f>
        <v>0</v>
      </c>
      <c r="H84" s="2" t="s">
        <v>3</v>
      </c>
      <c r="I84" s="34">
        <v>243517</v>
      </c>
      <c r="J84" s="42">
        <f>INDEX($J:$J,MATCH($I84,$B:$B,0))</f>
        <v>450</v>
      </c>
      <c r="K84" s="43">
        <f>INDEX($K:$K,MATCH($I84,$B:$B,0))+$J84</f>
        <v>2750</v>
      </c>
      <c r="L84" s="5">
        <f>VLOOKUP(K84,Наценка!$A$1:$G$8,2,1)</f>
        <v>1.27</v>
      </c>
      <c r="M84" s="43">
        <f>INDEX($M:$M,MATCH($I84,$B:$B,0))+$J84*$M$2</f>
        <v>3725.8602150537636</v>
      </c>
      <c r="N84" s="39">
        <f t="shared" si="24"/>
        <v>3790</v>
      </c>
      <c r="O84" s="40">
        <f>VLOOKUP($B84,'Выгр Торг'!$B:$Q,O$1,0)</f>
        <v>2750</v>
      </c>
      <c r="P84" s="40">
        <f>VLOOKUP($B84,'Выгр Торг'!$B:$Q,P$1,0)</f>
        <v>3790</v>
      </c>
      <c r="Q84" s="28">
        <f t="shared" si="25"/>
        <v>0</v>
      </c>
      <c r="R84" s="28">
        <f t="shared" si="26"/>
        <v>0</v>
      </c>
      <c r="S84" s="36">
        <f t="shared" si="27"/>
        <v>3524.7</v>
      </c>
      <c r="T84" s="38" t="str">
        <f>IFERROR((VLOOKUP($B84,'Из Гугла'!$B:$G,6,0)+V84)*U84,VLOOKUP($B84,'Из Гугла'!$B:$G,6,0))</f>
        <v/>
      </c>
      <c r="U84" s="38">
        <v>1</v>
      </c>
      <c r="V84" s="38"/>
      <c r="W84" s="22">
        <f t="shared" si="28"/>
        <v>0.28170909090909091</v>
      </c>
      <c r="X84" s="22" t="str">
        <f t="shared" si="29"/>
        <v/>
      </c>
      <c r="Y84" s="22" t="str">
        <f t="shared" si="30"/>
        <v/>
      </c>
      <c r="Z84" s="9" t="s">
        <v>1269</v>
      </c>
    </row>
    <row r="85" spans="1:27" ht="60" x14ac:dyDescent="0.25">
      <c r="A85" s="23" t="str">
        <f>INDEX('Выгр Торг'!$A:$A,MATCH(B85,'Выгр Торг'!$B:$B,0))</f>
        <v>Боковые зеркала (аналог) с электроприводом, обогревом и повторителем для Лада Веста</v>
      </c>
      <c r="B85" s="26">
        <v>243528</v>
      </c>
      <c r="C85" s="26">
        <f>VLOOKUP($B85,'Выгр Торг'!$B:$Q,C$1,0)</f>
        <v>182075</v>
      </c>
      <c r="D85" s="25" t="str">
        <f>VLOOKUP($B85,'Выгр Торг'!$B:$Q,D$1,0)</f>
        <v>Боковые зеркала (аналог) с электроприводом, обогревом и повторителем для Лада Веста (В цвет, Платина (серебристо-бежевый, 691))</v>
      </c>
      <c r="E85" s="26" t="str">
        <f>VLOOKUP($B85,'Выгр Торг'!$B:$Q,E$1,0)</f>
        <v>Y</v>
      </c>
      <c r="F85" s="26" t="str">
        <f>VLOOKUP($B85,'Выгр Торг'!$B:$Q,F$1,0)</f>
        <v>1</v>
      </c>
      <c r="G85" s="26">
        <f>VLOOKUP($B85,'Выгр Торг'!$B:$Q,G$1,0)</f>
        <v>0</v>
      </c>
      <c r="H85" s="2" t="s">
        <v>3</v>
      </c>
      <c r="I85" s="34">
        <v>243517</v>
      </c>
      <c r="J85" s="42">
        <f>INDEX($J:$J,MATCH($I85,$B:$B,0))</f>
        <v>450</v>
      </c>
      <c r="K85" s="43">
        <f>INDEX($K:$K,MATCH($I85,$B:$B,0))+$J85</f>
        <v>2750</v>
      </c>
      <c r="L85" s="5">
        <f>VLOOKUP(K85,Наценка!$A$1:$G$8,2,1)</f>
        <v>1.27</v>
      </c>
      <c r="M85" s="43">
        <f>INDEX($M:$M,MATCH($I85,$B:$B,0))+$J85*$M$2</f>
        <v>3725.8602150537636</v>
      </c>
      <c r="N85" s="39">
        <f t="shared" si="24"/>
        <v>3790</v>
      </c>
      <c r="O85" s="40">
        <f>VLOOKUP($B85,'Выгр Торг'!$B:$Q,O$1,0)</f>
        <v>2750</v>
      </c>
      <c r="P85" s="40">
        <f>VLOOKUP($B85,'Выгр Торг'!$B:$Q,P$1,0)</f>
        <v>3790</v>
      </c>
      <c r="Q85" s="28">
        <f t="shared" si="25"/>
        <v>0</v>
      </c>
      <c r="R85" s="28">
        <f t="shared" si="26"/>
        <v>0</v>
      </c>
      <c r="S85" s="36">
        <f t="shared" si="27"/>
        <v>3524.7</v>
      </c>
      <c r="T85" s="38" t="str">
        <f>IFERROR((VLOOKUP($B85,'Из Гугла'!$B:$G,6,0)+V85)*U85,VLOOKUP($B85,'Из Гугла'!$B:$G,6,0))</f>
        <v/>
      </c>
      <c r="U85" s="38">
        <v>1</v>
      </c>
      <c r="V85" s="38"/>
      <c r="W85" s="22">
        <f t="shared" si="28"/>
        <v>0.28170909090909091</v>
      </c>
      <c r="X85" s="22" t="str">
        <f t="shared" si="29"/>
        <v/>
      </c>
      <c r="Y85" s="22" t="str">
        <f t="shared" si="30"/>
        <v/>
      </c>
      <c r="Z85" s="9" t="s">
        <v>1269</v>
      </c>
    </row>
    <row r="86" spans="1:27" ht="60" x14ac:dyDescent="0.25">
      <c r="A86" s="23" t="str">
        <f>INDEX('Выгр Торг'!$A:$A,MATCH(B86,'Выгр Торг'!$B:$B,0))</f>
        <v>Боковые зеркала (аналог) с электроприводом, обогревом и повторителем для Лада Веста</v>
      </c>
      <c r="B86" s="26">
        <v>243529</v>
      </c>
      <c r="C86" s="26">
        <f>VLOOKUP($B86,'Выгр Торг'!$B:$Q,C$1,0)</f>
        <v>182076</v>
      </c>
      <c r="D86" s="25" t="str">
        <f>VLOOKUP($B86,'Выгр Торг'!$B:$Q,D$1,0)</f>
        <v>Боковые зеркала (аналог) с электроприводом, обогревом и повторителем для Лада Веста (В цвет, Плутон (темно-серый, 608))</v>
      </c>
      <c r="E86" s="26" t="str">
        <f>VLOOKUP($B86,'Выгр Торг'!$B:$Q,E$1,0)</f>
        <v>Y</v>
      </c>
      <c r="F86" s="26" t="str">
        <f>VLOOKUP($B86,'Выгр Торг'!$B:$Q,F$1,0)</f>
        <v>1</v>
      </c>
      <c r="G86" s="26">
        <f>VLOOKUP($B86,'Выгр Торг'!$B:$Q,G$1,0)</f>
        <v>0</v>
      </c>
      <c r="H86" s="2" t="s">
        <v>3</v>
      </c>
      <c r="I86" s="34">
        <v>243517</v>
      </c>
      <c r="J86" s="42">
        <f>INDEX($J:$J,MATCH($I86,$B:$B,0))</f>
        <v>450</v>
      </c>
      <c r="K86" s="43">
        <f>INDEX($K:$K,MATCH($I86,$B:$B,0))+$J86</f>
        <v>2750</v>
      </c>
      <c r="L86" s="5">
        <f>VLOOKUP(K86,Наценка!$A$1:$G$8,2,1)</f>
        <v>1.27</v>
      </c>
      <c r="M86" s="43">
        <f>INDEX($M:$M,MATCH($I86,$B:$B,0))+$J86*$M$2</f>
        <v>3725.8602150537636</v>
      </c>
      <c r="N86" s="39">
        <f t="shared" si="24"/>
        <v>3790</v>
      </c>
      <c r="O86" s="40">
        <f>VLOOKUP($B86,'Выгр Торг'!$B:$Q,O$1,0)</f>
        <v>2750</v>
      </c>
      <c r="P86" s="40">
        <f>VLOOKUP($B86,'Выгр Торг'!$B:$Q,P$1,0)</f>
        <v>3790</v>
      </c>
      <c r="Q86" s="28">
        <f t="shared" si="25"/>
        <v>0</v>
      </c>
      <c r="R86" s="28">
        <f t="shared" si="26"/>
        <v>0</v>
      </c>
      <c r="S86" s="36">
        <f t="shared" si="27"/>
        <v>3524.7</v>
      </c>
      <c r="T86" s="38" t="str">
        <f>IFERROR((VLOOKUP($B86,'Из Гугла'!$B:$G,6,0)+V86)*U86,VLOOKUP($B86,'Из Гугла'!$B:$G,6,0))</f>
        <v/>
      </c>
      <c r="U86" s="38">
        <v>1</v>
      </c>
      <c r="V86" s="38"/>
      <c r="W86" s="22">
        <f t="shared" si="28"/>
        <v>0.28170909090909091</v>
      </c>
      <c r="X86" s="22" t="str">
        <f t="shared" si="29"/>
        <v/>
      </c>
      <c r="Y86" s="22" t="str">
        <f t="shared" si="30"/>
        <v/>
      </c>
      <c r="Z86" s="9" t="s">
        <v>1269</v>
      </c>
    </row>
    <row r="87" spans="1:27" ht="60" x14ac:dyDescent="0.25">
      <c r="A87" s="23" t="str">
        <f>INDEX('Выгр Торг'!$A:$A,MATCH(B87,'Выгр Торг'!$B:$B,0))</f>
        <v>Боковые зеркала (аналог) с электроприводом, обогревом и повторителем для Лада Веста</v>
      </c>
      <c r="B87" s="26">
        <v>243530</v>
      </c>
      <c r="C87" s="26">
        <f>VLOOKUP($B87,'Выгр Торг'!$B:$Q,C$1,0)</f>
        <v>182077</v>
      </c>
      <c r="D87" s="25" t="str">
        <f>VLOOKUP($B87,'Выгр Торг'!$B:$Q,D$1,0)</f>
        <v>Боковые зеркала (аналог) с электроприводом, обогревом и повторителем для Лада Веста (В цвет, Сердолик (темно-красный, 195))</v>
      </c>
      <c r="E87" s="26" t="str">
        <f>VLOOKUP($B87,'Выгр Торг'!$B:$Q,E$1,0)</f>
        <v>Y</v>
      </c>
      <c r="F87" s="26" t="str">
        <f>VLOOKUP($B87,'Выгр Торг'!$B:$Q,F$1,0)</f>
        <v>1</v>
      </c>
      <c r="G87" s="26">
        <f>VLOOKUP($B87,'Выгр Торг'!$B:$Q,G$1,0)</f>
        <v>0</v>
      </c>
      <c r="H87" s="2" t="s">
        <v>3</v>
      </c>
      <c r="I87" s="34">
        <v>243517</v>
      </c>
      <c r="J87" s="42">
        <f>INDEX($J:$J,MATCH($I87,$B:$B,0))</f>
        <v>450</v>
      </c>
      <c r="K87" s="43">
        <f>INDEX($K:$K,MATCH($I87,$B:$B,0))+$J87</f>
        <v>2750</v>
      </c>
      <c r="L87" s="5">
        <f>VLOOKUP(K87,Наценка!$A$1:$G$8,2,1)</f>
        <v>1.27</v>
      </c>
      <c r="M87" s="43">
        <f>INDEX($M:$M,MATCH($I87,$B:$B,0))+$J87*$M$2</f>
        <v>3725.8602150537636</v>
      </c>
      <c r="N87" s="39">
        <f t="shared" si="24"/>
        <v>3790</v>
      </c>
      <c r="O87" s="40">
        <f>VLOOKUP($B87,'Выгр Торг'!$B:$Q,O$1,0)</f>
        <v>2750</v>
      </c>
      <c r="P87" s="40">
        <f>VLOOKUP($B87,'Выгр Торг'!$B:$Q,P$1,0)</f>
        <v>3790</v>
      </c>
      <c r="Q87" s="28">
        <f t="shared" si="25"/>
        <v>0</v>
      </c>
      <c r="R87" s="28">
        <f t="shared" si="26"/>
        <v>0</v>
      </c>
      <c r="S87" s="36">
        <f t="shared" si="27"/>
        <v>3524.7</v>
      </c>
      <c r="T87" s="38" t="str">
        <f>IFERROR((VLOOKUP($B87,'Из Гугла'!$B:$G,6,0)+V87)*U87,VLOOKUP($B87,'Из Гугла'!$B:$G,6,0))</f>
        <v/>
      </c>
      <c r="U87" s="38">
        <v>1</v>
      </c>
      <c r="V87" s="38"/>
      <c r="W87" s="22">
        <f t="shared" si="28"/>
        <v>0.28170909090909091</v>
      </c>
      <c r="X87" s="22" t="str">
        <f t="shared" si="29"/>
        <v/>
      </c>
      <c r="Y87" s="22" t="str">
        <f t="shared" si="30"/>
        <v/>
      </c>
      <c r="Z87" s="9" t="s">
        <v>1269</v>
      </c>
    </row>
    <row r="88" spans="1:27" ht="60" x14ac:dyDescent="0.25">
      <c r="A88" s="23" t="str">
        <f>INDEX('Выгр Торг'!$A:$A,MATCH(B88,'Выгр Торг'!$B:$B,0))</f>
        <v>Боковые зеркала (аналог) с электроприводом, обогревом и повторителем для Лада Веста</v>
      </c>
      <c r="B88" s="26">
        <v>243531</v>
      </c>
      <c r="C88" s="26">
        <f>VLOOKUP($B88,'Выгр Торг'!$B:$Q,C$1,0)</f>
        <v>182078</v>
      </c>
      <c r="D88" s="25" t="str">
        <f>VLOOKUP($B88,'Выгр Торг'!$B:$Q,D$1,0)</f>
        <v>Боковые зеркала (аналог) с электроприводом, обогревом и повторителем для Лада Веста (В цвет, Тайфун (серый, 616))</v>
      </c>
      <c r="E88" s="26" t="str">
        <f>VLOOKUP($B88,'Выгр Торг'!$B:$Q,E$1,0)</f>
        <v>Y</v>
      </c>
      <c r="F88" s="26" t="str">
        <f>VLOOKUP($B88,'Выгр Торг'!$B:$Q,F$1,0)</f>
        <v>1</v>
      </c>
      <c r="G88" s="26">
        <f>VLOOKUP($B88,'Выгр Торг'!$B:$Q,G$1,0)</f>
        <v>0</v>
      </c>
      <c r="H88" s="2" t="s">
        <v>3</v>
      </c>
      <c r="I88" s="34">
        <v>243517</v>
      </c>
      <c r="J88" s="42">
        <f>INDEX($J:$J,MATCH($I88,$B:$B,0))</f>
        <v>450</v>
      </c>
      <c r="K88" s="43">
        <f>INDEX($K:$K,MATCH($I88,$B:$B,0))+$J88</f>
        <v>2750</v>
      </c>
      <c r="L88" s="5">
        <f>VLOOKUP(K88,Наценка!$A$1:$G$8,2,1)</f>
        <v>1.27</v>
      </c>
      <c r="M88" s="43">
        <f>INDEX($M:$M,MATCH($I88,$B:$B,0))+$J88*$M$2</f>
        <v>3725.8602150537636</v>
      </c>
      <c r="N88" s="39">
        <f t="shared" si="24"/>
        <v>3790</v>
      </c>
      <c r="O88" s="40">
        <f>VLOOKUP($B88,'Выгр Торг'!$B:$Q,O$1,0)</f>
        <v>2750</v>
      </c>
      <c r="P88" s="40">
        <f>VLOOKUP($B88,'Выгр Торг'!$B:$Q,P$1,0)</f>
        <v>3790</v>
      </c>
      <c r="Q88" s="28">
        <f t="shared" si="25"/>
        <v>0</v>
      </c>
      <c r="R88" s="28">
        <f t="shared" si="26"/>
        <v>0</v>
      </c>
      <c r="S88" s="36">
        <f t="shared" si="27"/>
        <v>3524.7</v>
      </c>
      <c r="T88" s="38" t="str">
        <f>IFERROR((VLOOKUP($B88,'Из Гугла'!$B:$G,6,0)+V88)*U88,VLOOKUP($B88,'Из Гугла'!$B:$G,6,0))</f>
        <v/>
      </c>
      <c r="U88" s="38">
        <v>1</v>
      </c>
      <c r="V88" s="38"/>
      <c r="W88" s="22">
        <f t="shared" si="28"/>
        <v>0.28170909090909091</v>
      </c>
      <c r="X88" s="22" t="str">
        <f t="shared" si="29"/>
        <v/>
      </c>
      <c r="Y88" s="22" t="str">
        <f t="shared" si="30"/>
        <v/>
      </c>
      <c r="Z88" s="9" t="s">
        <v>1269</v>
      </c>
    </row>
    <row r="89" spans="1:27" ht="60" x14ac:dyDescent="0.25">
      <c r="A89" s="23" t="str">
        <f>INDEX('Выгр Торг'!$A:$A,MATCH(B89,'Выгр Торг'!$B:$B,0))</f>
        <v>Боковые зеркала (аналог) с электроприводом, обогревом и повторителем для Лада Веста</v>
      </c>
      <c r="B89" s="26">
        <v>243532</v>
      </c>
      <c r="C89" s="26">
        <f>VLOOKUP($B89,'Выгр Торг'!$B:$Q,C$1,0)</f>
        <v>182064</v>
      </c>
      <c r="D89" s="25" t="str">
        <f>VLOOKUP($B89,'Выгр Торг'!$B:$Q,D$1,0)</f>
        <v>Боковые зеркала (аналог) с электроприводом, обогревом и повторителем для Лада Веста (В цвет, Уточнить у менеджера)</v>
      </c>
      <c r="E89" s="26" t="str">
        <f>VLOOKUP($B89,'Выгр Торг'!$B:$Q,E$1,0)</f>
        <v>Y</v>
      </c>
      <c r="F89" s="26" t="str">
        <f>VLOOKUP($B89,'Выгр Торг'!$B:$Q,F$1,0)</f>
        <v>1</v>
      </c>
      <c r="G89" s="26">
        <f>VLOOKUP($B89,'Выгр Торг'!$B:$Q,G$1,0)</f>
        <v>0</v>
      </c>
      <c r="H89" s="2" t="s">
        <v>3</v>
      </c>
      <c r="I89" s="34">
        <v>243517</v>
      </c>
      <c r="J89" s="42">
        <f>INDEX($J:$J,MATCH($I89,$B:$B,0))</f>
        <v>450</v>
      </c>
      <c r="K89" s="43">
        <f>INDEX($K:$K,MATCH($I89,$B:$B,0))+$J89</f>
        <v>2750</v>
      </c>
      <c r="L89" s="5">
        <f>VLOOKUP(K89,Наценка!$A$1:$G$8,2,1)</f>
        <v>1.27</v>
      </c>
      <c r="M89" s="43">
        <f>INDEX($M:$M,MATCH($I89,$B:$B,0))+$J89*$M$2</f>
        <v>3725.8602150537636</v>
      </c>
      <c r="N89" s="39">
        <f t="shared" si="24"/>
        <v>3790</v>
      </c>
      <c r="O89" s="40">
        <f>VLOOKUP($B89,'Выгр Торг'!$B:$Q,O$1,0)</f>
        <v>2750</v>
      </c>
      <c r="P89" s="40">
        <f>VLOOKUP($B89,'Выгр Торг'!$B:$Q,P$1,0)</f>
        <v>3790</v>
      </c>
      <c r="Q89" s="28">
        <f t="shared" si="25"/>
        <v>0</v>
      </c>
      <c r="R89" s="28">
        <f t="shared" si="26"/>
        <v>0</v>
      </c>
      <c r="S89" s="36">
        <f t="shared" si="27"/>
        <v>3524.7</v>
      </c>
      <c r="T89" s="38" t="str">
        <f>IFERROR((VLOOKUP($B89,'Из Гугла'!$B:$G,6,0)+V89)*U89,VLOOKUP($B89,'Из Гугла'!$B:$G,6,0))</f>
        <v/>
      </c>
      <c r="U89" s="38">
        <v>1</v>
      </c>
      <c r="V89" s="38"/>
      <c r="W89" s="22">
        <f t="shared" si="28"/>
        <v>0.28170909090909091</v>
      </c>
      <c r="X89" s="22" t="str">
        <f t="shared" si="29"/>
        <v/>
      </c>
      <c r="Y89" s="22" t="str">
        <f t="shared" si="30"/>
        <v/>
      </c>
      <c r="Z89" s="9" t="s">
        <v>1269</v>
      </c>
    </row>
    <row r="90" spans="1:27" ht="60" x14ac:dyDescent="0.25">
      <c r="A90" s="23" t="str">
        <f>INDEX('Выгр Торг'!$A:$A,MATCH(B90,'Выгр Торг'!$B:$B,0))</f>
        <v>Боковые зеркала (аналог) с электроприводом, обогревом и повторителем для Лада Веста</v>
      </c>
      <c r="B90" s="26">
        <v>243533</v>
      </c>
      <c r="C90" s="26">
        <f>VLOOKUP($B90,'Выгр Торг'!$B:$Q,C$1,0)</f>
        <v>182079</v>
      </c>
      <c r="D90" s="25" t="str">
        <f>VLOOKUP($B90,'Выгр Торг'!$B:$Q,D$1,0)</f>
        <v>Боковые зеркала (аналог) с электроприводом, обогревом и повторителем для Лада Веста (В цвет, Фантом (темно-серо-голубой, 496))</v>
      </c>
      <c r="E90" s="26" t="str">
        <f>VLOOKUP($B90,'Выгр Торг'!$B:$Q,E$1,0)</f>
        <v>Y</v>
      </c>
      <c r="F90" s="26" t="str">
        <f>VLOOKUP($B90,'Выгр Торг'!$B:$Q,F$1,0)</f>
        <v>1</v>
      </c>
      <c r="G90" s="26">
        <f>VLOOKUP($B90,'Выгр Торг'!$B:$Q,G$1,0)</f>
        <v>0</v>
      </c>
      <c r="H90" s="2" t="s">
        <v>3</v>
      </c>
      <c r="I90" s="34">
        <v>243517</v>
      </c>
      <c r="J90" s="42">
        <f>INDEX($J:$J,MATCH($I90,$B:$B,0))</f>
        <v>450</v>
      </c>
      <c r="K90" s="43">
        <f>INDEX($K:$K,MATCH($I90,$B:$B,0))+$J90</f>
        <v>2750</v>
      </c>
      <c r="L90" s="5">
        <f>VLOOKUP(K90,Наценка!$A$1:$G$8,2,1)</f>
        <v>1.27</v>
      </c>
      <c r="M90" s="43">
        <f>INDEX($M:$M,MATCH($I90,$B:$B,0))+$J90*$M$2</f>
        <v>3725.8602150537636</v>
      </c>
      <c r="N90" s="39">
        <f t="shared" si="24"/>
        <v>3790</v>
      </c>
      <c r="O90" s="40">
        <f>VLOOKUP($B90,'Выгр Торг'!$B:$Q,O$1,0)</f>
        <v>2750</v>
      </c>
      <c r="P90" s="40">
        <f>VLOOKUP($B90,'Выгр Торг'!$B:$Q,P$1,0)</f>
        <v>3790</v>
      </c>
      <c r="Q90" s="28">
        <f t="shared" si="25"/>
        <v>0</v>
      </c>
      <c r="R90" s="28">
        <f t="shared" si="26"/>
        <v>0</v>
      </c>
      <c r="S90" s="36">
        <f t="shared" si="27"/>
        <v>3524.7</v>
      </c>
      <c r="T90" s="38" t="str">
        <f>IFERROR((VLOOKUP($B90,'Из Гугла'!$B:$G,6,0)+V90)*U90,VLOOKUP($B90,'Из Гугла'!$B:$G,6,0))</f>
        <v/>
      </c>
      <c r="U90" s="38">
        <v>1</v>
      </c>
      <c r="V90" s="38"/>
      <c r="W90" s="22">
        <f t="shared" si="28"/>
        <v>0.28170909090909091</v>
      </c>
      <c r="X90" s="22" t="str">
        <f t="shared" si="29"/>
        <v/>
      </c>
      <c r="Y90" s="22" t="str">
        <f t="shared" si="30"/>
        <v/>
      </c>
      <c r="Z90" s="9" t="s">
        <v>1269</v>
      </c>
    </row>
    <row r="91" spans="1:27" ht="60" x14ac:dyDescent="0.25">
      <c r="A91" s="23" t="str">
        <f>INDEX('Выгр Торг'!$A:$A,MATCH(B91,'Выгр Торг'!$B:$B,0))</f>
        <v>Боковые зеркала (аналог) с электроприводом, обогревом и повторителем для Лада Веста</v>
      </c>
      <c r="B91" s="26">
        <v>243534</v>
      </c>
      <c r="C91" s="26">
        <f>VLOOKUP($B91,'Выгр Торг'!$B:$Q,C$1,0)</f>
        <v>182080</v>
      </c>
      <c r="D91" s="25" t="str">
        <f>VLOOKUP($B91,'Выгр Торг'!$B:$Q,D$1,0)</f>
        <v>Боковые зеркала (аналог) с электроприводом, обогревом и повторителем для Лада Веста (В цвет, Черная жемчужина (черный, 676))</v>
      </c>
      <c r="E91" s="26" t="str">
        <f>VLOOKUP($B91,'Выгр Торг'!$B:$Q,E$1,0)</f>
        <v>Y</v>
      </c>
      <c r="F91" s="26" t="str">
        <f>VLOOKUP($B91,'Выгр Торг'!$B:$Q,F$1,0)</f>
        <v>1</v>
      </c>
      <c r="G91" s="26">
        <f>VLOOKUP($B91,'Выгр Торг'!$B:$Q,G$1,0)</f>
        <v>0</v>
      </c>
      <c r="H91" s="2" t="s">
        <v>3</v>
      </c>
      <c r="I91" s="34">
        <v>243517</v>
      </c>
      <c r="J91" s="42">
        <f>INDEX($J:$J,MATCH($I91,$B:$B,0))</f>
        <v>450</v>
      </c>
      <c r="K91" s="43">
        <f>INDEX($K:$K,MATCH($I91,$B:$B,0))+$J91</f>
        <v>2750</v>
      </c>
      <c r="L91" s="5">
        <f>VLOOKUP(K91,Наценка!$A$1:$G$8,2,1)</f>
        <v>1.27</v>
      </c>
      <c r="M91" s="43">
        <f>INDEX($M:$M,MATCH($I91,$B:$B,0))+$J91*$M$2</f>
        <v>3725.8602150537636</v>
      </c>
      <c r="N91" s="39">
        <f t="shared" si="24"/>
        <v>3790</v>
      </c>
      <c r="O91" s="40">
        <f>VLOOKUP($B91,'Выгр Торг'!$B:$Q,O$1,0)</f>
        <v>2750</v>
      </c>
      <c r="P91" s="40">
        <f>VLOOKUP($B91,'Выгр Торг'!$B:$Q,P$1,0)</f>
        <v>3790</v>
      </c>
      <c r="Q91" s="28">
        <f t="shared" si="25"/>
        <v>0</v>
      </c>
      <c r="R91" s="28">
        <f t="shared" si="26"/>
        <v>0</v>
      </c>
      <c r="S91" s="36">
        <f t="shared" si="27"/>
        <v>3524.7</v>
      </c>
      <c r="T91" s="38" t="str">
        <f>IFERROR((VLOOKUP($B91,'Из Гугла'!$B:$G,6,0)+V91)*U91,VLOOKUP($B91,'Из Гугла'!$B:$G,6,0))</f>
        <v/>
      </c>
      <c r="U91" s="38">
        <v>1</v>
      </c>
      <c r="V91" s="38"/>
      <c r="W91" s="22">
        <f t="shared" si="28"/>
        <v>0.28170909090909091</v>
      </c>
      <c r="X91" s="22" t="str">
        <f t="shared" si="29"/>
        <v/>
      </c>
      <c r="Y91" s="22" t="str">
        <f t="shared" si="30"/>
        <v/>
      </c>
      <c r="Z91" s="9" t="s">
        <v>1269</v>
      </c>
    </row>
    <row r="92" spans="1:27" ht="30" x14ac:dyDescent="0.25">
      <c r="A92" s="23" t="str">
        <f>INDEX('Выгр Торг'!$A:$A,MATCH(B92,'Выгр Торг'!$B:$B,0))</f>
        <v>Накладки на педали (квадратные)</v>
      </c>
      <c r="B92" s="26">
        <v>267808</v>
      </c>
      <c r="C92" s="26">
        <f>VLOOKUP($B92,'Выгр Торг'!$B:$Q,C$1,0)</f>
        <v>222083</v>
      </c>
      <c r="D92" s="25" t="str">
        <f>VLOOKUP($B92,'Выгр Торг'!$B:$Q,D$1,0)</f>
        <v>Накладки на педали (квадратные) (Синий)</v>
      </c>
      <c r="E92" s="26" t="str">
        <f>VLOOKUP($B92,'Выгр Торг'!$B:$Q,E$1,0)</f>
        <v>Y</v>
      </c>
      <c r="F92" s="26" t="str">
        <f>VLOOKUP($B92,'Выгр Торг'!$B:$Q,F$1,0)</f>
        <v>1ск1</v>
      </c>
      <c r="G92" s="44" t="s">
        <v>566</v>
      </c>
      <c r="H92" s="2" t="s">
        <v>3</v>
      </c>
      <c r="I92" s="34"/>
      <c r="J92" s="34"/>
      <c r="K92" s="41">
        <v>200</v>
      </c>
      <c r="L92" s="5">
        <f>VLOOKUP(K92,Наценка!$A$1:$G$8,2,1)</f>
        <v>2.1</v>
      </c>
      <c r="M92" s="48">
        <f t="shared" ref="M92:M97" si="31">Z92*1.06</f>
        <v>519.4</v>
      </c>
      <c r="N92" s="39">
        <f t="shared" ref="N92:N93" si="32">IF(M92&lt;=1000,(ROUNDUP(M92,-1)-1),(ROUNDUP(M92,-2)-10))</f>
        <v>519</v>
      </c>
      <c r="O92" s="40">
        <f>VLOOKUP($B92,'Выгр Торг'!$B:$Q,O$1,0)</f>
        <v>200</v>
      </c>
      <c r="P92" s="40">
        <f>VLOOKUP($B92,'Выгр Торг'!$B:$Q,P$1,0)</f>
        <v>519</v>
      </c>
      <c r="Q92" s="28">
        <f t="shared" ref="Q92:Q93" si="33">O92-K92</f>
        <v>0</v>
      </c>
      <c r="R92" s="28">
        <f t="shared" ref="R92:R93" si="34">P92-N92</f>
        <v>0</v>
      </c>
      <c r="S92" s="36">
        <f t="shared" ref="S92:S93" si="35">IFERROR(N92*(1-$S$2),"")</f>
        <v>482.66999999999996</v>
      </c>
      <c r="T92" s="38">
        <f>IFERROR((VLOOKUP($B92,'Из Гугла'!$B:$G,6,0)+V92)*U92,VLOOKUP($B92,'Из Гугла'!$B:$G,6,0))</f>
        <v>490</v>
      </c>
      <c r="U92" s="38">
        <v>1</v>
      </c>
      <c r="V92" s="38"/>
      <c r="W92" s="22">
        <f t="shared" ref="W92:W93" si="36">IFERROR(S92/K92-1,"")</f>
        <v>1.4133499999999999</v>
      </c>
      <c r="X92" s="22">
        <f t="shared" ref="X92:X93" si="37">IFERROR((Z92-S92)/Z92,"")</f>
        <v>1.4959183673469472E-2</v>
      </c>
      <c r="Y92" s="22">
        <f t="shared" ref="Y92:Y93" si="38">IFERROR(IF(Z92="","",Z92/K92-1),"")</f>
        <v>1.4500000000000002</v>
      </c>
      <c r="Z92" s="9">
        <v>490</v>
      </c>
      <c r="AA92" t="s">
        <v>750</v>
      </c>
    </row>
    <row r="93" spans="1:27" ht="30" x14ac:dyDescent="0.25">
      <c r="A93" s="23" t="str">
        <f>INDEX('Выгр Торг'!$A:$A,MATCH(B93,'Выгр Торг'!$B:$B,0))</f>
        <v>Накладки на педали (квадратные)</v>
      </c>
      <c r="B93" s="26">
        <v>358195</v>
      </c>
      <c r="C93" s="26">
        <f>VLOOKUP($B93,'Выгр Торг'!$B:$Q,C$1,0)</f>
        <v>358195</v>
      </c>
      <c r="D93" s="25" t="str">
        <f>VLOOKUP($B93,'Выгр Торг'!$B:$Q,D$1,0)</f>
        <v>Накладки на педали (квадратные) (Желтый)</v>
      </c>
      <c r="E93" s="26" t="str">
        <f>VLOOKUP($B93,'Выгр Торг'!$B:$Q,E$1,0)</f>
        <v>Y</v>
      </c>
      <c r="F93" s="26" t="str">
        <f>VLOOKUP($B93,'Выгр Торг'!$B:$Q,F$1,0)</f>
        <v>1</v>
      </c>
      <c r="G93" s="44" t="s">
        <v>566</v>
      </c>
      <c r="H93" s="2" t="s">
        <v>3</v>
      </c>
      <c r="I93" s="34"/>
      <c r="J93" s="34"/>
      <c r="K93" s="41">
        <v>200</v>
      </c>
      <c r="L93" s="5">
        <f>VLOOKUP(K93,Наценка!$A$1:$G$8,2,1)</f>
        <v>2.1</v>
      </c>
      <c r="M93" s="48">
        <f t="shared" ref="M93" si="39">Z93*1.06</f>
        <v>507.74</v>
      </c>
      <c r="N93" s="39">
        <f t="shared" si="32"/>
        <v>509</v>
      </c>
      <c r="O93" s="40">
        <f>VLOOKUP($B93,'Выгр Торг'!$B:$Q,O$1,0)</f>
        <v>200</v>
      </c>
      <c r="P93" s="40">
        <f>VLOOKUP($B93,'Выгр Торг'!$B:$Q,P$1,0)</f>
        <v>509</v>
      </c>
      <c r="Q93" s="28">
        <f t="shared" si="33"/>
        <v>0</v>
      </c>
      <c r="R93" s="28">
        <f t="shared" si="34"/>
        <v>0</v>
      </c>
      <c r="S93" s="36">
        <f t="shared" si="35"/>
        <v>473.36999999999995</v>
      </c>
      <c r="T93" s="38">
        <f>IFERROR((VLOOKUP($B93,'Из Гугла'!$B:$G,6,0)+V93)*U93,VLOOKUP($B93,'Из Гугла'!$B:$G,6,0))</f>
        <v>479</v>
      </c>
      <c r="U93" s="38">
        <v>1</v>
      </c>
      <c r="V93" s="38"/>
      <c r="W93" s="22">
        <f t="shared" si="36"/>
        <v>1.3668499999999999</v>
      </c>
      <c r="X93" s="22">
        <f t="shared" si="37"/>
        <v>1.1753653444676519E-2</v>
      </c>
      <c r="Y93" s="22">
        <f t="shared" si="38"/>
        <v>1.395</v>
      </c>
      <c r="Z93" s="9">
        <v>479</v>
      </c>
      <c r="AA93" t="s">
        <v>1416</v>
      </c>
    </row>
    <row r="94" spans="1:27" ht="30" x14ac:dyDescent="0.25">
      <c r="A94" s="23" t="str">
        <f>INDEX('Выгр Торг'!$A:$A,MATCH(B94,'Выгр Торг'!$B:$B,0))</f>
        <v>Накладки на педали (квадратные)</v>
      </c>
      <c r="B94" s="26">
        <v>267809</v>
      </c>
      <c r="C94" s="26">
        <f>VLOOKUP($B94,'Выгр Торг'!$B:$Q,C$1,0)</f>
        <v>222084</v>
      </c>
      <c r="D94" s="25" t="str">
        <f>VLOOKUP($B94,'Выгр Торг'!$B:$Q,D$1,0)</f>
        <v>Накладки на педали (квадратные) (Чёрный)</v>
      </c>
      <c r="E94" s="26" t="str">
        <f>VLOOKUP($B94,'Выгр Торг'!$B:$Q,E$1,0)</f>
        <v>Y</v>
      </c>
      <c r="F94" s="26" t="str">
        <f>VLOOKUP($B94,'Выгр Торг'!$B:$Q,F$1,0)</f>
        <v>1</v>
      </c>
      <c r="G94" s="44" t="s">
        <v>566</v>
      </c>
      <c r="H94" s="2" t="s">
        <v>3</v>
      </c>
      <c r="I94" s="34"/>
      <c r="J94" s="34"/>
      <c r="K94" s="41">
        <v>200</v>
      </c>
      <c r="L94" s="5">
        <f>VLOOKUP(K94,Наценка!$A$1:$G$8,2,1)</f>
        <v>2.1</v>
      </c>
      <c r="M94" s="47">
        <f>Z94*1.05</f>
        <v>409.5</v>
      </c>
      <c r="N94" s="39">
        <f t="shared" ref="N94:N112" si="40">IF(M94&lt;=1000,(ROUNDUP(M94,-1)-1),(ROUNDUP(M94,-2)-10))</f>
        <v>409</v>
      </c>
      <c r="O94" s="40">
        <f>VLOOKUP($B94,'Выгр Торг'!$B:$Q,O$1,0)</f>
        <v>200</v>
      </c>
      <c r="P94" s="40">
        <f>VLOOKUP($B94,'Выгр Торг'!$B:$Q,P$1,0)</f>
        <v>409</v>
      </c>
      <c r="Q94" s="28">
        <f t="shared" ref="Q94:Q112" si="41">O94-K94</f>
        <v>0</v>
      </c>
      <c r="R94" s="28">
        <f t="shared" ref="R94:R112" si="42">P94-N94</f>
        <v>0</v>
      </c>
      <c r="S94" s="36">
        <f t="shared" ref="S94:S112" si="43">IFERROR(N94*(1-$S$2),"")</f>
        <v>380.36999999999995</v>
      </c>
      <c r="T94" s="38">
        <f>IFERROR((VLOOKUP($B94,'Из Гугла'!$B:$G,6,0)+V94)*U94,VLOOKUP($B94,'Из Гугла'!$B:$G,6,0))</f>
        <v>390</v>
      </c>
      <c r="U94" s="38">
        <v>1</v>
      </c>
      <c r="V94" s="38"/>
      <c r="W94" s="22">
        <f t="shared" ref="W94:W112" si="44">IFERROR(S94/K94-1,"")</f>
        <v>0.90184999999999982</v>
      </c>
      <c r="X94" s="22">
        <f t="shared" ref="X94:X112" si="45">IFERROR((Z94-S94)/Z94,"")</f>
        <v>2.4692307692307826E-2</v>
      </c>
      <c r="Y94" s="22">
        <f t="shared" ref="Y94:Y112" si="46">IFERROR(IF(Z94="","",Z94/K94-1),"")</f>
        <v>0.95</v>
      </c>
      <c r="Z94" s="9">
        <v>390</v>
      </c>
      <c r="AA94" t="s">
        <v>910</v>
      </c>
    </row>
    <row r="95" spans="1:27" ht="26.25" x14ac:dyDescent="0.25">
      <c r="A95" s="23" t="str">
        <f>INDEX('Выгр Торг'!$A:$A,MATCH(B95,'Выгр Торг'!$B:$B,0))</f>
        <v>Накладки на педали (хром)</v>
      </c>
      <c r="B95" s="26">
        <v>267810</v>
      </c>
      <c r="C95" s="26">
        <f>VLOOKUP($B95,'Выгр Торг'!$B:$Q,C$1,0)</f>
        <v>222089</v>
      </c>
      <c r="D95" s="25" t="str">
        <f>VLOOKUP($B95,'Выгр Торг'!$B:$Q,D$1,0)</f>
        <v>Накладки на педали (хром) (Красный)</v>
      </c>
      <c r="E95" s="26" t="str">
        <f>VLOOKUP($B95,'Выгр Торг'!$B:$Q,E$1,0)</f>
        <v>Y</v>
      </c>
      <c r="F95" s="26" t="str">
        <f>VLOOKUP($B95,'Выгр Торг'!$B:$Q,F$1,0)</f>
        <v>1</v>
      </c>
      <c r="G95" s="44" t="s">
        <v>562</v>
      </c>
      <c r="H95" s="2" t="s">
        <v>3</v>
      </c>
      <c r="I95" s="34"/>
      <c r="J95" s="34"/>
      <c r="K95" s="41">
        <v>200</v>
      </c>
      <c r="L95" s="5">
        <f>VLOOKUP(K95,Наценка!$A$1:$G$8,2,1)</f>
        <v>2.1</v>
      </c>
      <c r="M95" s="47">
        <f>Z95*1.05</f>
        <v>409.5</v>
      </c>
      <c r="N95" s="39">
        <f t="shared" si="40"/>
        <v>409</v>
      </c>
      <c r="O95" s="40">
        <f>VLOOKUP($B95,'Выгр Торг'!$B:$Q,O$1,0)</f>
        <v>200</v>
      </c>
      <c r="P95" s="40">
        <f>VLOOKUP($B95,'Выгр Торг'!$B:$Q,P$1,0)</f>
        <v>409</v>
      </c>
      <c r="Q95" s="28">
        <f t="shared" si="41"/>
        <v>0</v>
      </c>
      <c r="R95" s="28">
        <f t="shared" si="42"/>
        <v>0</v>
      </c>
      <c r="S95" s="36">
        <f t="shared" si="43"/>
        <v>380.36999999999995</v>
      </c>
      <c r="T95" s="38">
        <f>IFERROR((VLOOKUP($B95,'Из Гугла'!$B:$G,6,0)+V95)*U95,VLOOKUP($B95,'Из Гугла'!$B:$G,6,0))</f>
        <v>390</v>
      </c>
      <c r="U95" s="38">
        <v>1</v>
      </c>
      <c r="V95" s="38"/>
      <c r="W95" s="22">
        <f t="shared" si="44"/>
        <v>0.90184999999999982</v>
      </c>
      <c r="X95" s="22">
        <f t="shared" si="45"/>
        <v>2.4692307692307826E-2</v>
      </c>
      <c r="Y95" s="22">
        <f t="shared" si="46"/>
        <v>0.95</v>
      </c>
      <c r="Z95" s="9">
        <v>390</v>
      </c>
      <c r="AA95" t="s">
        <v>909</v>
      </c>
    </row>
    <row r="96" spans="1:27" ht="26.25" x14ac:dyDescent="0.25">
      <c r="A96" s="23" t="str">
        <f>INDEX('Выгр Торг'!$A:$A,MATCH(B96,'Выгр Торг'!$B:$B,0))</f>
        <v>Накладки на педали (хром)</v>
      </c>
      <c r="B96" s="26">
        <v>267811</v>
      </c>
      <c r="C96" s="26">
        <f>VLOOKUP($B96,'Выгр Торг'!$B:$Q,C$1,0)</f>
        <v>222090</v>
      </c>
      <c r="D96" s="25" t="str">
        <f>VLOOKUP($B96,'Выгр Торг'!$B:$Q,D$1,0)</f>
        <v>Накладки на педали (хром) (Синий)</v>
      </c>
      <c r="E96" s="26" t="str">
        <f>VLOOKUP($B96,'Выгр Торг'!$B:$Q,E$1,0)</f>
        <v>Y</v>
      </c>
      <c r="F96" s="26" t="str">
        <f>VLOOKUP($B96,'Выгр Торг'!$B:$Q,F$1,0)</f>
        <v>1</v>
      </c>
      <c r="G96" s="44" t="s">
        <v>562</v>
      </c>
      <c r="H96" s="2" t="s">
        <v>3</v>
      </c>
      <c r="I96" s="34"/>
      <c r="J96" s="34"/>
      <c r="K96" s="41">
        <v>200</v>
      </c>
      <c r="L96" s="5">
        <f>VLOOKUP(K96,Наценка!$A$1:$G$8,2,1)</f>
        <v>2.1</v>
      </c>
      <c r="M96" s="48">
        <f t="shared" si="31"/>
        <v>519.4</v>
      </c>
      <c r="N96" s="39">
        <f t="shared" si="40"/>
        <v>519</v>
      </c>
      <c r="O96" s="40">
        <f>VLOOKUP($B96,'Выгр Торг'!$B:$Q,O$1,0)</f>
        <v>200</v>
      </c>
      <c r="P96" s="40">
        <f>VLOOKUP($B96,'Выгр Торг'!$B:$Q,P$1,0)</f>
        <v>519</v>
      </c>
      <c r="Q96" s="28">
        <f t="shared" si="41"/>
        <v>0</v>
      </c>
      <c r="R96" s="28">
        <f t="shared" si="42"/>
        <v>0</v>
      </c>
      <c r="S96" s="36">
        <f t="shared" si="43"/>
        <v>482.66999999999996</v>
      </c>
      <c r="T96" s="38">
        <f>IFERROR((VLOOKUP($B96,'Из Гугла'!$B:$G,6,0)+V96)*U96,VLOOKUP($B96,'Из Гугла'!$B:$G,6,0))</f>
        <v>490</v>
      </c>
      <c r="U96" s="38">
        <v>1</v>
      </c>
      <c r="V96" s="38"/>
      <c r="W96" s="22">
        <f t="shared" si="44"/>
        <v>1.4133499999999999</v>
      </c>
      <c r="X96" s="22">
        <f t="shared" si="45"/>
        <v>1.4959183673469472E-2</v>
      </c>
      <c r="Y96" s="22">
        <f t="shared" si="46"/>
        <v>1.4500000000000002</v>
      </c>
      <c r="Z96" s="9">
        <v>490</v>
      </c>
      <c r="AA96" t="s">
        <v>1274</v>
      </c>
    </row>
    <row r="97" spans="1:27" ht="26.25" x14ac:dyDescent="0.25">
      <c r="A97" s="23" t="str">
        <f>INDEX('Выгр Торг'!$A:$A,MATCH(B97,'Выгр Торг'!$B:$B,0))</f>
        <v>Накладки на педали (хром)</v>
      </c>
      <c r="B97" s="26">
        <v>267812</v>
      </c>
      <c r="C97" s="26">
        <f>VLOOKUP($B97,'Выгр Торг'!$B:$Q,C$1,0)</f>
        <v>222091</v>
      </c>
      <c r="D97" s="25" t="str">
        <f>VLOOKUP($B97,'Выгр Торг'!$B:$Q,D$1,0)</f>
        <v>Накладки на педали (хром) (Чёрный)</v>
      </c>
      <c r="E97" s="26" t="str">
        <f>VLOOKUP($B97,'Выгр Торг'!$B:$Q,E$1,0)</f>
        <v>Y</v>
      </c>
      <c r="F97" s="26" t="str">
        <f>VLOOKUP($B97,'Выгр Торг'!$B:$Q,F$1,0)</f>
        <v>1</v>
      </c>
      <c r="G97" s="44" t="s">
        <v>562</v>
      </c>
      <c r="H97" s="2" t="s">
        <v>3</v>
      </c>
      <c r="I97" s="34"/>
      <c r="J97" s="34"/>
      <c r="K97" s="41">
        <v>200</v>
      </c>
      <c r="L97" s="5">
        <f>VLOOKUP(K97,Наценка!$A$1:$G$8,2,1)</f>
        <v>2.1</v>
      </c>
      <c r="M97" s="48">
        <f t="shared" si="31"/>
        <v>519.4</v>
      </c>
      <c r="N97" s="39">
        <f t="shared" si="40"/>
        <v>519</v>
      </c>
      <c r="O97" s="40">
        <f>VLOOKUP($B97,'Выгр Торг'!$B:$Q,O$1,0)</f>
        <v>200</v>
      </c>
      <c r="P97" s="40">
        <f>VLOOKUP($B97,'Выгр Торг'!$B:$Q,P$1,0)</f>
        <v>519</v>
      </c>
      <c r="Q97" s="28">
        <f t="shared" si="41"/>
        <v>0</v>
      </c>
      <c r="R97" s="28">
        <f t="shared" si="42"/>
        <v>0</v>
      </c>
      <c r="S97" s="36">
        <f t="shared" si="43"/>
        <v>482.66999999999996</v>
      </c>
      <c r="T97" s="38">
        <f>IFERROR((VLOOKUP($B97,'Из Гугла'!$B:$G,6,0)+V97)*U97,VLOOKUP($B97,'Из Гугла'!$B:$G,6,0))</f>
        <v>490</v>
      </c>
      <c r="U97" s="38">
        <v>1</v>
      </c>
      <c r="V97" s="38"/>
      <c r="W97" s="22">
        <f t="shared" si="44"/>
        <v>1.4133499999999999</v>
      </c>
      <c r="X97" s="22">
        <f t="shared" si="45"/>
        <v>1.4959183673469472E-2</v>
      </c>
      <c r="Y97" s="22">
        <f t="shared" si="46"/>
        <v>1.4500000000000002</v>
      </c>
      <c r="Z97" s="9">
        <v>490</v>
      </c>
      <c r="AA97" t="s">
        <v>908</v>
      </c>
    </row>
    <row r="98" spans="1:27" ht="30" x14ac:dyDescent="0.25">
      <c r="A98" s="23" t="str">
        <f>INDEX('Выгр Торг'!$A:$A,MATCH(B98,'Выгр Торг'!$B:$B,0))</f>
        <v>Руль "R1" с цветной вставкой для ВАЗ</v>
      </c>
      <c r="B98" s="26">
        <v>263212</v>
      </c>
      <c r="C98" s="26">
        <f>VLOOKUP($B98,'Выгр Торг'!$B:$Q,C$1,0)</f>
        <v>206220</v>
      </c>
      <c r="D98" s="25" t="str">
        <f>VLOOKUP($B98,'Выгр Торг'!$B:$Q,D$1,0)</f>
        <v>Руль "R1" с цветной вставкой для ВАЗ (Белый)</v>
      </c>
      <c r="E98" s="26" t="str">
        <f>VLOOKUP($B98,'Выгр Торг'!$B:$Q,E$1,0)</f>
        <v>Y</v>
      </c>
      <c r="F98" s="26" t="str">
        <f>VLOOKUP($B98,'Выгр Торг'!$B:$Q,F$1,0)</f>
        <v>1</v>
      </c>
      <c r="G98" s="26">
        <f>VLOOKUP($B98,'Выгр Торг'!$B:$Q,G$1,0)</f>
        <v>0</v>
      </c>
      <c r="H98" s="2" t="s">
        <v>3</v>
      </c>
      <c r="I98" s="34"/>
      <c r="J98" s="34"/>
      <c r="K98" s="41">
        <v>1000</v>
      </c>
      <c r="L98" s="5">
        <f>VLOOKUP(K98,Наценка!$A$1:$G$8,2,1)</f>
        <v>1.3</v>
      </c>
      <c r="M98" s="34">
        <f t="shared" ref="M98:M152" si="47">K98*L98*100/93</f>
        <v>1397.8494623655913</v>
      </c>
      <c r="N98" s="39">
        <f t="shared" si="40"/>
        <v>1390</v>
      </c>
      <c r="O98" s="40">
        <f>VLOOKUP($B98,'Выгр Торг'!$B:$Q,O$1,0)</f>
        <v>1000</v>
      </c>
      <c r="P98" s="40">
        <f>VLOOKUP($B98,'Выгр Торг'!$B:$Q,P$1,0)</f>
        <v>1390</v>
      </c>
      <c r="Q98" s="28">
        <f t="shared" si="41"/>
        <v>0</v>
      </c>
      <c r="R98" s="28">
        <f t="shared" si="42"/>
        <v>0</v>
      </c>
      <c r="S98" s="36">
        <f t="shared" si="43"/>
        <v>1292.6999999999998</v>
      </c>
      <c r="T98" s="38" t="str">
        <f>IFERROR((VLOOKUP($B98,'Из Гугла'!$B:$G,6,0)+V98)*U98,VLOOKUP($B98,'Из Гугла'!$B:$G,6,0))</f>
        <v/>
      </c>
      <c r="U98" s="38">
        <v>1</v>
      </c>
      <c r="V98" s="38"/>
      <c r="W98" s="22">
        <f t="shared" si="44"/>
        <v>0.29269999999999974</v>
      </c>
      <c r="X98" s="22" t="str">
        <f t="shared" si="45"/>
        <v/>
      </c>
      <c r="Y98" s="22" t="str">
        <f t="shared" si="46"/>
        <v/>
      </c>
      <c r="Z98" s="9" t="s">
        <v>1269</v>
      </c>
    </row>
    <row r="99" spans="1:27" ht="30" x14ac:dyDescent="0.25">
      <c r="A99" s="23" t="str">
        <f>INDEX('Выгр Торг'!$A:$A,MATCH(B99,'Выгр Торг'!$B:$B,0))</f>
        <v>Руль "R1" с цветной вставкой для ВАЗ</v>
      </c>
      <c r="B99" s="26">
        <v>263213</v>
      </c>
      <c r="C99" s="26">
        <f>VLOOKUP($B99,'Выгр Торг'!$B:$Q,C$1,0)</f>
        <v>206221</v>
      </c>
      <c r="D99" s="25" t="str">
        <f>VLOOKUP($B99,'Выгр Торг'!$B:$Q,D$1,0)</f>
        <v>Руль "R1" с цветной вставкой для ВАЗ (Коричневый)</v>
      </c>
      <c r="E99" s="26" t="str">
        <f>VLOOKUP($B99,'Выгр Торг'!$B:$Q,E$1,0)</f>
        <v>Y</v>
      </c>
      <c r="F99" s="26" t="str">
        <f>VLOOKUP($B99,'Выгр Торг'!$B:$Q,F$1,0)</f>
        <v>1</v>
      </c>
      <c r="G99" s="26">
        <f>VLOOKUP($B99,'Выгр Торг'!$B:$Q,G$1,0)</f>
        <v>0</v>
      </c>
      <c r="H99" s="2" t="s">
        <v>3</v>
      </c>
      <c r="I99" s="34"/>
      <c r="J99" s="34"/>
      <c r="K99" s="41">
        <v>1000</v>
      </c>
      <c r="L99" s="5">
        <f>VLOOKUP(K99,Наценка!$A$1:$G$8,2,1)</f>
        <v>1.3</v>
      </c>
      <c r="M99" s="34">
        <f t="shared" si="47"/>
        <v>1397.8494623655913</v>
      </c>
      <c r="N99" s="39">
        <f t="shared" si="40"/>
        <v>1390</v>
      </c>
      <c r="O99" s="40">
        <f>VLOOKUP($B99,'Выгр Торг'!$B:$Q,O$1,0)</f>
        <v>1000</v>
      </c>
      <c r="P99" s="40">
        <f>VLOOKUP($B99,'Выгр Торг'!$B:$Q,P$1,0)</f>
        <v>1390</v>
      </c>
      <c r="Q99" s="28">
        <f t="shared" si="41"/>
        <v>0</v>
      </c>
      <c r="R99" s="28">
        <f t="shared" si="42"/>
        <v>0</v>
      </c>
      <c r="S99" s="36">
        <f t="shared" si="43"/>
        <v>1292.6999999999998</v>
      </c>
      <c r="T99" s="38" t="str">
        <f>IFERROR((VLOOKUP($B99,'Из Гугла'!$B:$G,6,0)+V99)*U99,VLOOKUP($B99,'Из Гугла'!$B:$G,6,0))</f>
        <v/>
      </c>
      <c r="U99" s="38">
        <v>1</v>
      </c>
      <c r="V99" s="38"/>
      <c r="W99" s="22">
        <f t="shared" si="44"/>
        <v>0.29269999999999974</v>
      </c>
      <c r="X99" s="22" t="str">
        <f t="shared" si="45"/>
        <v/>
      </c>
      <c r="Y99" s="22" t="str">
        <f t="shared" si="46"/>
        <v/>
      </c>
      <c r="Z99" s="9" t="s">
        <v>1269</v>
      </c>
    </row>
    <row r="100" spans="1:27" ht="30" x14ac:dyDescent="0.25">
      <c r="A100" s="23" t="str">
        <f>INDEX('Выгр Торг'!$A:$A,MATCH(B100,'Выгр Торг'!$B:$B,0))</f>
        <v>Руль "R1" с цветной вставкой для ВАЗ</v>
      </c>
      <c r="B100" s="26">
        <v>263214</v>
      </c>
      <c r="C100" s="26">
        <f>VLOOKUP($B100,'Выгр Торг'!$B:$Q,C$1,0)</f>
        <v>206222</v>
      </c>
      <c r="D100" s="25" t="str">
        <f>VLOOKUP($B100,'Выгр Торг'!$B:$Q,D$1,0)</f>
        <v>Руль "R1" с цветной вставкой для ВАЗ (Красный)</v>
      </c>
      <c r="E100" s="26" t="str">
        <f>VLOOKUP($B100,'Выгр Торг'!$B:$Q,E$1,0)</f>
        <v>Y</v>
      </c>
      <c r="F100" s="26" t="str">
        <f>VLOOKUP($B100,'Выгр Торг'!$B:$Q,F$1,0)</f>
        <v>1</v>
      </c>
      <c r="G100" s="26">
        <f>VLOOKUP($B100,'Выгр Торг'!$B:$Q,G$1,0)</f>
        <v>0</v>
      </c>
      <c r="H100" s="2" t="s">
        <v>3</v>
      </c>
      <c r="I100" s="34"/>
      <c r="J100" s="34"/>
      <c r="K100" s="41">
        <v>1000</v>
      </c>
      <c r="L100" s="5">
        <f>VLOOKUP(K100,Наценка!$A$1:$G$8,2,1)</f>
        <v>1.3</v>
      </c>
      <c r="M100" s="34">
        <f t="shared" si="47"/>
        <v>1397.8494623655913</v>
      </c>
      <c r="N100" s="39">
        <f t="shared" si="40"/>
        <v>1390</v>
      </c>
      <c r="O100" s="40">
        <f>VLOOKUP($B100,'Выгр Торг'!$B:$Q,O$1,0)</f>
        <v>1000</v>
      </c>
      <c r="P100" s="40">
        <f>VLOOKUP($B100,'Выгр Торг'!$B:$Q,P$1,0)</f>
        <v>1390</v>
      </c>
      <c r="Q100" s="28">
        <f t="shared" si="41"/>
        <v>0</v>
      </c>
      <c r="R100" s="28">
        <f t="shared" si="42"/>
        <v>0</v>
      </c>
      <c r="S100" s="36">
        <f t="shared" si="43"/>
        <v>1292.6999999999998</v>
      </c>
      <c r="T100" s="38" t="str">
        <f>IFERROR((VLOOKUP($B100,'Из Гугла'!$B:$G,6,0)+V100)*U100,VLOOKUP($B100,'Из Гугла'!$B:$G,6,0))</f>
        <v/>
      </c>
      <c r="U100" s="38">
        <v>1</v>
      </c>
      <c r="V100" s="38"/>
      <c r="W100" s="22">
        <f t="shared" si="44"/>
        <v>0.29269999999999974</v>
      </c>
      <c r="X100" s="22" t="str">
        <f t="shared" si="45"/>
        <v/>
      </c>
      <c r="Y100" s="22" t="str">
        <f t="shared" si="46"/>
        <v/>
      </c>
      <c r="Z100" s="9" t="s">
        <v>1269</v>
      </c>
    </row>
    <row r="101" spans="1:27" ht="30" x14ac:dyDescent="0.25">
      <c r="A101" s="23" t="str">
        <f>INDEX('Выгр Торг'!$A:$A,MATCH(B101,'Выгр Торг'!$B:$B,0))</f>
        <v>Руль "R1" с цветной вставкой для ВАЗ</v>
      </c>
      <c r="B101" s="26">
        <v>263215</v>
      </c>
      <c r="C101" s="26">
        <f>VLOOKUP($B101,'Выгр Торг'!$B:$Q,C$1,0)</f>
        <v>206223</v>
      </c>
      <c r="D101" s="25" t="str">
        <f>VLOOKUP($B101,'Выгр Торг'!$B:$Q,D$1,0)</f>
        <v>Руль "R1" с цветной вставкой для ВАЗ (Оранжевый)</v>
      </c>
      <c r="E101" s="26" t="str">
        <f>VLOOKUP($B101,'Выгр Торг'!$B:$Q,E$1,0)</f>
        <v>Y</v>
      </c>
      <c r="F101" s="26" t="str">
        <f>VLOOKUP($B101,'Выгр Торг'!$B:$Q,F$1,0)</f>
        <v>1</v>
      </c>
      <c r="G101" s="26">
        <f>VLOOKUP($B101,'Выгр Торг'!$B:$Q,G$1,0)</f>
        <v>0</v>
      </c>
      <c r="H101" s="2" t="s">
        <v>3</v>
      </c>
      <c r="I101" s="34"/>
      <c r="J101" s="34"/>
      <c r="K101" s="41">
        <v>1000</v>
      </c>
      <c r="L101" s="5">
        <f>VLOOKUP(K101,Наценка!$A$1:$G$8,2,1)</f>
        <v>1.3</v>
      </c>
      <c r="M101" s="34">
        <f t="shared" si="47"/>
        <v>1397.8494623655913</v>
      </c>
      <c r="N101" s="39">
        <f t="shared" si="40"/>
        <v>1390</v>
      </c>
      <c r="O101" s="40">
        <f>VLOOKUP($B101,'Выгр Торг'!$B:$Q,O$1,0)</f>
        <v>1000</v>
      </c>
      <c r="P101" s="40">
        <f>VLOOKUP($B101,'Выгр Торг'!$B:$Q,P$1,0)</f>
        <v>1390</v>
      </c>
      <c r="Q101" s="28">
        <f t="shared" si="41"/>
        <v>0</v>
      </c>
      <c r="R101" s="28">
        <f t="shared" si="42"/>
        <v>0</v>
      </c>
      <c r="S101" s="36">
        <f t="shared" si="43"/>
        <v>1292.6999999999998</v>
      </c>
      <c r="T101" s="38" t="str">
        <f>IFERROR((VLOOKUP($B101,'Из Гугла'!$B:$G,6,0)+V101)*U101,VLOOKUP($B101,'Из Гугла'!$B:$G,6,0))</f>
        <v/>
      </c>
      <c r="U101" s="38">
        <v>1</v>
      </c>
      <c r="V101" s="38"/>
      <c r="W101" s="22">
        <f t="shared" si="44"/>
        <v>0.29269999999999974</v>
      </c>
      <c r="X101" s="22" t="str">
        <f t="shared" si="45"/>
        <v/>
      </c>
      <c r="Y101" s="22" t="str">
        <f t="shared" si="46"/>
        <v/>
      </c>
      <c r="Z101" s="9" t="s">
        <v>1269</v>
      </c>
    </row>
    <row r="102" spans="1:27" ht="30" x14ac:dyDescent="0.25">
      <c r="A102" s="23" t="str">
        <f>INDEX('Выгр Торг'!$A:$A,MATCH(B102,'Выгр Торг'!$B:$B,0))</f>
        <v>Руль "R1" с цветной вставкой для ВАЗ</v>
      </c>
      <c r="B102" s="26">
        <v>263216</v>
      </c>
      <c r="C102" s="26">
        <f>VLOOKUP($B102,'Выгр Торг'!$B:$Q,C$1,0)</f>
        <v>206224</v>
      </c>
      <c r="D102" s="25" t="str">
        <f>VLOOKUP($B102,'Выгр Торг'!$B:$Q,D$1,0)</f>
        <v>Руль "R1" с цветной вставкой для ВАЗ (Серый)</v>
      </c>
      <c r="E102" s="26" t="str">
        <f>VLOOKUP($B102,'Выгр Торг'!$B:$Q,E$1,0)</f>
        <v>Y</v>
      </c>
      <c r="F102" s="26" t="str">
        <f>VLOOKUP($B102,'Выгр Торг'!$B:$Q,F$1,0)</f>
        <v>1</v>
      </c>
      <c r="G102" s="26">
        <f>VLOOKUP($B102,'Выгр Торг'!$B:$Q,G$1,0)</f>
        <v>0</v>
      </c>
      <c r="H102" s="2" t="s">
        <v>3</v>
      </c>
      <c r="I102" s="34"/>
      <c r="J102" s="34"/>
      <c r="K102" s="41">
        <v>1000</v>
      </c>
      <c r="L102" s="5">
        <f>VLOOKUP(K102,Наценка!$A$1:$G$8,2,1)</f>
        <v>1.3</v>
      </c>
      <c r="M102" s="34">
        <f t="shared" si="47"/>
        <v>1397.8494623655913</v>
      </c>
      <c r="N102" s="39">
        <f t="shared" si="40"/>
        <v>1390</v>
      </c>
      <c r="O102" s="40">
        <f>VLOOKUP($B102,'Выгр Торг'!$B:$Q,O$1,0)</f>
        <v>1000</v>
      </c>
      <c r="P102" s="40">
        <f>VLOOKUP($B102,'Выгр Торг'!$B:$Q,P$1,0)</f>
        <v>1390</v>
      </c>
      <c r="Q102" s="28">
        <f t="shared" si="41"/>
        <v>0</v>
      </c>
      <c r="R102" s="28">
        <f t="shared" si="42"/>
        <v>0</v>
      </c>
      <c r="S102" s="36">
        <f t="shared" si="43"/>
        <v>1292.6999999999998</v>
      </c>
      <c r="T102" s="38" t="str">
        <f>IFERROR((VLOOKUP($B102,'Из Гугла'!$B:$G,6,0)+V102)*U102,VLOOKUP($B102,'Из Гугла'!$B:$G,6,0))</f>
        <v/>
      </c>
      <c r="U102" s="38">
        <v>1</v>
      </c>
      <c r="V102" s="38"/>
      <c r="W102" s="22">
        <f t="shared" si="44"/>
        <v>0.29269999999999974</v>
      </c>
      <c r="X102" s="22" t="str">
        <f t="shared" si="45"/>
        <v/>
      </c>
      <c r="Y102" s="22" t="str">
        <f t="shared" si="46"/>
        <v/>
      </c>
      <c r="Z102" s="9" t="s">
        <v>1269</v>
      </c>
    </row>
    <row r="103" spans="1:27" ht="30" x14ac:dyDescent="0.25">
      <c r="A103" s="23" t="str">
        <f>INDEX('Выгр Торг'!$A:$A,MATCH(B103,'Выгр Торг'!$B:$B,0))</f>
        <v>Руль "R1" с цветной вставкой для ВАЗ</v>
      </c>
      <c r="B103" s="26">
        <v>263217</v>
      </c>
      <c r="C103" s="26">
        <f>VLOOKUP($B103,'Выгр Торг'!$B:$Q,C$1,0)</f>
        <v>206225</v>
      </c>
      <c r="D103" s="25" t="str">
        <f>VLOOKUP($B103,'Выгр Торг'!$B:$Q,D$1,0)</f>
        <v>Руль "R1" с цветной вставкой для ВАЗ (Синий)</v>
      </c>
      <c r="E103" s="26" t="str">
        <f>VLOOKUP($B103,'Выгр Торг'!$B:$Q,E$1,0)</f>
        <v>Y</v>
      </c>
      <c r="F103" s="26" t="str">
        <f>VLOOKUP($B103,'Выгр Торг'!$B:$Q,F$1,0)</f>
        <v>1</v>
      </c>
      <c r="G103" s="26">
        <f>VLOOKUP($B103,'Выгр Торг'!$B:$Q,G$1,0)</f>
        <v>0</v>
      </c>
      <c r="H103" s="2" t="s">
        <v>3</v>
      </c>
      <c r="I103" s="34"/>
      <c r="J103" s="34"/>
      <c r="K103" s="41">
        <v>1000</v>
      </c>
      <c r="L103" s="5">
        <f>VLOOKUP(K103,Наценка!$A$1:$G$8,2,1)</f>
        <v>1.3</v>
      </c>
      <c r="M103" s="34">
        <f t="shared" si="47"/>
        <v>1397.8494623655913</v>
      </c>
      <c r="N103" s="39">
        <f t="shared" si="40"/>
        <v>1390</v>
      </c>
      <c r="O103" s="40">
        <f>VLOOKUP($B103,'Выгр Торг'!$B:$Q,O$1,0)</f>
        <v>1000</v>
      </c>
      <c r="P103" s="40">
        <f>VLOOKUP($B103,'Выгр Торг'!$B:$Q,P$1,0)</f>
        <v>1390</v>
      </c>
      <c r="Q103" s="28">
        <f t="shared" si="41"/>
        <v>0</v>
      </c>
      <c r="R103" s="28">
        <f t="shared" si="42"/>
        <v>0</v>
      </c>
      <c r="S103" s="36">
        <f t="shared" si="43"/>
        <v>1292.6999999999998</v>
      </c>
      <c r="T103" s="38" t="str">
        <f>IFERROR((VLOOKUP($B103,'Из Гугла'!$B:$G,6,0)+V103)*U103,VLOOKUP($B103,'Из Гугла'!$B:$G,6,0))</f>
        <v/>
      </c>
      <c r="U103" s="38">
        <v>1</v>
      </c>
      <c r="V103" s="38"/>
      <c r="W103" s="22">
        <f t="shared" si="44"/>
        <v>0.29269999999999974</v>
      </c>
      <c r="X103" s="22" t="str">
        <f t="shared" si="45"/>
        <v/>
      </c>
      <c r="Y103" s="22" t="str">
        <f t="shared" si="46"/>
        <v/>
      </c>
      <c r="Z103" s="9" t="s">
        <v>1269</v>
      </c>
    </row>
    <row r="104" spans="1:27" ht="30" x14ac:dyDescent="0.25">
      <c r="A104" s="23" t="str">
        <f>INDEX('Выгр Торг'!$A:$A,MATCH(B104,'Выгр Торг'!$B:$B,0))</f>
        <v>Руль "R1" с цветной вставкой для ВАЗ</v>
      </c>
      <c r="B104" s="26">
        <v>263218</v>
      </c>
      <c r="C104" s="26">
        <f>VLOOKUP($B104,'Выгр Торг'!$B:$Q,C$1,0)</f>
        <v>206257</v>
      </c>
      <c r="D104" s="25" t="str">
        <f>VLOOKUP($B104,'Выгр Торг'!$B:$Q,D$1,0)</f>
        <v>Руль "R1" с цветной вставкой для ВАЗ (Черный карбон)</v>
      </c>
      <c r="E104" s="26" t="str">
        <f>VLOOKUP($B104,'Выгр Торг'!$B:$Q,E$1,0)</f>
        <v>Y</v>
      </c>
      <c r="F104" s="26" t="str">
        <f>VLOOKUP($B104,'Выгр Торг'!$B:$Q,F$1,0)</f>
        <v>1</v>
      </c>
      <c r="G104" s="26">
        <f>VLOOKUP($B104,'Выгр Торг'!$B:$Q,G$1,0)</f>
        <v>0</v>
      </c>
      <c r="H104" s="2" t="s">
        <v>3</v>
      </c>
      <c r="I104" s="34"/>
      <c r="J104" s="34"/>
      <c r="K104" s="41">
        <v>1000</v>
      </c>
      <c r="L104" s="5">
        <f>VLOOKUP(K104,Наценка!$A$1:$G$8,2,1)</f>
        <v>1.3</v>
      </c>
      <c r="M104" s="34">
        <f t="shared" si="47"/>
        <v>1397.8494623655913</v>
      </c>
      <c r="N104" s="39">
        <f t="shared" si="40"/>
        <v>1390</v>
      </c>
      <c r="O104" s="40">
        <f>VLOOKUP($B104,'Выгр Торг'!$B:$Q,O$1,0)</f>
        <v>1000</v>
      </c>
      <c r="P104" s="40">
        <f>VLOOKUP($B104,'Выгр Торг'!$B:$Q,P$1,0)</f>
        <v>1390</v>
      </c>
      <c r="Q104" s="28">
        <f t="shared" si="41"/>
        <v>0</v>
      </c>
      <c r="R104" s="28">
        <f t="shared" si="42"/>
        <v>0</v>
      </c>
      <c r="S104" s="36">
        <f t="shared" si="43"/>
        <v>1292.6999999999998</v>
      </c>
      <c r="T104" s="38" t="str">
        <f>IFERROR((VLOOKUP($B104,'Из Гугла'!$B:$G,6,0)+V104)*U104,VLOOKUP($B104,'Из Гугла'!$B:$G,6,0))</f>
        <v/>
      </c>
      <c r="U104" s="38">
        <v>1</v>
      </c>
      <c r="V104" s="38"/>
      <c r="W104" s="22">
        <f t="shared" si="44"/>
        <v>0.29269999999999974</v>
      </c>
      <c r="X104" s="22" t="str">
        <f t="shared" si="45"/>
        <v/>
      </c>
      <c r="Y104" s="22" t="str">
        <f t="shared" si="46"/>
        <v/>
      </c>
      <c r="Z104" s="9" t="s">
        <v>1269</v>
      </c>
    </row>
    <row r="105" spans="1:27" ht="30" x14ac:dyDescent="0.25">
      <c r="A105" s="23" t="str">
        <f>INDEX('Выгр Торг'!$A:$A,MATCH(B105,'Выгр Торг'!$B:$B,0))</f>
        <v>Руль "R1" с цветной вставкой для ВАЗ</v>
      </c>
      <c r="B105" s="26">
        <v>263219</v>
      </c>
      <c r="C105" s="26">
        <f>VLOOKUP($B105,'Выгр Торг'!$B:$Q,C$1,0)</f>
        <v>206226</v>
      </c>
      <c r="D105" s="25" t="str">
        <f>VLOOKUP($B105,'Выгр Торг'!$B:$Q,D$1,0)</f>
        <v>Руль "R1" с цветной вставкой для ВАЗ (Чёрный)</v>
      </c>
      <c r="E105" s="26" t="str">
        <f>VLOOKUP($B105,'Выгр Торг'!$B:$Q,E$1,0)</f>
        <v>Y</v>
      </c>
      <c r="F105" s="26" t="str">
        <f>VLOOKUP($B105,'Выгр Торг'!$B:$Q,F$1,0)</f>
        <v>1</v>
      </c>
      <c r="G105" s="26">
        <f>VLOOKUP($B105,'Выгр Торг'!$B:$Q,G$1,0)</f>
        <v>0</v>
      </c>
      <c r="H105" s="2" t="s">
        <v>3</v>
      </c>
      <c r="I105" s="34"/>
      <c r="J105" s="34"/>
      <c r="K105" s="41">
        <v>1000</v>
      </c>
      <c r="L105" s="5">
        <f>VLOOKUP(K105,Наценка!$A$1:$G$8,2,1)</f>
        <v>1.3</v>
      </c>
      <c r="M105" s="34">
        <f t="shared" si="47"/>
        <v>1397.8494623655913</v>
      </c>
      <c r="N105" s="39">
        <f t="shared" si="40"/>
        <v>1390</v>
      </c>
      <c r="O105" s="40">
        <f>VLOOKUP($B105,'Выгр Торг'!$B:$Q,O$1,0)</f>
        <v>1000</v>
      </c>
      <c r="P105" s="40">
        <f>VLOOKUP($B105,'Выгр Торг'!$B:$Q,P$1,0)</f>
        <v>1390</v>
      </c>
      <c r="Q105" s="28">
        <f t="shared" si="41"/>
        <v>0</v>
      </c>
      <c r="R105" s="28">
        <f t="shared" si="42"/>
        <v>0</v>
      </c>
      <c r="S105" s="36">
        <f t="shared" si="43"/>
        <v>1292.6999999999998</v>
      </c>
      <c r="T105" s="38" t="str">
        <f>IFERROR((VLOOKUP($B105,'Из Гугла'!$B:$G,6,0)+V105)*U105,VLOOKUP($B105,'Из Гугла'!$B:$G,6,0))</f>
        <v/>
      </c>
      <c r="U105" s="38">
        <v>1</v>
      </c>
      <c r="V105" s="38"/>
      <c r="W105" s="22">
        <f t="shared" si="44"/>
        <v>0.29269999999999974</v>
      </c>
      <c r="X105" s="22" t="str">
        <f t="shared" si="45"/>
        <v/>
      </c>
      <c r="Y105" s="22" t="str">
        <f t="shared" si="46"/>
        <v/>
      </c>
      <c r="Z105" s="9" t="s">
        <v>1269</v>
      </c>
    </row>
    <row r="106" spans="1:27" ht="30" x14ac:dyDescent="0.25">
      <c r="A106" s="23" t="str">
        <f>INDEX('Выгр Торг'!$A:$A,MATCH(B106,'Выгр Торг'!$B:$B,0))</f>
        <v>Руль R1 с цветными вставками для ВАЗ (разных цветов)</v>
      </c>
      <c r="B106" s="26">
        <v>315543</v>
      </c>
      <c r="C106" s="26">
        <f>VLOOKUP($B106,'Выгр Торг'!$B:$Q,C$1,0)</f>
        <v>315543</v>
      </c>
      <c r="D106" s="25" t="str">
        <f>VLOOKUP($B106,'Выгр Торг'!$B:$Q,D$1,0)</f>
        <v>Руль R1 с цветными вставками для ВАЗ (Желтый)</v>
      </c>
      <c r="E106" s="26" t="str">
        <f>VLOOKUP($B106,'Выгр Торг'!$B:$Q,E$1,0)</f>
        <v>Y</v>
      </c>
      <c r="F106" s="26" t="str">
        <f>VLOOKUP($B106,'Выгр Торг'!$B:$Q,F$1,0)</f>
        <v>1</v>
      </c>
      <c r="G106" s="26">
        <f>VLOOKUP($B106,'Выгр Торг'!$B:$Q,G$1,0)</f>
        <v>0</v>
      </c>
      <c r="H106" s="2" t="s">
        <v>3</v>
      </c>
      <c r="I106" s="34"/>
      <c r="J106" s="34"/>
      <c r="K106" s="41">
        <v>1000</v>
      </c>
      <c r="L106" s="5">
        <f>VLOOKUP(K106,Наценка!$A$1:$G$8,2,1)</f>
        <v>1.3</v>
      </c>
      <c r="M106" s="34">
        <f t="shared" si="47"/>
        <v>1397.8494623655913</v>
      </c>
      <c r="N106" s="39">
        <f t="shared" si="40"/>
        <v>1390</v>
      </c>
      <c r="O106" s="40">
        <f>VLOOKUP($B106,'Выгр Торг'!$B:$Q,O$1,0)</f>
        <v>1000</v>
      </c>
      <c r="P106" s="40">
        <f>VLOOKUP($B106,'Выгр Торг'!$B:$Q,P$1,0)</f>
        <v>1390</v>
      </c>
      <c r="Q106" s="28">
        <f t="shared" si="41"/>
        <v>0</v>
      </c>
      <c r="R106" s="28">
        <f t="shared" si="42"/>
        <v>0</v>
      </c>
      <c r="S106" s="36">
        <f t="shared" si="43"/>
        <v>1292.6999999999998</v>
      </c>
      <c r="T106" s="38" t="str">
        <f>IFERROR((VLOOKUP($B106,'Из Гугла'!$B:$G,6,0)+V106)*U106,VLOOKUP($B106,'Из Гугла'!$B:$G,6,0))</f>
        <v/>
      </c>
      <c r="U106" s="38">
        <v>1</v>
      </c>
      <c r="V106" s="38"/>
      <c r="W106" s="22">
        <f t="shared" si="44"/>
        <v>0.29269999999999974</v>
      </c>
      <c r="X106" s="22" t="str">
        <f t="shared" si="45"/>
        <v/>
      </c>
      <c r="Y106" s="22" t="str">
        <f t="shared" si="46"/>
        <v/>
      </c>
      <c r="Z106" s="9" t="s">
        <v>1269</v>
      </c>
    </row>
    <row r="107" spans="1:27" ht="30" x14ac:dyDescent="0.25">
      <c r="A107" s="23" t="str">
        <f>INDEX('Выгр Торг'!$A:$A,MATCH(B107,'Выгр Торг'!$B:$B,0))</f>
        <v>Руль R1 с цветными вставками для ВАЗ (разных цветов)</v>
      </c>
      <c r="B107" s="26">
        <v>315540</v>
      </c>
      <c r="C107" s="26">
        <f>VLOOKUP($B107,'Выгр Торг'!$B:$Q,C$1,0)</f>
        <v>315540</v>
      </c>
      <c r="D107" s="25" t="str">
        <f>VLOOKUP($B107,'Выгр Торг'!$B:$Q,D$1,0)</f>
        <v>Руль R1 с цветными вставками для ВАЗ (Коричневый)</v>
      </c>
      <c r="E107" s="26" t="str">
        <f>VLOOKUP($B107,'Выгр Торг'!$B:$Q,E$1,0)</f>
        <v>Y</v>
      </c>
      <c r="F107" s="26" t="str">
        <f>VLOOKUP($B107,'Выгр Торг'!$B:$Q,F$1,0)</f>
        <v>1</v>
      </c>
      <c r="G107" s="26">
        <f>VLOOKUP($B107,'Выгр Торг'!$B:$Q,G$1,0)</f>
        <v>0</v>
      </c>
      <c r="H107" s="2" t="s">
        <v>3</v>
      </c>
      <c r="I107" s="34"/>
      <c r="J107" s="34"/>
      <c r="K107" s="41">
        <v>1000</v>
      </c>
      <c r="L107" s="5">
        <f>VLOOKUP(K107,Наценка!$A$1:$G$8,2,1)</f>
        <v>1.3</v>
      </c>
      <c r="M107" s="34">
        <f t="shared" si="47"/>
        <v>1397.8494623655913</v>
      </c>
      <c r="N107" s="39">
        <f t="shared" si="40"/>
        <v>1390</v>
      </c>
      <c r="O107" s="40">
        <f>VLOOKUP($B107,'Выгр Торг'!$B:$Q,O$1,0)</f>
        <v>1000</v>
      </c>
      <c r="P107" s="40">
        <f>VLOOKUP($B107,'Выгр Торг'!$B:$Q,P$1,0)</f>
        <v>1390</v>
      </c>
      <c r="Q107" s="28">
        <f t="shared" si="41"/>
        <v>0</v>
      </c>
      <c r="R107" s="28">
        <f t="shared" si="42"/>
        <v>0</v>
      </c>
      <c r="S107" s="36">
        <f t="shared" si="43"/>
        <v>1292.6999999999998</v>
      </c>
      <c r="T107" s="38" t="str">
        <f>IFERROR((VLOOKUP($B107,'Из Гугла'!$B:$G,6,0)+V107)*U107,VLOOKUP($B107,'Из Гугла'!$B:$G,6,0))</f>
        <v/>
      </c>
      <c r="U107" s="38">
        <v>1</v>
      </c>
      <c r="V107" s="38"/>
      <c r="W107" s="22">
        <f t="shared" si="44"/>
        <v>0.29269999999999974</v>
      </c>
      <c r="X107" s="22" t="str">
        <f t="shared" si="45"/>
        <v/>
      </c>
      <c r="Y107" s="22" t="str">
        <f t="shared" si="46"/>
        <v/>
      </c>
      <c r="Z107" s="9" t="s">
        <v>1269</v>
      </c>
    </row>
    <row r="108" spans="1:27" ht="30" x14ac:dyDescent="0.25">
      <c r="A108" s="23" t="str">
        <f>INDEX('Выгр Торг'!$A:$A,MATCH(B108,'Выгр Торг'!$B:$B,0))</f>
        <v>Руль R1 с цветными вставками для ВАЗ (разных цветов)</v>
      </c>
      <c r="B108" s="26">
        <v>315542</v>
      </c>
      <c r="C108" s="26">
        <f>VLOOKUP($B108,'Выгр Торг'!$B:$Q,C$1,0)</f>
        <v>315542</v>
      </c>
      <c r="D108" s="25" t="str">
        <f>VLOOKUP($B108,'Выгр Торг'!$B:$Q,D$1,0)</f>
        <v>Руль R1 с цветными вставками для ВАЗ (Красный)</v>
      </c>
      <c r="E108" s="26" t="str">
        <f>VLOOKUP($B108,'Выгр Торг'!$B:$Q,E$1,0)</f>
        <v>Y</v>
      </c>
      <c r="F108" s="26" t="str">
        <f>VLOOKUP($B108,'Выгр Торг'!$B:$Q,F$1,0)</f>
        <v>1</v>
      </c>
      <c r="G108" s="26">
        <f>VLOOKUP($B108,'Выгр Торг'!$B:$Q,G$1,0)</f>
        <v>0</v>
      </c>
      <c r="H108" s="2" t="s">
        <v>3</v>
      </c>
      <c r="I108" s="34"/>
      <c r="J108" s="34"/>
      <c r="K108" s="41">
        <v>1000</v>
      </c>
      <c r="L108" s="5">
        <f>VLOOKUP(K108,Наценка!$A$1:$G$8,2,1)</f>
        <v>1.3</v>
      </c>
      <c r="M108" s="34">
        <f t="shared" si="47"/>
        <v>1397.8494623655913</v>
      </c>
      <c r="N108" s="39">
        <f t="shared" si="40"/>
        <v>1390</v>
      </c>
      <c r="O108" s="40">
        <f>VLOOKUP($B108,'Выгр Торг'!$B:$Q,O$1,0)</f>
        <v>1000</v>
      </c>
      <c r="P108" s="40">
        <f>VLOOKUP($B108,'Выгр Торг'!$B:$Q,P$1,0)</f>
        <v>1390</v>
      </c>
      <c r="Q108" s="28">
        <f t="shared" si="41"/>
        <v>0</v>
      </c>
      <c r="R108" s="28">
        <f t="shared" si="42"/>
        <v>0</v>
      </c>
      <c r="S108" s="36">
        <f t="shared" si="43"/>
        <v>1292.6999999999998</v>
      </c>
      <c r="T108" s="38" t="str">
        <f>IFERROR((VLOOKUP($B108,'Из Гугла'!$B:$G,6,0)+V108)*U108,VLOOKUP($B108,'Из Гугла'!$B:$G,6,0))</f>
        <v/>
      </c>
      <c r="U108" s="38">
        <v>1</v>
      </c>
      <c r="V108" s="38"/>
      <c r="W108" s="22">
        <f t="shared" si="44"/>
        <v>0.29269999999999974</v>
      </c>
      <c r="X108" s="22" t="str">
        <f t="shared" si="45"/>
        <v/>
      </c>
      <c r="Y108" s="22" t="str">
        <f t="shared" si="46"/>
        <v/>
      </c>
      <c r="Z108" s="9" t="s">
        <v>1269</v>
      </c>
    </row>
    <row r="109" spans="1:27" ht="30" x14ac:dyDescent="0.25">
      <c r="A109" s="23" t="str">
        <f>INDEX('Выгр Торг'!$A:$A,MATCH(B109,'Выгр Торг'!$B:$B,0))</f>
        <v>Руль R1 с цветными вставками для ВАЗ (разных цветов)</v>
      </c>
      <c r="B109" s="26">
        <v>315537</v>
      </c>
      <c r="C109" s="26">
        <f>VLOOKUP($B109,'Выгр Торг'!$B:$Q,C$1,0)</f>
        <v>315537</v>
      </c>
      <c r="D109" s="25" t="str">
        <f>VLOOKUP($B109,'Выгр Торг'!$B:$Q,D$1,0)</f>
        <v>Руль R1 с цветными вставками для ВАЗ (Серебристый)</v>
      </c>
      <c r="E109" s="26" t="str">
        <f>VLOOKUP($B109,'Выгр Торг'!$B:$Q,E$1,0)</f>
        <v>Y</v>
      </c>
      <c r="F109" s="26" t="str">
        <f>VLOOKUP($B109,'Выгр Торг'!$B:$Q,F$1,0)</f>
        <v>1</v>
      </c>
      <c r="G109" s="26">
        <f>VLOOKUP($B109,'Выгр Торг'!$B:$Q,G$1,0)</f>
        <v>0</v>
      </c>
      <c r="H109" s="2" t="s">
        <v>3</v>
      </c>
      <c r="I109" s="34"/>
      <c r="J109" s="34"/>
      <c r="K109" s="41">
        <v>1000</v>
      </c>
      <c r="L109" s="5">
        <f>VLOOKUP(K109,Наценка!$A$1:$G$8,2,1)</f>
        <v>1.3</v>
      </c>
      <c r="M109" s="34">
        <f t="shared" si="47"/>
        <v>1397.8494623655913</v>
      </c>
      <c r="N109" s="39">
        <f t="shared" si="40"/>
        <v>1390</v>
      </c>
      <c r="O109" s="40">
        <f>VLOOKUP($B109,'Выгр Торг'!$B:$Q,O$1,0)</f>
        <v>1000</v>
      </c>
      <c r="P109" s="40">
        <f>VLOOKUP($B109,'Выгр Торг'!$B:$Q,P$1,0)</f>
        <v>1390</v>
      </c>
      <c r="Q109" s="28">
        <f t="shared" si="41"/>
        <v>0</v>
      </c>
      <c r="R109" s="28">
        <f t="shared" si="42"/>
        <v>0</v>
      </c>
      <c r="S109" s="36">
        <f t="shared" si="43"/>
        <v>1292.6999999999998</v>
      </c>
      <c r="T109" s="38" t="str">
        <f>IFERROR((VLOOKUP($B109,'Из Гугла'!$B:$G,6,0)+V109)*U109,VLOOKUP($B109,'Из Гугла'!$B:$G,6,0))</f>
        <v/>
      </c>
      <c r="U109" s="38">
        <v>1</v>
      </c>
      <c r="V109" s="38"/>
      <c r="W109" s="22">
        <f t="shared" si="44"/>
        <v>0.29269999999999974</v>
      </c>
      <c r="X109" s="22" t="str">
        <f t="shared" si="45"/>
        <v/>
      </c>
      <c r="Y109" s="22" t="str">
        <f t="shared" si="46"/>
        <v/>
      </c>
      <c r="Z109" s="9" t="s">
        <v>1269</v>
      </c>
    </row>
    <row r="110" spans="1:27" ht="30" x14ac:dyDescent="0.25">
      <c r="A110" s="23" t="str">
        <f>INDEX('Выгр Торг'!$A:$A,MATCH(B110,'Выгр Торг'!$B:$B,0))</f>
        <v>Руль R1 с цветными вставками для ВАЗ (разных цветов)</v>
      </c>
      <c r="B110" s="26">
        <v>315541</v>
      </c>
      <c r="C110" s="26">
        <f>VLOOKUP($B110,'Выгр Торг'!$B:$Q,C$1,0)</f>
        <v>315541</v>
      </c>
      <c r="D110" s="25" t="str">
        <f>VLOOKUP($B110,'Выгр Торг'!$B:$Q,D$1,0)</f>
        <v>Руль R1 с цветными вставками для ВАЗ (Синий)</v>
      </c>
      <c r="E110" s="26" t="str">
        <f>VLOOKUP($B110,'Выгр Торг'!$B:$Q,E$1,0)</f>
        <v>Y</v>
      </c>
      <c r="F110" s="26" t="str">
        <f>VLOOKUP($B110,'Выгр Торг'!$B:$Q,F$1,0)</f>
        <v>1</v>
      </c>
      <c r="G110" s="26">
        <f>VLOOKUP($B110,'Выгр Торг'!$B:$Q,G$1,0)</f>
        <v>0</v>
      </c>
      <c r="H110" s="2" t="s">
        <v>3</v>
      </c>
      <c r="I110" s="34"/>
      <c r="J110" s="34"/>
      <c r="K110" s="41">
        <v>1000</v>
      </c>
      <c r="L110" s="5">
        <f>VLOOKUP(K110,Наценка!$A$1:$G$8,2,1)</f>
        <v>1.3</v>
      </c>
      <c r="M110" s="34">
        <f t="shared" si="47"/>
        <v>1397.8494623655913</v>
      </c>
      <c r="N110" s="39">
        <f t="shared" si="40"/>
        <v>1390</v>
      </c>
      <c r="O110" s="40">
        <f>VLOOKUP($B110,'Выгр Торг'!$B:$Q,O$1,0)</f>
        <v>1000</v>
      </c>
      <c r="P110" s="40">
        <f>VLOOKUP($B110,'Выгр Торг'!$B:$Q,P$1,0)</f>
        <v>1390</v>
      </c>
      <c r="Q110" s="28">
        <f t="shared" si="41"/>
        <v>0</v>
      </c>
      <c r="R110" s="28">
        <f t="shared" si="42"/>
        <v>0</v>
      </c>
      <c r="S110" s="36">
        <f t="shared" si="43"/>
        <v>1292.6999999999998</v>
      </c>
      <c r="T110" s="38" t="str">
        <f>IFERROR((VLOOKUP($B110,'Из Гугла'!$B:$G,6,0)+V110)*U110,VLOOKUP($B110,'Из Гугла'!$B:$G,6,0))</f>
        <v/>
      </c>
      <c r="U110" s="38">
        <v>1</v>
      </c>
      <c r="V110" s="38"/>
      <c r="W110" s="22">
        <f t="shared" si="44"/>
        <v>0.29269999999999974</v>
      </c>
      <c r="X110" s="22" t="str">
        <f t="shared" si="45"/>
        <v/>
      </c>
      <c r="Y110" s="22" t="str">
        <f t="shared" si="46"/>
        <v/>
      </c>
      <c r="Z110" s="9" t="s">
        <v>1269</v>
      </c>
    </row>
    <row r="111" spans="1:27" ht="30" x14ac:dyDescent="0.25">
      <c r="A111" s="23" t="str">
        <f>INDEX('Выгр Торг'!$A:$A,MATCH(B111,'Выгр Торг'!$B:$B,0))</f>
        <v>Руль R1 с цветными вставками для ВАЗ (разных цветов)</v>
      </c>
      <c r="B111" s="26">
        <v>315538</v>
      </c>
      <c r="C111" s="26">
        <f>VLOOKUP($B111,'Выгр Торг'!$B:$Q,C$1,0)</f>
        <v>315538</v>
      </c>
      <c r="D111" s="25" t="str">
        <f>VLOOKUP($B111,'Выгр Торг'!$B:$Q,D$1,0)</f>
        <v>Руль R1 с цветными вставками для ВАЗ (Хром)</v>
      </c>
      <c r="E111" s="26" t="str">
        <f>VLOOKUP($B111,'Выгр Торг'!$B:$Q,E$1,0)</f>
        <v>Y</v>
      </c>
      <c r="F111" s="26" t="str">
        <f>VLOOKUP($B111,'Выгр Торг'!$B:$Q,F$1,0)</f>
        <v>1</v>
      </c>
      <c r="G111" s="26">
        <f>VLOOKUP($B111,'Выгр Торг'!$B:$Q,G$1,0)</f>
        <v>0</v>
      </c>
      <c r="H111" s="2" t="s">
        <v>3</v>
      </c>
      <c r="I111" s="34"/>
      <c r="J111" s="34"/>
      <c r="K111" s="41">
        <v>1000</v>
      </c>
      <c r="L111" s="5">
        <f>VLOOKUP(K111,Наценка!$A$1:$G$8,2,1)</f>
        <v>1.3</v>
      </c>
      <c r="M111" s="34">
        <f t="shared" si="47"/>
        <v>1397.8494623655913</v>
      </c>
      <c r="N111" s="39">
        <f t="shared" si="40"/>
        <v>1390</v>
      </c>
      <c r="O111" s="40">
        <f>VLOOKUP($B111,'Выгр Торг'!$B:$Q,O$1,0)</f>
        <v>1000</v>
      </c>
      <c r="P111" s="40">
        <f>VLOOKUP($B111,'Выгр Торг'!$B:$Q,P$1,0)</f>
        <v>1390</v>
      </c>
      <c r="Q111" s="28">
        <f t="shared" si="41"/>
        <v>0</v>
      </c>
      <c r="R111" s="28">
        <f t="shared" si="42"/>
        <v>0</v>
      </c>
      <c r="S111" s="36">
        <f t="shared" si="43"/>
        <v>1292.6999999999998</v>
      </c>
      <c r="T111" s="38" t="str">
        <f>IFERROR((VLOOKUP($B111,'Из Гугла'!$B:$G,6,0)+V111)*U111,VLOOKUP($B111,'Из Гугла'!$B:$G,6,0))</f>
        <v/>
      </c>
      <c r="U111" s="38">
        <v>1</v>
      </c>
      <c r="V111" s="38"/>
      <c r="W111" s="22">
        <f t="shared" si="44"/>
        <v>0.29269999999999974</v>
      </c>
      <c r="X111" s="22" t="str">
        <f t="shared" si="45"/>
        <v/>
      </c>
      <c r="Y111" s="22" t="str">
        <f t="shared" si="46"/>
        <v/>
      </c>
      <c r="Z111" s="9" t="s">
        <v>1269</v>
      </c>
    </row>
    <row r="112" spans="1:27" ht="30" x14ac:dyDescent="0.25">
      <c r="A112" s="23" t="str">
        <f>INDEX('Выгр Торг'!$A:$A,MATCH(B112,'Выгр Торг'!$B:$B,0))</f>
        <v>Руль R1 с цветными вставками для ВАЗ (разных цветов)</v>
      </c>
      <c r="B112" s="26">
        <v>315539</v>
      </c>
      <c r="C112" s="26">
        <f>VLOOKUP($B112,'Выгр Торг'!$B:$Q,C$1,0)</f>
        <v>315539</v>
      </c>
      <c r="D112" s="25" t="str">
        <f>VLOOKUP($B112,'Выгр Торг'!$B:$Q,D$1,0)</f>
        <v>Руль R1 с цветными вставками для ВАЗ (Чёрный лак)</v>
      </c>
      <c r="E112" s="26" t="str">
        <f>VLOOKUP($B112,'Выгр Торг'!$B:$Q,E$1,0)</f>
        <v>Y</v>
      </c>
      <c r="F112" s="26" t="str">
        <f>VLOOKUP($B112,'Выгр Торг'!$B:$Q,F$1,0)</f>
        <v>1</v>
      </c>
      <c r="G112" s="26">
        <f>VLOOKUP($B112,'Выгр Торг'!$B:$Q,G$1,0)</f>
        <v>0</v>
      </c>
      <c r="H112" s="2" t="s">
        <v>3</v>
      </c>
      <c r="I112" s="34"/>
      <c r="J112" s="34"/>
      <c r="K112" s="41">
        <v>1000</v>
      </c>
      <c r="L112" s="5">
        <f>VLOOKUP(K112,Наценка!$A$1:$G$8,2,1)</f>
        <v>1.3</v>
      </c>
      <c r="M112" s="34">
        <f t="shared" si="47"/>
        <v>1397.8494623655913</v>
      </c>
      <c r="N112" s="39">
        <f t="shared" si="40"/>
        <v>1390</v>
      </c>
      <c r="O112" s="40">
        <f>VLOOKUP($B112,'Выгр Торг'!$B:$Q,O$1,0)</f>
        <v>1000</v>
      </c>
      <c r="P112" s="40">
        <f>VLOOKUP($B112,'Выгр Торг'!$B:$Q,P$1,0)</f>
        <v>1390</v>
      </c>
      <c r="Q112" s="28">
        <f t="shared" si="41"/>
        <v>0</v>
      </c>
      <c r="R112" s="28">
        <f t="shared" si="42"/>
        <v>0</v>
      </c>
      <c r="S112" s="36">
        <f t="shared" si="43"/>
        <v>1292.6999999999998</v>
      </c>
      <c r="T112" s="38" t="str">
        <f>IFERROR((VLOOKUP($B112,'Из Гугла'!$B:$G,6,0)+V112)*U112,VLOOKUP($B112,'Из Гугла'!$B:$G,6,0))</f>
        <v/>
      </c>
      <c r="U112" s="38">
        <v>1</v>
      </c>
      <c r="V112" s="38"/>
      <c r="W112" s="22">
        <f t="shared" si="44"/>
        <v>0.29269999999999974</v>
      </c>
      <c r="X112" s="22" t="str">
        <f t="shared" si="45"/>
        <v/>
      </c>
      <c r="Y112" s="22" t="str">
        <f t="shared" si="46"/>
        <v/>
      </c>
      <c r="Z112" s="9" t="s">
        <v>1269</v>
      </c>
    </row>
    <row r="113" spans="1:26" ht="105" x14ac:dyDescent="0.25">
      <c r="A113" s="23" t="str">
        <f>INDEX('Выгр Торг'!$A:$A,MATCH(B113,'Выгр Торг'!$B:$B,0))</f>
        <v>Диодные лампы "LED" HEADLIGHT Н1/H3/H4/H7 (с радиатором) для ВАЗ (2101-2107, 2108-21099, 2110-2112, 2113-2115), Лада (Калина, Калина 2, Приора, Приора 2, Гранта, Гранта FL, Веста, XRAY, Нива 4х4, Ларгус), Шевроле Нива</v>
      </c>
      <c r="B113" s="26">
        <v>357798</v>
      </c>
      <c r="C113" s="26">
        <f>VLOOKUP($B113,'Выгр Торг'!$B:$Q,C$1,0)</f>
        <v>357798</v>
      </c>
      <c r="D113" s="25" t="str">
        <f>VLOOKUP($B113,'Выгр Торг'!$B:$Q,D$1,0)</f>
        <v>Диодные лампы "LED" HEADLIGHT H3 (с радиатором) для ВАЗ (2101-2107, 2108-21099, 2110-2112, 2113-2115), Лада (Калина, Калина 2, Приора, Приора 2, Гранта, Гранта FL, Веста, XRAY, Нива 4х4, Ларгус), Шевроле Нива</v>
      </c>
      <c r="E113" s="26" t="str">
        <f>VLOOKUP($B113,'Выгр Торг'!$B:$Q,E$1,0)</f>
        <v>Y</v>
      </c>
      <c r="F113" s="26" t="str">
        <f>VLOOKUP($B113,'Выгр Торг'!$B:$Q,F$1,0)</f>
        <v>1</v>
      </c>
      <c r="G113" s="26">
        <f>VLOOKUP($B113,'Выгр Торг'!$B:$Q,G$1,0)</f>
        <v>0</v>
      </c>
      <c r="H113" s="2" t="s">
        <v>3</v>
      </c>
      <c r="I113" s="34"/>
      <c r="J113" s="34"/>
      <c r="K113" s="41">
        <v>600</v>
      </c>
      <c r="L113" s="5">
        <f>VLOOKUP(K113,Наценка!$A$1:$G$8,2,1)</f>
        <v>1.45</v>
      </c>
      <c r="M113" s="34">
        <f t="shared" ref="M113:M139" si="48">K113*L113*100/93</f>
        <v>935.48387096774195</v>
      </c>
      <c r="N113" s="39">
        <f t="shared" ref="N113:N139" si="49">IF(M113&lt;=1000,(ROUNDUP(M113,-1)-1),(ROUNDUP(M113,-2)-10))</f>
        <v>939</v>
      </c>
      <c r="O113" s="40">
        <f>VLOOKUP($B113,'Выгр Торг'!$B:$Q,O$1,0)</f>
        <v>600</v>
      </c>
      <c r="P113" s="40">
        <f>VLOOKUP($B113,'Выгр Торг'!$B:$Q,P$1,0)</f>
        <v>939</v>
      </c>
      <c r="Q113" s="28">
        <f t="shared" ref="Q113:Q139" si="50">O113-K113</f>
        <v>0</v>
      </c>
      <c r="R113" s="28">
        <f t="shared" ref="R113:R139" si="51">P113-N113</f>
        <v>0</v>
      </c>
      <c r="S113" s="36">
        <f t="shared" ref="S113:S139" si="52">IFERROR(N113*(1-$S$2),"")</f>
        <v>873.27</v>
      </c>
      <c r="T113" s="38" t="str">
        <f>IFERROR((VLOOKUP($B113,'Из Гугла'!$B:$G,6,0)+V113)*U113,VLOOKUP($B113,'Из Гугла'!$B:$G,6,0))</f>
        <v/>
      </c>
      <c r="U113" s="38">
        <v>1</v>
      </c>
      <c r="V113" s="38"/>
      <c r="W113" s="22">
        <f t="shared" ref="W113:W139" si="53">IFERROR(S113/K113-1,"")</f>
        <v>0.45544999999999991</v>
      </c>
      <c r="X113" s="22" t="str">
        <f t="shared" ref="X113:X139" si="54">IFERROR((Z113-S113)/Z113,"")</f>
        <v/>
      </c>
      <c r="Y113" s="22" t="str">
        <f t="shared" ref="Y113:Y139" si="55">IFERROR(IF(Z113="","",Z113/K113-1),"")</f>
        <v/>
      </c>
      <c r="Z113" s="9" t="s">
        <v>1269</v>
      </c>
    </row>
    <row r="114" spans="1:26" ht="105" x14ac:dyDescent="0.25">
      <c r="A114" s="23" t="str">
        <f>INDEX('Выгр Торг'!$A:$A,MATCH(B114,'Выгр Торг'!$B:$B,0))</f>
        <v>Диодные лампы "LED" HEADLIGHT Н1/H3/H4/H7 (с радиатором) для ВАЗ (2101-2107, 2108-21099, 2110-2112, 2113-2115), Лада (Калина, Калина 2, Приора, Приора 2, Гранта, Гранта FL, Веста, XRAY, Нива 4х4, Ларгус), Шевроле Нива</v>
      </c>
      <c r="B114" s="26">
        <v>357795</v>
      </c>
      <c r="C114" s="26">
        <f>VLOOKUP($B114,'Выгр Торг'!$B:$Q,C$1,0)</f>
        <v>357795</v>
      </c>
      <c r="D114" s="25" t="str">
        <f>VLOOKUP($B114,'Выгр Торг'!$B:$Q,D$1,0)</f>
        <v>Диодные лампы "LED" HEADLIGHT H4 (с радиатором) для ВАЗ (2101-2107, 2108-21099, 2110-2112, 2113-2115), Лада (Калина, Калина 2, Приора, Приора 2, Гранта, Гранта FL, Веста, XRAY, Нива 4х4, Ларгус), Шевроле Нива</v>
      </c>
      <c r="E114" s="26" t="str">
        <f>VLOOKUP($B114,'Выгр Торг'!$B:$Q,E$1,0)</f>
        <v>Y</v>
      </c>
      <c r="F114" s="26" t="str">
        <f>VLOOKUP($B114,'Выгр Торг'!$B:$Q,F$1,0)</f>
        <v>1</v>
      </c>
      <c r="G114" s="26">
        <f>VLOOKUP($B114,'Выгр Торг'!$B:$Q,G$1,0)</f>
        <v>0</v>
      </c>
      <c r="H114" s="2" t="s">
        <v>3</v>
      </c>
      <c r="I114" s="34"/>
      <c r="J114" s="34"/>
      <c r="K114" s="41">
        <v>600</v>
      </c>
      <c r="L114" s="5">
        <f>VLOOKUP(K114,Наценка!$A$1:$G$8,2,1)</f>
        <v>1.45</v>
      </c>
      <c r="M114" s="34">
        <f t="shared" si="48"/>
        <v>935.48387096774195</v>
      </c>
      <c r="N114" s="39">
        <f t="shared" si="49"/>
        <v>939</v>
      </c>
      <c r="O114" s="40">
        <f>VLOOKUP($B114,'Выгр Торг'!$B:$Q,O$1,0)</f>
        <v>600</v>
      </c>
      <c r="P114" s="40">
        <f>VLOOKUP($B114,'Выгр Торг'!$B:$Q,P$1,0)</f>
        <v>939</v>
      </c>
      <c r="Q114" s="28">
        <f t="shared" si="50"/>
        <v>0</v>
      </c>
      <c r="R114" s="28">
        <f t="shared" si="51"/>
        <v>0</v>
      </c>
      <c r="S114" s="36">
        <f t="shared" si="52"/>
        <v>873.27</v>
      </c>
      <c r="T114" s="38" t="str">
        <f>IFERROR((VLOOKUP($B114,'Из Гугла'!$B:$G,6,0)+V114)*U114,VLOOKUP($B114,'Из Гугла'!$B:$G,6,0))</f>
        <v/>
      </c>
      <c r="U114" s="38">
        <v>1</v>
      </c>
      <c r="V114" s="38"/>
      <c r="W114" s="22">
        <f t="shared" si="53"/>
        <v>0.45544999999999991</v>
      </c>
      <c r="X114" s="22" t="str">
        <f t="shared" si="54"/>
        <v/>
      </c>
      <c r="Y114" s="22" t="str">
        <f t="shared" si="55"/>
        <v/>
      </c>
      <c r="Z114" s="9" t="s">
        <v>1269</v>
      </c>
    </row>
    <row r="115" spans="1:26" ht="105" x14ac:dyDescent="0.25">
      <c r="A115" s="23" t="str">
        <f>INDEX('Выгр Торг'!$A:$A,MATCH(B115,'Выгр Торг'!$B:$B,0))</f>
        <v>Диодные лампы "LED" HEADLIGHT Н1/H3/H4/H7 (с радиатором) для ВАЗ (2101-2107, 2108-21099, 2110-2112, 2113-2115), Лада (Калина, Калина 2, Приора, Приора 2, Гранта, Гранта FL, Веста, XRAY, Нива 4х4, Ларгус), Шевроле Нива</v>
      </c>
      <c r="B115" s="26">
        <v>357797</v>
      </c>
      <c r="C115" s="26">
        <f>VLOOKUP($B115,'Выгр Торг'!$B:$Q,C$1,0)</f>
        <v>357797</v>
      </c>
      <c r="D115" s="25" t="str">
        <f>VLOOKUP($B115,'Выгр Торг'!$B:$Q,D$1,0)</f>
        <v>Диодные лампы "LED" HEADLIGHT H7 (с радиатором) для ВАЗ (2101-2107, 2108-21099, 2110-2112, 2113-2115), Лада (Калина, Калина 2, Приора, Приора 2, Гранта, Гранта FL, Веста, XRAY, Нива 4х4, Ларгус), Шевроле Нива</v>
      </c>
      <c r="E115" s="26" t="str">
        <f>VLOOKUP($B115,'Выгр Торг'!$B:$Q,E$1,0)</f>
        <v>Y</v>
      </c>
      <c r="F115" s="26" t="str">
        <f>VLOOKUP($B115,'Выгр Торг'!$B:$Q,F$1,0)</f>
        <v>1</v>
      </c>
      <c r="G115" s="26">
        <f>VLOOKUP($B115,'Выгр Торг'!$B:$Q,G$1,0)</f>
        <v>0</v>
      </c>
      <c r="H115" s="2" t="s">
        <v>3</v>
      </c>
      <c r="I115" s="34"/>
      <c r="J115" s="34"/>
      <c r="K115" s="41">
        <v>600</v>
      </c>
      <c r="L115" s="5">
        <f>VLOOKUP(K115,Наценка!$A$1:$G$8,2,1)</f>
        <v>1.45</v>
      </c>
      <c r="M115" s="34">
        <f t="shared" si="48"/>
        <v>935.48387096774195</v>
      </c>
      <c r="N115" s="39">
        <f t="shared" si="49"/>
        <v>939</v>
      </c>
      <c r="O115" s="40">
        <f>VLOOKUP($B115,'Выгр Торг'!$B:$Q,O$1,0)</f>
        <v>600</v>
      </c>
      <c r="P115" s="40">
        <f>VLOOKUP($B115,'Выгр Торг'!$B:$Q,P$1,0)</f>
        <v>939</v>
      </c>
      <c r="Q115" s="28">
        <f t="shared" si="50"/>
        <v>0</v>
      </c>
      <c r="R115" s="28">
        <f t="shared" si="51"/>
        <v>0</v>
      </c>
      <c r="S115" s="36">
        <f t="shared" si="52"/>
        <v>873.27</v>
      </c>
      <c r="T115" s="38" t="str">
        <f>IFERROR((VLOOKUP($B115,'Из Гугла'!$B:$G,6,0)+V115)*U115,VLOOKUP($B115,'Из Гугла'!$B:$G,6,0))</f>
        <v/>
      </c>
      <c r="U115" s="38">
        <v>1</v>
      </c>
      <c r="V115" s="38"/>
      <c r="W115" s="22">
        <f t="shared" si="53"/>
        <v>0.45544999999999991</v>
      </c>
      <c r="X115" s="22" t="str">
        <f t="shared" si="54"/>
        <v/>
      </c>
      <c r="Y115" s="22" t="str">
        <f t="shared" si="55"/>
        <v/>
      </c>
      <c r="Z115" s="9" t="s">
        <v>1269</v>
      </c>
    </row>
    <row r="116" spans="1:26" ht="105" x14ac:dyDescent="0.25">
      <c r="A116" s="23" t="str">
        <f>INDEX('Выгр Торг'!$A:$A,MATCH(B116,'Выгр Торг'!$B:$B,0))</f>
        <v>Диодные лампы "LED" HEADLIGHT Н1/H3/H4/H7 (с радиатором) для ВАЗ (2101-2107, 2108-21099, 2110-2112, 2113-2115), Лада (Калина, Калина 2, Приора, Приора 2, Гранта, Гранта FL, Веста, XRAY, Нива 4х4, Ларгус), Шевроле Нива</v>
      </c>
      <c r="B116" s="26">
        <v>357796</v>
      </c>
      <c r="C116" s="26">
        <f>VLOOKUP($B116,'Выгр Торг'!$B:$Q,C$1,0)</f>
        <v>357796</v>
      </c>
      <c r="D116" s="25" t="str">
        <f>VLOOKUP($B116,'Выгр Торг'!$B:$Q,D$1,0)</f>
        <v>Диодные лампы "LED" HEADLIGHT Н1 (с радиатором) для ВАЗ (2101-2107, 2108-21099, 2110-2112, 2113-2115), Лада (Калина, Калина 2, Приора, Приора 2, Гранта, Гранта FL, Веста, XRAY, Нива 4х4, Ларгус), Шевроле Нива</v>
      </c>
      <c r="E116" s="26" t="str">
        <f>VLOOKUP($B116,'Выгр Торг'!$B:$Q,E$1,0)</f>
        <v>Y</v>
      </c>
      <c r="F116" s="26" t="str">
        <f>VLOOKUP($B116,'Выгр Торг'!$B:$Q,F$1,0)</f>
        <v>1</v>
      </c>
      <c r="G116" s="26">
        <f>VLOOKUP($B116,'Выгр Торг'!$B:$Q,G$1,0)</f>
        <v>0</v>
      </c>
      <c r="H116" s="2" t="s">
        <v>3</v>
      </c>
      <c r="I116" s="34"/>
      <c r="J116" s="34"/>
      <c r="K116" s="41">
        <v>600</v>
      </c>
      <c r="L116" s="5">
        <f>VLOOKUP(K116,Наценка!$A$1:$G$8,2,1)</f>
        <v>1.45</v>
      </c>
      <c r="M116" s="34">
        <f t="shared" si="48"/>
        <v>935.48387096774195</v>
      </c>
      <c r="N116" s="39">
        <f t="shared" si="49"/>
        <v>939</v>
      </c>
      <c r="O116" s="40">
        <f>VLOOKUP($B116,'Выгр Торг'!$B:$Q,O$1,0)</f>
        <v>600</v>
      </c>
      <c r="P116" s="40">
        <f>VLOOKUP($B116,'Выгр Торг'!$B:$Q,P$1,0)</f>
        <v>939</v>
      </c>
      <c r="Q116" s="28">
        <f t="shared" si="50"/>
        <v>0</v>
      </c>
      <c r="R116" s="28">
        <f t="shared" si="51"/>
        <v>0</v>
      </c>
      <c r="S116" s="36">
        <f t="shared" si="52"/>
        <v>873.27</v>
      </c>
      <c r="T116" s="38" t="str">
        <f>IFERROR((VLOOKUP($B116,'Из Гугла'!$B:$G,6,0)+V116)*U116,VLOOKUP($B116,'Из Гугла'!$B:$G,6,0))</f>
        <v/>
      </c>
      <c r="U116" s="38">
        <v>1</v>
      </c>
      <c r="V116" s="38"/>
      <c r="W116" s="22">
        <f t="shared" si="53"/>
        <v>0.45544999999999991</v>
      </c>
      <c r="X116" s="22" t="str">
        <f t="shared" si="54"/>
        <v/>
      </c>
      <c r="Y116" s="22" t="str">
        <f t="shared" si="55"/>
        <v/>
      </c>
      <c r="Z116" s="9" t="s">
        <v>1269</v>
      </c>
    </row>
    <row r="117" spans="1:26" ht="30" x14ac:dyDescent="0.25">
      <c r="A117" s="23" t="str">
        <f>INDEX('Выгр Торг'!$A:$A,MATCH(B117,'Выгр Торг'!$B:$B,0))</f>
        <v>Руль R1 с цветными вставками для ВАЗ</v>
      </c>
      <c r="B117" s="26">
        <v>361699</v>
      </c>
      <c r="C117" s="26">
        <f>VLOOKUP($B117,'Выгр Торг'!$B:$Q,C$1,0)</f>
        <v>361699</v>
      </c>
      <c r="D117" s="25" t="str">
        <f>VLOOKUP($B117,'Выгр Торг'!$B:$Q,D$1,0)</f>
        <v>Руль R1 с цветными вставками для ВАЗ (Белый)</v>
      </c>
      <c r="E117" s="26" t="str">
        <f>VLOOKUP($B117,'Выгр Торг'!$B:$Q,E$1,0)</f>
        <v>Y</v>
      </c>
      <c r="F117" s="26" t="str">
        <f>VLOOKUP($B117,'Выгр Торг'!$B:$Q,F$1,0)</f>
        <v>1</v>
      </c>
      <c r="G117" s="26">
        <f>VLOOKUP($B117,'Выгр Торг'!$B:$Q,G$1,0)</f>
        <v>0</v>
      </c>
      <c r="H117" s="2" t="s">
        <v>3</v>
      </c>
      <c r="I117" s="34"/>
      <c r="J117" s="34"/>
      <c r="K117" s="41">
        <v>1000</v>
      </c>
      <c r="L117" s="5">
        <f>VLOOKUP(K117,Наценка!$A$1:$G$8,2,1)</f>
        <v>1.3</v>
      </c>
      <c r="M117" s="34">
        <f t="shared" si="48"/>
        <v>1397.8494623655913</v>
      </c>
      <c r="N117" s="39">
        <f t="shared" si="49"/>
        <v>1390</v>
      </c>
      <c r="O117" s="40">
        <f>VLOOKUP($B117,'Выгр Торг'!$B:$Q,O$1,0)</f>
        <v>1000</v>
      </c>
      <c r="P117" s="40">
        <f>VLOOKUP($B117,'Выгр Торг'!$B:$Q,P$1,0)</f>
        <v>1390</v>
      </c>
      <c r="Q117" s="28">
        <f t="shared" si="50"/>
        <v>0</v>
      </c>
      <c r="R117" s="28">
        <f t="shared" si="51"/>
        <v>0</v>
      </c>
      <c r="S117" s="36">
        <f t="shared" si="52"/>
        <v>1292.6999999999998</v>
      </c>
      <c r="T117" s="38" t="str">
        <f>IFERROR((VLOOKUP($B117,'Из Гугла'!$B:$G,6,0)+V117)*U117,VLOOKUP($B117,'Из Гугла'!$B:$G,6,0))</f>
        <v/>
      </c>
      <c r="U117" s="38">
        <v>1</v>
      </c>
      <c r="V117" s="38"/>
      <c r="W117" s="22">
        <f t="shared" si="53"/>
        <v>0.29269999999999974</v>
      </c>
      <c r="X117" s="22" t="str">
        <f t="shared" si="54"/>
        <v/>
      </c>
      <c r="Y117" s="22" t="str">
        <f t="shared" si="55"/>
        <v/>
      </c>
      <c r="Z117" s="9" t="s">
        <v>1269</v>
      </c>
    </row>
    <row r="118" spans="1:26" ht="30" x14ac:dyDescent="0.25">
      <c r="A118" s="23" t="str">
        <f>INDEX('Выгр Торг'!$A:$A,MATCH(B118,'Выгр Торг'!$B:$B,0))</f>
        <v>Руль R1 с цветными вставками для ВАЗ</v>
      </c>
      <c r="B118" s="26">
        <v>361700</v>
      </c>
      <c r="C118" s="26">
        <f>VLOOKUP($B118,'Выгр Торг'!$B:$Q,C$1,0)</f>
        <v>361700</v>
      </c>
      <c r="D118" s="25" t="str">
        <f>VLOOKUP($B118,'Выгр Торг'!$B:$Q,D$1,0)</f>
        <v>Руль R1 с цветными вставками для ВАЗ (Желтый)</v>
      </c>
      <c r="E118" s="26" t="str">
        <f>VLOOKUP($B118,'Выгр Торг'!$B:$Q,E$1,0)</f>
        <v>Y</v>
      </c>
      <c r="F118" s="26" t="str">
        <f>VLOOKUP($B118,'Выгр Торг'!$B:$Q,F$1,0)</f>
        <v>1</v>
      </c>
      <c r="G118" s="26">
        <f>VLOOKUP($B118,'Выгр Торг'!$B:$Q,G$1,0)</f>
        <v>0</v>
      </c>
      <c r="H118" s="2" t="s">
        <v>3</v>
      </c>
      <c r="I118" s="34"/>
      <c r="J118" s="34"/>
      <c r="K118" s="41">
        <v>1000</v>
      </c>
      <c r="L118" s="5">
        <f>VLOOKUP(K118,Наценка!$A$1:$G$8,2,1)</f>
        <v>1.3</v>
      </c>
      <c r="M118" s="34">
        <f t="shared" si="48"/>
        <v>1397.8494623655913</v>
      </c>
      <c r="N118" s="39">
        <f t="shared" si="49"/>
        <v>1390</v>
      </c>
      <c r="O118" s="40">
        <f>VLOOKUP($B118,'Выгр Торг'!$B:$Q,O$1,0)</f>
        <v>1000</v>
      </c>
      <c r="P118" s="40">
        <f>VLOOKUP($B118,'Выгр Торг'!$B:$Q,P$1,0)</f>
        <v>1390</v>
      </c>
      <c r="Q118" s="28">
        <f t="shared" si="50"/>
        <v>0</v>
      </c>
      <c r="R118" s="28">
        <f t="shared" si="51"/>
        <v>0</v>
      </c>
      <c r="S118" s="36">
        <f t="shared" si="52"/>
        <v>1292.6999999999998</v>
      </c>
      <c r="T118" s="38" t="str">
        <f>IFERROR((VLOOKUP($B118,'Из Гугла'!$B:$G,6,0)+V118)*U118,VLOOKUP($B118,'Из Гугла'!$B:$G,6,0))</f>
        <v/>
      </c>
      <c r="U118" s="38">
        <v>1</v>
      </c>
      <c r="V118" s="38"/>
      <c r="W118" s="22">
        <f t="shared" si="53"/>
        <v>0.29269999999999974</v>
      </c>
      <c r="X118" s="22" t="str">
        <f t="shared" si="54"/>
        <v/>
      </c>
      <c r="Y118" s="22" t="str">
        <f t="shared" si="55"/>
        <v/>
      </c>
      <c r="Z118" s="9" t="s">
        <v>1269</v>
      </c>
    </row>
    <row r="119" spans="1:26" ht="30" x14ac:dyDescent="0.25">
      <c r="A119" s="23" t="str">
        <f>INDEX('Выгр Торг'!$A:$A,MATCH(B119,'Выгр Торг'!$B:$B,0))</f>
        <v>Руль R1 с цветными вставками для ВАЗ</v>
      </c>
      <c r="B119" s="26">
        <v>361701</v>
      </c>
      <c r="C119" s="26">
        <f>VLOOKUP($B119,'Выгр Торг'!$B:$Q,C$1,0)</f>
        <v>361701</v>
      </c>
      <c r="D119" s="25" t="str">
        <f>VLOOKUP($B119,'Выгр Торг'!$B:$Q,D$1,0)</f>
        <v>Руль R1 с цветными вставками для ВАЗ (Зелёный)</v>
      </c>
      <c r="E119" s="26" t="str">
        <f>VLOOKUP($B119,'Выгр Торг'!$B:$Q,E$1,0)</f>
        <v>Y</v>
      </c>
      <c r="F119" s="26" t="str">
        <f>VLOOKUP($B119,'Выгр Торг'!$B:$Q,F$1,0)</f>
        <v>1</v>
      </c>
      <c r="G119" s="26">
        <f>VLOOKUP($B119,'Выгр Торг'!$B:$Q,G$1,0)</f>
        <v>0</v>
      </c>
      <c r="H119" s="2" t="s">
        <v>3</v>
      </c>
      <c r="I119" s="34"/>
      <c r="J119" s="34"/>
      <c r="K119" s="41">
        <v>1000</v>
      </c>
      <c r="L119" s="5">
        <f>VLOOKUP(K119,Наценка!$A$1:$G$8,2,1)</f>
        <v>1.3</v>
      </c>
      <c r="M119" s="34">
        <f t="shared" si="48"/>
        <v>1397.8494623655913</v>
      </c>
      <c r="N119" s="39">
        <f t="shared" si="49"/>
        <v>1390</v>
      </c>
      <c r="O119" s="40">
        <f>VLOOKUP($B119,'Выгр Торг'!$B:$Q,O$1,0)</f>
        <v>1000</v>
      </c>
      <c r="P119" s="40">
        <f>VLOOKUP($B119,'Выгр Торг'!$B:$Q,P$1,0)</f>
        <v>1390</v>
      </c>
      <c r="Q119" s="28">
        <f t="shared" si="50"/>
        <v>0</v>
      </c>
      <c r="R119" s="28">
        <f t="shared" si="51"/>
        <v>0</v>
      </c>
      <c r="S119" s="36">
        <f t="shared" si="52"/>
        <v>1292.6999999999998</v>
      </c>
      <c r="T119" s="38" t="str">
        <f>IFERROR((VLOOKUP($B119,'Из Гугла'!$B:$G,6,0)+V119)*U119,VLOOKUP($B119,'Из Гугла'!$B:$G,6,0))</f>
        <v/>
      </c>
      <c r="U119" s="38">
        <v>1</v>
      </c>
      <c r="V119" s="38"/>
      <c r="W119" s="22">
        <f t="shared" si="53"/>
        <v>0.29269999999999974</v>
      </c>
      <c r="X119" s="22" t="str">
        <f t="shared" si="54"/>
        <v/>
      </c>
      <c r="Y119" s="22" t="str">
        <f t="shared" si="55"/>
        <v/>
      </c>
      <c r="Z119" s="9" t="s">
        <v>1269</v>
      </c>
    </row>
    <row r="120" spans="1:26" ht="30" x14ac:dyDescent="0.25">
      <c r="A120" s="23" t="str">
        <f>INDEX('Выгр Торг'!$A:$A,MATCH(B120,'Выгр Торг'!$B:$B,0))</f>
        <v>Руль R1 с цветными вставками для ВАЗ</v>
      </c>
      <c r="B120" s="26">
        <v>361702</v>
      </c>
      <c r="C120" s="26">
        <f>VLOOKUP($B120,'Выгр Торг'!$B:$Q,C$1,0)</f>
        <v>361702</v>
      </c>
      <c r="D120" s="25" t="str">
        <f>VLOOKUP($B120,'Выгр Торг'!$B:$Q,D$1,0)</f>
        <v>Руль R1 с цветными вставками для ВАЗ (Коричневый)</v>
      </c>
      <c r="E120" s="26" t="str">
        <f>VLOOKUP($B120,'Выгр Торг'!$B:$Q,E$1,0)</f>
        <v>Y</v>
      </c>
      <c r="F120" s="26" t="str">
        <f>VLOOKUP($B120,'Выгр Торг'!$B:$Q,F$1,0)</f>
        <v>1</v>
      </c>
      <c r="G120" s="26">
        <f>VLOOKUP($B120,'Выгр Торг'!$B:$Q,G$1,0)</f>
        <v>0</v>
      </c>
      <c r="H120" s="2" t="s">
        <v>3</v>
      </c>
      <c r="I120" s="34"/>
      <c r="J120" s="34"/>
      <c r="K120" s="41">
        <v>1000</v>
      </c>
      <c r="L120" s="5">
        <f>VLOOKUP(K120,Наценка!$A$1:$G$8,2,1)</f>
        <v>1.3</v>
      </c>
      <c r="M120" s="34">
        <f t="shared" si="48"/>
        <v>1397.8494623655913</v>
      </c>
      <c r="N120" s="39">
        <f t="shared" si="49"/>
        <v>1390</v>
      </c>
      <c r="O120" s="40">
        <f>VLOOKUP($B120,'Выгр Торг'!$B:$Q,O$1,0)</f>
        <v>1000</v>
      </c>
      <c r="P120" s="40">
        <f>VLOOKUP($B120,'Выгр Торг'!$B:$Q,P$1,0)</f>
        <v>1390</v>
      </c>
      <c r="Q120" s="28">
        <f t="shared" si="50"/>
        <v>0</v>
      </c>
      <c r="R120" s="28">
        <f t="shared" si="51"/>
        <v>0</v>
      </c>
      <c r="S120" s="36">
        <f t="shared" si="52"/>
        <v>1292.6999999999998</v>
      </c>
      <c r="T120" s="38" t="str">
        <f>IFERROR((VLOOKUP($B120,'Из Гугла'!$B:$G,6,0)+V120)*U120,VLOOKUP($B120,'Из Гугла'!$B:$G,6,0))</f>
        <v/>
      </c>
      <c r="U120" s="38">
        <v>1</v>
      </c>
      <c r="V120" s="38"/>
      <c r="W120" s="22">
        <f t="shared" si="53"/>
        <v>0.29269999999999974</v>
      </c>
      <c r="X120" s="22" t="str">
        <f t="shared" si="54"/>
        <v/>
      </c>
      <c r="Y120" s="22" t="str">
        <f t="shared" si="55"/>
        <v/>
      </c>
      <c r="Z120" s="9" t="s">
        <v>1269</v>
      </c>
    </row>
    <row r="121" spans="1:26" ht="30" x14ac:dyDescent="0.25">
      <c r="A121" s="23" t="str">
        <f>INDEX('Выгр Торг'!$A:$A,MATCH(B121,'Выгр Торг'!$B:$B,0))</f>
        <v>Руль R1 с цветными вставками для ВАЗ</v>
      </c>
      <c r="B121" s="26">
        <v>361703</v>
      </c>
      <c r="C121" s="26">
        <f>VLOOKUP($B121,'Выгр Торг'!$B:$Q,C$1,0)</f>
        <v>361703</v>
      </c>
      <c r="D121" s="25" t="str">
        <f>VLOOKUP($B121,'Выгр Торг'!$B:$Q,D$1,0)</f>
        <v>Руль R1 с цветными вставками для ВАЗ (Красный)</v>
      </c>
      <c r="E121" s="26" t="str">
        <f>VLOOKUP($B121,'Выгр Торг'!$B:$Q,E$1,0)</f>
        <v>Y</v>
      </c>
      <c r="F121" s="26" t="str">
        <f>VLOOKUP($B121,'Выгр Торг'!$B:$Q,F$1,0)</f>
        <v>1</v>
      </c>
      <c r="G121" s="26">
        <f>VLOOKUP($B121,'Выгр Торг'!$B:$Q,G$1,0)</f>
        <v>0</v>
      </c>
      <c r="H121" s="2" t="s">
        <v>3</v>
      </c>
      <c r="I121" s="34"/>
      <c r="J121" s="34"/>
      <c r="K121" s="41">
        <v>1000</v>
      </c>
      <c r="L121" s="5">
        <f>VLOOKUP(K121,Наценка!$A$1:$G$8,2,1)</f>
        <v>1.3</v>
      </c>
      <c r="M121" s="34">
        <f t="shared" si="48"/>
        <v>1397.8494623655913</v>
      </c>
      <c r="N121" s="39">
        <f t="shared" si="49"/>
        <v>1390</v>
      </c>
      <c r="O121" s="40">
        <f>VLOOKUP($B121,'Выгр Торг'!$B:$Q,O$1,0)</f>
        <v>1000</v>
      </c>
      <c r="P121" s="40">
        <f>VLOOKUP($B121,'Выгр Торг'!$B:$Q,P$1,0)</f>
        <v>1390</v>
      </c>
      <c r="Q121" s="28">
        <f t="shared" si="50"/>
        <v>0</v>
      </c>
      <c r="R121" s="28">
        <f t="shared" si="51"/>
        <v>0</v>
      </c>
      <c r="S121" s="36">
        <f t="shared" si="52"/>
        <v>1292.6999999999998</v>
      </c>
      <c r="T121" s="38" t="str">
        <f>IFERROR((VLOOKUP($B121,'Из Гугла'!$B:$G,6,0)+V121)*U121,VLOOKUP($B121,'Из Гугла'!$B:$G,6,0))</f>
        <v/>
      </c>
      <c r="U121" s="38">
        <v>1</v>
      </c>
      <c r="V121" s="38"/>
      <c r="W121" s="22">
        <f t="shared" si="53"/>
        <v>0.29269999999999974</v>
      </c>
      <c r="X121" s="22" t="str">
        <f t="shared" si="54"/>
        <v/>
      </c>
      <c r="Y121" s="22" t="str">
        <f t="shared" si="55"/>
        <v/>
      </c>
      <c r="Z121" s="9" t="s">
        <v>1269</v>
      </c>
    </row>
    <row r="122" spans="1:26" ht="30" x14ac:dyDescent="0.25">
      <c r="A122" s="23" t="str">
        <f>INDEX('Выгр Торг'!$A:$A,MATCH(B122,'Выгр Торг'!$B:$B,0))</f>
        <v>Руль R1 с цветными вставками для ВАЗ</v>
      </c>
      <c r="B122" s="26">
        <v>361704</v>
      </c>
      <c r="C122" s="26">
        <f>VLOOKUP($B122,'Выгр Торг'!$B:$Q,C$1,0)</f>
        <v>361704</v>
      </c>
      <c r="D122" s="25" t="str">
        <f>VLOOKUP($B122,'Выгр Торг'!$B:$Q,D$1,0)</f>
        <v>Руль R1 с цветными вставками для ВАЗ (Синий)</v>
      </c>
      <c r="E122" s="26" t="str">
        <f>VLOOKUP($B122,'Выгр Торг'!$B:$Q,E$1,0)</f>
        <v>Y</v>
      </c>
      <c r="F122" s="26" t="str">
        <f>VLOOKUP($B122,'Выгр Торг'!$B:$Q,F$1,0)</f>
        <v>1</v>
      </c>
      <c r="G122" s="26">
        <f>VLOOKUP($B122,'Выгр Торг'!$B:$Q,G$1,0)</f>
        <v>0</v>
      </c>
      <c r="H122" s="2" t="s">
        <v>3</v>
      </c>
      <c r="I122" s="34"/>
      <c r="J122" s="34"/>
      <c r="K122" s="41">
        <v>1000</v>
      </c>
      <c r="L122" s="5">
        <f>VLOOKUP(K122,Наценка!$A$1:$G$8,2,1)</f>
        <v>1.3</v>
      </c>
      <c r="M122" s="34">
        <f t="shared" si="48"/>
        <v>1397.8494623655913</v>
      </c>
      <c r="N122" s="39">
        <f t="shared" si="49"/>
        <v>1390</v>
      </c>
      <c r="O122" s="40">
        <f>VLOOKUP($B122,'Выгр Торг'!$B:$Q,O$1,0)</f>
        <v>1000</v>
      </c>
      <c r="P122" s="40">
        <f>VLOOKUP($B122,'Выгр Торг'!$B:$Q,P$1,0)</f>
        <v>1390</v>
      </c>
      <c r="Q122" s="28">
        <f t="shared" si="50"/>
        <v>0</v>
      </c>
      <c r="R122" s="28">
        <f t="shared" si="51"/>
        <v>0</v>
      </c>
      <c r="S122" s="36">
        <f t="shared" si="52"/>
        <v>1292.6999999999998</v>
      </c>
      <c r="T122" s="38" t="str">
        <f>IFERROR((VLOOKUP($B122,'Из Гугла'!$B:$G,6,0)+V122)*U122,VLOOKUP($B122,'Из Гугла'!$B:$G,6,0))</f>
        <v/>
      </c>
      <c r="U122" s="38">
        <v>1</v>
      </c>
      <c r="V122" s="38"/>
      <c r="W122" s="22">
        <f t="shared" si="53"/>
        <v>0.29269999999999974</v>
      </c>
      <c r="X122" s="22" t="str">
        <f t="shared" si="54"/>
        <v/>
      </c>
      <c r="Y122" s="22" t="str">
        <f t="shared" si="55"/>
        <v/>
      </c>
      <c r="Z122" s="9" t="s">
        <v>1269</v>
      </c>
    </row>
    <row r="123" spans="1:26" ht="30" x14ac:dyDescent="0.25">
      <c r="A123" s="23" t="str">
        <f>INDEX('Выгр Торг'!$A:$A,MATCH(B123,'Выгр Торг'!$B:$B,0))</f>
        <v>Руль R1 с цветными вставками для ВАЗ</v>
      </c>
      <c r="B123" s="26">
        <v>361705</v>
      </c>
      <c r="C123" s="26">
        <f>VLOOKUP($B123,'Выгр Торг'!$B:$Q,C$1,0)</f>
        <v>361705</v>
      </c>
      <c r="D123" s="25" t="str">
        <f>VLOOKUP($B123,'Выгр Торг'!$B:$Q,D$1,0)</f>
        <v>Руль R1 с цветными вставками для ВАЗ (Хром)</v>
      </c>
      <c r="E123" s="26" t="str">
        <f>VLOOKUP($B123,'Выгр Торг'!$B:$Q,E$1,0)</f>
        <v>Y</v>
      </c>
      <c r="F123" s="26" t="str">
        <f>VLOOKUP($B123,'Выгр Торг'!$B:$Q,F$1,0)</f>
        <v>1</v>
      </c>
      <c r="G123" s="26">
        <f>VLOOKUP($B123,'Выгр Торг'!$B:$Q,G$1,0)</f>
        <v>0</v>
      </c>
      <c r="H123" s="2" t="s">
        <v>3</v>
      </c>
      <c r="I123" s="34"/>
      <c r="J123" s="34"/>
      <c r="K123" s="41">
        <v>1000</v>
      </c>
      <c r="L123" s="5">
        <f>VLOOKUP(K123,Наценка!$A$1:$G$8,2,1)</f>
        <v>1.3</v>
      </c>
      <c r="M123" s="34">
        <f t="shared" si="48"/>
        <v>1397.8494623655913</v>
      </c>
      <c r="N123" s="39">
        <f t="shared" si="49"/>
        <v>1390</v>
      </c>
      <c r="O123" s="40">
        <f>VLOOKUP($B123,'Выгр Торг'!$B:$Q,O$1,0)</f>
        <v>1000</v>
      </c>
      <c r="P123" s="40">
        <f>VLOOKUP($B123,'Выгр Торг'!$B:$Q,P$1,0)</f>
        <v>1390</v>
      </c>
      <c r="Q123" s="28">
        <f t="shared" si="50"/>
        <v>0</v>
      </c>
      <c r="R123" s="28">
        <f t="shared" si="51"/>
        <v>0</v>
      </c>
      <c r="S123" s="36">
        <f t="shared" si="52"/>
        <v>1292.6999999999998</v>
      </c>
      <c r="T123" s="38" t="str">
        <f>IFERROR((VLOOKUP($B123,'Из Гугла'!$B:$G,6,0)+V123)*U123,VLOOKUP($B123,'Из Гугла'!$B:$G,6,0))</f>
        <v/>
      </c>
      <c r="U123" s="38">
        <v>1</v>
      </c>
      <c r="V123" s="38"/>
      <c r="W123" s="22">
        <f t="shared" si="53"/>
        <v>0.29269999999999974</v>
      </c>
      <c r="X123" s="22" t="str">
        <f t="shared" si="54"/>
        <v/>
      </c>
      <c r="Y123" s="22" t="str">
        <f t="shared" si="55"/>
        <v/>
      </c>
      <c r="Z123" s="9" t="s">
        <v>1269</v>
      </c>
    </row>
    <row r="124" spans="1:26" ht="90" x14ac:dyDescent="0.25">
      <c r="A124" s="23" t="str">
        <f>INDEX('Выгр Торг'!$A:$A,MATCH(B124,'Выгр Торг'!$B:$B,0))</f>
        <v>Светодиодные лампы "LED" S8 H3/H4/H11 для ВАЗ (2101-2107, 2108-21099, 2110-2112, 2113-2115), Лада (Калина, Калина 2, Приора, Приора 2, Гранта, Гранта FL, Веста, XRAY, Нива 4х4, Ларгус), Шевроле Нива</v>
      </c>
      <c r="B124" s="26">
        <v>357809</v>
      </c>
      <c r="C124" s="26">
        <f>VLOOKUP($B124,'Выгр Торг'!$B:$Q,C$1,0)</f>
        <v>357809</v>
      </c>
      <c r="D124" s="25" t="str">
        <f>VLOOKUP($B124,'Выгр Торг'!$B:$Q,D$1,0)</f>
        <v>Светодиодные лампы "LED" S8 H11 для ВАЗ (2101-2107, 2108-21099, 2110-2112, 2113-2115), Лада (Калина, Калина 2, Приора, Приора 2, Гранта, Гранта FL, Веста, XRAY, Нива 4х4, Ларгус), Шевроле Нива</v>
      </c>
      <c r="E124" s="26" t="str">
        <f>VLOOKUP($B124,'Выгр Торг'!$B:$Q,E$1,0)</f>
        <v>Y</v>
      </c>
      <c r="F124" s="26" t="str">
        <f>VLOOKUP($B124,'Выгр Торг'!$B:$Q,F$1,0)</f>
        <v>1</v>
      </c>
      <c r="G124" s="26">
        <f>VLOOKUP($B124,'Выгр Торг'!$B:$Q,G$1,0)</f>
        <v>0</v>
      </c>
      <c r="H124" s="2" t="s">
        <v>3</v>
      </c>
      <c r="I124" s="34"/>
      <c r="J124" s="34"/>
      <c r="K124" s="41">
        <v>850</v>
      </c>
      <c r="L124" s="5">
        <f>VLOOKUP(K124,Наценка!$A$1:$G$8,2,1)</f>
        <v>1.45</v>
      </c>
      <c r="M124" s="34">
        <f t="shared" si="48"/>
        <v>1325.2688172043011</v>
      </c>
      <c r="N124" s="39">
        <f t="shared" si="49"/>
        <v>1390</v>
      </c>
      <c r="O124" s="40">
        <f>VLOOKUP($B124,'Выгр Торг'!$B:$Q,O$1,0)</f>
        <v>850</v>
      </c>
      <c r="P124" s="40">
        <f>VLOOKUP($B124,'Выгр Торг'!$B:$Q,P$1,0)</f>
        <v>1390</v>
      </c>
      <c r="Q124" s="28">
        <f t="shared" si="50"/>
        <v>0</v>
      </c>
      <c r="R124" s="28">
        <f t="shared" si="51"/>
        <v>0</v>
      </c>
      <c r="S124" s="36">
        <f t="shared" si="52"/>
        <v>1292.6999999999998</v>
      </c>
      <c r="T124" s="38" t="str">
        <f>IFERROR((VLOOKUP($B124,'Из Гугла'!$B:$G,6,0)+V124)*U124,VLOOKUP($B124,'Из Гугла'!$B:$G,6,0))</f>
        <v/>
      </c>
      <c r="U124" s="38">
        <v>1</v>
      </c>
      <c r="V124" s="38"/>
      <c r="W124" s="22">
        <f t="shared" si="53"/>
        <v>0.52082352941176446</v>
      </c>
      <c r="X124" s="22" t="str">
        <f t="shared" si="54"/>
        <v/>
      </c>
      <c r="Y124" s="22" t="str">
        <f t="shared" si="55"/>
        <v/>
      </c>
      <c r="Z124" s="9" t="s">
        <v>1269</v>
      </c>
    </row>
    <row r="125" spans="1:26" ht="90" x14ac:dyDescent="0.25">
      <c r="A125" s="23" t="str">
        <f>INDEX('Выгр Торг'!$A:$A,MATCH(B125,'Выгр Торг'!$B:$B,0))</f>
        <v>Светодиодные лампы "LED" S8 H3/H4/H11 для ВАЗ (2101-2107, 2108-21099, 2110-2112, 2113-2115), Лада (Калина, Калина 2, Приора, Приора 2, Гранта, Гранта FL, Веста, XRAY, Нива 4х4, Ларгус), Шевроле Нива</v>
      </c>
      <c r="B125" s="26">
        <v>357808</v>
      </c>
      <c r="C125" s="26">
        <f>VLOOKUP($B125,'Выгр Торг'!$B:$Q,C$1,0)</f>
        <v>357808</v>
      </c>
      <c r="D125" s="25" t="str">
        <f>VLOOKUP($B125,'Выгр Торг'!$B:$Q,D$1,0)</f>
        <v>Светодиодные лампы "LED" S8 H3 для ВАЗ (2101-2107, 2108-21099, 2110-2112, 2113-2115), Лада (Калина, Калина 2, Приора, Приора 2, Гранта, Гранта FL, Веста, XRAY, Нива 4х4, Ларгус), Шевроле Нива</v>
      </c>
      <c r="E125" s="26" t="str">
        <f>VLOOKUP($B125,'Выгр Торг'!$B:$Q,E$1,0)</f>
        <v>Y</v>
      </c>
      <c r="F125" s="26" t="str">
        <f>VLOOKUP($B125,'Выгр Торг'!$B:$Q,F$1,0)</f>
        <v>0</v>
      </c>
      <c r="G125" s="26">
        <f>VLOOKUP($B125,'Выгр Торг'!$B:$Q,G$1,0)</f>
        <v>0</v>
      </c>
      <c r="H125" s="2" t="s">
        <v>3</v>
      </c>
      <c r="I125" s="34"/>
      <c r="J125" s="34"/>
      <c r="K125" s="41">
        <v>950</v>
      </c>
      <c r="L125" s="5">
        <f>VLOOKUP(K125,Наценка!$A$1:$G$8,2,1)</f>
        <v>1.45</v>
      </c>
      <c r="M125" s="34">
        <f t="shared" si="48"/>
        <v>1481.1827956989248</v>
      </c>
      <c r="N125" s="39">
        <f t="shared" si="49"/>
        <v>1490</v>
      </c>
      <c r="O125" s="40">
        <f>VLOOKUP($B125,'Выгр Торг'!$B:$Q,O$1,0)</f>
        <v>950</v>
      </c>
      <c r="P125" s="40">
        <f>VLOOKUP($B125,'Выгр Торг'!$B:$Q,P$1,0)</f>
        <v>1490</v>
      </c>
      <c r="Q125" s="28">
        <f t="shared" si="50"/>
        <v>0</v>
      </c>
      <c r="R125" s="28">
        <f t="shared" si="51"/>
        <v>0</v>
      </c>
      <c r="S125" s="36">
        <f t="shared" si="52"/>
        <v>1385.6999999999998</v>
      </c>
      <c r="T125" s="38" t="str">
        <f>IFERROR((VLOOKUP($B125,'Из Гугла'!$B:$G,6,0)+V125)*U125,VLOOKUP($B125,'Из Гугла'!$B:$G,6,0))</f>
        <v/>
      </c>
      <c r="U125" s="38">
        <v>1</v>
      </c>
      <c r="V125" s="38"/>
      <c r="W125" s="22">
        <f t="shared" si="53"/>
        <v>0.45863157894736828</v>
      </c>
      <c r="X125" s="22" t="str">
        <f t="shared" si="54"/>
        <v/>
      </c>
      <c r="Y125" s="22" t="str">
        <f t="shared" si="55"/>
        <v/>
      </c>
      <c r="Z125" s="9" t="s">
        <v>1269</v>
      </c>
    </row>
    <row r="126" spans="1:26" ht="90" x14ac:dyDescent="0.25">
      <c r="A126" s="23" t="str">
        <f>INDEX('Выгр Торг'!$A:$A,MATCH(B126,'Выгр Торг'!$B:$B,0))</f>
        <v>Светодиодные лампы "LED" S8 H3/H4/H11 для ВАЗ (2101-2107, 2108-21099, 2110-2112, 2113-2115), Лада (Калина, Калина 2, Приора, Приора 2, Гранта, Гранта FL, Веста, XRAY, Нива 4х4, Ларгус), Шевроле Нива</v>
      </c>
      <c r="B126" s="26">
        <v>357807</v>
      </c>
      <c r="C126" s="26">
        <f>VLOOKUP($B126,'Выгр Торг'!$B:$Q,C$1,0)</f>
        <v>357807</v>
      </c>
      <c r="D126" s="25" t="str">
        <f>VLOOKUP($B126,'Выгр Торг'!$B:$Q,D$1,0)</f>
        <v>Светодиодные лампы "LED" S8 H4 для ВАЗ (2101-2107, 2108-21099, 2110-2112, 2113-2115), Лада (Калина, Калина 2, Приора, Приора 2, Гранта, Гранта FL, Веста, XRAY, Нива 4х4, Ларгус), Шевроле Нива</v>
      </c>
      <c r="E126" s="26" t="str">
        <f>VLOOKUP($B126,'Выгр Торг'!$B:$Q,E$1,0)</f>
        <v>Y</v>
      </c>
      <c r="F126" s="26" t="str">
        <f>VLOOKUP($B126,'Выгр Торг'!$B:$Q,F$1,0)</f>
        <v>1</v>
      </c>
      <c r="G126" s="26">
        <f>VLOOKUP($B126,'Выгр Торг'!$B:$Q,G$1,0)</f>
        <v>0</v>
      </c>
      <c r="H126" s="2" t="s">
        <v>3</v>
      </c>
      <c r="I126" s="34"/>
      <c r="J126" s="34"/>
      <c r="K126" s="41">
        <v>900</v>
      </c>
      <c r="L126" s="5">
        <f>VLOOKUP(K126,Наценка!$A$1:$G$8,2,1)</f>
        <v>1.45</v>
      </c>
      <c r="M126" s="34">
        <f t="shared" si="48"/>
        <v>1403.2258064516129</v>
      </c>
      <c r="N126" s="39">
        <f t="shared" si="49"/>
        <v>1490</v>
      </c>
      <c r="O126" s="40">
        <f>VLOOKUP($B126,'Выгр Торг'!$B:$Q,O$1,0)</f>
        <v>900</v>
      </c>
      <c r="P126" s="40">
        <f>VLOOKUP($B126,'Выгр Торг'!$B:$Q,P$1,0)</f>
        <v>1490</v>
      </c>
      <c r="Q126" s="28">
        <f t="shared" si="50"/>
        <v>0</v>
      </c>
      <c r="R126" s="28">
        <f t="shared" si="51"/>
        <v>0</v>
      </c>
      <c r="S126" s="36">
        <f t="shared" si="52"/>
        <v>1385.6999999999998</v>
      </c>
      <c r="T126" s="38" t="str">
        <f>IFERROR((VLOOKUP($B126,'Из Гугла'!$B:$G,6,0)+V126)*U126,VLOOKUP($B126,'Из Гугла'!$B:$G,6,0))</f>
        <v/>
      </c>
      <c r="U126" s="38">
        <v>1</v>
      </c>
      <c r="V126" s="38"/>
      <c r="W126" s="22">
        <f t="shared" si="53"/>
        <v>0.53966666666666652</v>
      </c>
      <c r="X126" s="22" t="str">
        <f t="shared" si="54"/>
        <v/>
      </c>
      <c r="Y126" s="22" t="str">
        <f t="shared" si="55"/>
        <v/>
      </c>
      <c r="Z126" s="9" t="s">
        <v>1269</v>
      </c>
    </row>
    <row r="127" spans="1:26" ht="75" x14ac:dyDescent="0.25">
      <c r="A127" s="23" t="str">
        <f>INDEX('Выгр Торг'!$A:$A,MATCH(B127,'Выгр Торг'!$B:$B,0))</f>
        <v>Светодиодные лампы "LED" С09 H1/H7 для ВАЗ (2103, 2106, 2110-2112), Лада (Калина, Калина 2, Приора, Приора 2, Веста, XRAY), Шевроле Нива</v>
      </c>
      <c r="B127" s="26">
        <v>357507</v>
      </c>
      <c r="C127" s="26">
        <f>VLOOKUP($B127,'Выгр Торг'!$B:$Q,C$1,0)</f>
        <v>357507</v>
      </c>
      <c r="D127" s="25" t="str">
        <f>VLOOKUP($B127,'Выгр Торг'!$B:$Q,D$1,0)</f>
        <v>Светодиодные лампы "LED" С09 H1 для ВАЗ (2103, 2106, 2110-2112), Лада (Калина, Калина 2, Приора, Приора 2, Веста, XRAY), Шевроле Нива</v>
      </c>
      <c r="E127" s="26" t="str">
        <f>VLOOKUP($B127,'Выгр Торг'!$B:$Q,E$1,0)</f>
        <v>Y</v>
      </c>
      <c r="F127" s="26" t="str">
        <f>VLOOKUP($B127,'Выгр Торг'!$B:$Q,F$1,0)</f>
        <v>1</v>
      </c>
      <c r="G127" s="26">
        <f>VLOOKUP($B127,'Выгр Торг'!$B:$Q,G$1,0)</f>
        <v>0</v>
      </c>
      <c r="H127" s="2" t="s">
        <v>3</v>
      </c>
      <c r="I127" s="34"/>
      <c r="J127" s="34"/>
      <c r="K127" s="41">
        <v>700</v>
      </c>
      <c r="L127" s="5">
        <f>VLOOKUP(K127,Наценка!$A$1:$G$8,2,1)</f>
        <v>1.45</v>
      </c>
      <c r="M127" s="34">
        <f t="shared" si="48"/>
        <v>1091.3978494623657</v>
      </c>
      <c r="N127" s="39">
        <f t="shared" si="49"/>
        <v>1090</v>
      </c>
      <c r="O127" s="40">
        <f>VLOOKUP($B127,'Выгр Торг'!$B:$Q,O$1,0)</f>
        <v>700</v>
      </c>
      <c r="P127" s="40">
        <f>VLOOKUP($B127,'Выгр Торг'!$B:$Q,P$1,0)</f>
        <v>1090</v>
      </c>
      <c r="Q127" s="28">
        <f t="shared" si="50"/>
        <v>0</v>
      </c>
      <c r="R127" s="28">
        <f t="shared" si="51"/>
        <v>0</v>
      </c>
      <c r="S127" s="36">
        <f t="shared" si="52"/>
        <v>1013.6999999999999</v>
      </c>
      <c r="T127" s="38" t="str">
        <f>IFERROR((VLOOKUP($B127,'Из Гугла'!$B:$G,6,0)+V127)*U127,VLOOKUP($B127,'Из Гугла'!$B:$G,6,0))</f>
        <v/>
      </c>
      <c r="U127" s="38">
        <v>1</v>
      </c>
      <c r="V127" s="38"/>
      <c r="W127" s="22">
        <f t="shared" si="53"/>
        <v>0.44814285714285695</v>
      </c>
      <c r="X127" s="22" t="str">
        <f t="shared" si="54"/>
        <v/>
      </c>
      <c r="Y127" s="22" t="str">
        <f t="shared" si="55"/>
        <v/>
      </c>
      <c r="Z127" s="9" t="s">
        <v>1269</v>
      </c>
    </row>
    <row r="128" spans="1:26" ht="75" x14ac:dyDescent="0.25">
      <c r="A128" s="23" t="str">
        <f>INDEX('Выгр Торг'!$A:$A,MATCH(B128,'Выгр Торг'!$B:$B,0))</f>
        <v>Светодиодные лампы "LED" С09 H1/H7 для ВАЗ (2103, 2106, 2110-2112), Лада (Калина, Калина 2, Приора, Приора 2, Веста, XRAY), Шевроле Нива</v>
      </c>
      <c r="B128" s="26">
        <v>357508</v>
      </c>
      <c r="C128" s="26">
        <f>VLOOKUP($B128,'Выгр Торг'!$B:$Q,C$1,0)</f>
        <v>357508</v>
      </c>
      <c r="D128" s="25" t="str">
        <f>VLOOKUP($B128,'Выгр Торг'!$B:$Q,D$1,0)</f>
        <v>Светодиодные лампы "LED" С09 H7 для ВАЗ (2103, 2106, 2110-2112), Лада (Калина, Калина 2, Приора, Приора 2, Веста, XRAY), Шевроле Нива</v>
      </c>
      <c r="E128" s="26" t="str">
        <f>VLOOKUP($B128,'Выгр Торг'!$B:$Q,E$1,0)</f>
        <v>Y</v>
      </c>
      <c r="F128" s="26" t="str">
        <f>VLOOKUP($B128,'Выгр Торг'!$B:$Q,F$1,0)</f>
        <v>1ск1</v>
      </c>
      <c r="G128" s="26">
        <f>VLOOKUP($B128,'Выгр Торг'!$B:$Q,G$1,0)</f>
        <v>0</v>
      </c>
      <c r="H128" s="2" t="s">
        <v>3</v>
      </c>
      <c r="I128" s="34"/>
      <c r="J128" s="34"/>
      <c r="K128" s="41">
        <v>700</v>
      </c>
      <c r="L128" s="5">
        <f>VLOOKUP(K128,Наценка!$A$1:$G$8,2,1)</f>
        <v>1.45</v>
      </c>
      <c r="M128" s="34">
        <f t="shared" si="48"/>
        <v>1091.3978494623657</v>
      </c>
      <c r="N128" s="39">
        <f t="shared" si="49"/>
        <v>1090</v>
      </c>
      <c r="O128" s="40">
        <f>VLOOKUP($B128,'Выгр Торг'!$B:$Q,O$1,0)</f>
        <v>700</v>
      </c>
      <c r="P128" s="40">
        <f>VLOOKUP($B128,'Выгр Торг'!$B:$Q,P$1,0)</f>
        <v>1090</v>
      </c>
      <c r="Q128" s="28">
        <f t="shared" si="50"/>
        <v>0</v>
      </c>
      <c r="R128" s="28">
        <f t="shared" si="51"/>
        <v>0</v>
      </c>
      <c r="S128" s="36">
        <f t="shared" si="52"/>
        <v>1013.6999999999999</v>
      </c>
      <c r="T128" s="38" t="str">
        <f>IFERROR((VLOOKUP($B128,'Из Гугла'!$B:$G,6,0)+V128)*U128,VLOOKUP($B128,'Из Гугла'!$B:$G,6,0))</f>
        <v/>
      </c>
      <c r="U128" s="38">
        <v>1</v>
      </c>
      <c r="V128" s="38"/>
      <c r="W128" s="22">
        <f t="shared" si="53"/>
        <v>0.44814285714285695</v>
      </c>
      <c r="X128" s="22" t="str">
        <f t="shared" si="54"/>
        <v/>
      </c>
      <c r="Y128" s="22" t="str">
        <f t="shared" si="55"/>
        <v/>
      </c>
      <c r="Z128" s="9" t="s">
        <v>1269</v>
      </c>
    </row>
    <row r="129" spans="1:27" ht="90" x14ac:dyDescent="0.25">
      <c r="A129" s="23" t="str">
        <f>INDEX('Выгр Торг'!$A:$A,MATCH(B129,'Выгр Торг'!$B:$B,0))</f>
        <v>Светодиодные лампы LED H4/H7 для ВАЗ (2101-2107, 2108-21099, 2113-2115), Лада (Калина, Калина 2, Приора, Приора 2, Гранта, Нива 4x4, Ларгус, Веста, XRAY), Шевроле Нива</v>
      </c>
      <c r="B129" s="26">
        <v>357574</v>
      </c>
      <c r="C129" s="26">
        <f>VLOOKUP($B129,'Выгр Торг'!$B:$Q,C$1,0)</f>
        <v>357574</v>
      </c>
      <c r="D129" s="25" t="str">
        <f>VLOOKUP($B129,'Выгр Торг'!$B:$Q,D$1,0)</f>
        <v>Светодиодные лампы LED H4 для ВАЗ (2101-2107, 2108-21099, 2113-2115), Лада (Калина, Калина 2, Приора, Приора 2, Гранта, Нива 4x4, Ларгус, Веста, XRAY), Шевроле Нива</v>
      </c>
      <c r="E129" s="26" t="str">
        <f>VLOOKUP($B129,'Выгр Торг'!$B:$Q,E$1,0)</f>
        <v>Y</v>
      </c>
      <c r="F129" s="26" t="str">
        <f>VLOOKUP($B129,'Выгр Торг'!$B:$Q,F$1,0)</f>
        <v>1</v>
      </c>
      <c r="G129" s="26">
        <f>VLOOKUP($B129,'Выгр Торг'!$B:$Q,G$1,0)</f>
        <v>0</v>
      </c>
      <c r="H129" s="2" t="s">
        <v>3</v>
      </c>
      <c r="I129" s="34"/>
      <c r="J129" s="34"/>
      <c r="K129" s="41">
        <v>1900</v>
      </c>
      <c r="L129" s="5">
        <f>VLOOKUP(K129,Наценка!$A$1:$G$8,2,1)</f>
        <v>1.3</v>
      </c>
      <c r="M129" s="34">
        <f t="shared" si="48"/>
        <v>2655.9139784946237</v>
      </c>
      <c r="N129" s="39">
        <f t="shared" si="49"/>
        <v>2690</v>
      </c>
      <c r="O129" s="40">
        <f>VLOOKUP($B129,'Выгр Торг'!$B:$Q,O$1,0)</f>
        <v>1900</v>
      </c>
      <c r="P129" s="40">
        <f>VLOOKUP($B129,'Выгр Торг'!$B:$Q,P$1,0)</f>
        <v>2690</v>
      </c>
      <c r="Q129" s="28">
        <f t="shared" si="50"/>
        <v>0</v>
      </c>
      <c r="R129" s="28">
        <f t="shared" si="51"/>
        <v>0</v>
      </c>
      <c r="S129" s="36">
        <f t="shared" si="52"/>
        <v>2501.6999999999998</v>
      </c>
      <c r="T129" s="38" t="str">
        <f>IFERROR((VLOOKUP($B129,'Из Гугла'!$B:$G,6,0)+V129)*U129,VLOOKUP($B129,'Из Гугла'!$B:$G,6,0))</f>
        <v/>
      </c>
      <c r="U129" s="38">
        <v>1</v>
      </c>
      <c r="V129" s="38"/>
      <c r="W129" s="22">
        <f t="shared" si="53"/>
        <v>0.31668421052631568</v>
      </c>
      <c r="X129" s="22" t="str">
        <f t="shared" si="54"/>
        <v/>
      </c>
      <c r="Y129" s="22" t="str">
        <f t="shared" si="55"/>
        <v/>
      </c>
      <c r="Z129" s="9" t="s">
        <v>1269</v>
      </c>
    </row>
    <row r="130" spans="1:27" ht="90" x14ac:dyDescent="0.25">
      <c r="A130" s="23" t="str">
        <f>INDEX('Выгр Торг'!$A:$A,MATCH(B130,'Выгр Торг'!$B:$B,0))</f>
        <v>Светодиодные лампы LED H4/H7 для ВАЗ (2101-2107, 2108-21099, 2113-2115), Лада (Калина, Калина 2, Приора, Приора 2, Гранта, Нива 4x4, Ларгус, Веста, XRAY), Шевроле Нива</v>
      </c>
      <c r="B130" s="26">
        <v>357575</v>
      </c>
      <c r="C130" s="26">
        <f>VLOOKUP($B130,'Выгр Торг'!$B:$Q,C$1,0)</f>
        <v>357575</v>
      </c>
      <c r="D130" s="25" t="str">
        <f>VLOOKUP($B130,'Выгр Торг'!$B:$Q,D$1,0)</f>
        <v>Светодиодные лампы LED H7 для ВАЗ (2101-2107, 2108-21099, 2113-2115), Лада (Калина, Калина 2, Приора, Приора 2, Гранта, Нива 4x4, Ларгус, Веста, XRAY), Шевроле Нива</v>
      </c>
      <c r="E130" s="26" t="str">
        <f>VLOOKUP($B130,'Выгр Торг'!$B:$Q,E$1,0)</f>
        <v>Y</v>
      </c>
      <c r="F130" s="26" t="str">
        <f>VLOOKUP($B130,'Выгр Торг'!$B:$Q,F$1,0)</f>
        <v>1</v>
      </c>
      <c r="G130" s="26">
        <f>VLOOKUP($B130,'Выгр Торг'!$B:$Q,G$1,0)</f>
        <v>0</v>
      </c>
      <c r="H130" s="2" t="s">
        <v>3</v>
      </c>
      <c r="I130" s="34"/>
      <c r="J130" s="34"/>
      <c r="K130" s="41">
        <v>1900</v>
      </c>
      <c r="L130" s="5">
        <f>VLOOKUP(K130,Наценка!$A$1:$G$8,2,1)</f>
        <v>1.3</v>
      </c>
      <c r="M130" s="34">
        <f t="shared" si="48"/>
        <v>2655.9139784946237</v>
      </c>
      <c r="N130" s="39">
        <f t="shared" si="49"/>
        <v>2690</v>
      </c>
      <c r="O130" s="40">
        <f>VLOOKUP($B130,'Выгр Торг'!$B:$Q,O$1,0)</f>
        <v>1900</v>
      </c>
      <c r="P130" s="40">
        <f>VLOOKUP($B130,'Выгр Торг'!$B:$Q,P$1,0)</f>
        <v>2690</v>
      </c>
      <c r="Q130" s="28">
        <f t="shared" si="50"/>
        <v>0</v>
      </c>
      <c r="R130" s="28">
        <f t="shared" si="51"/>
        <v>0</v>
      </c>
      <c r="S130" s="36">
        <f t="shared" si="52"/>
        <v>2501.6999999999998</v>
      </c>
      <c r="T130" s="38" t="str">
        <f>IFERROR((VLOOKUP($B130,'Из Гугла'!$B:$G,6,0)+V130)*U130,VLOOKUP($B130,'Из Гугла'!$B:$G,6,0))</f>
        <v/>
      </c>
      <c r="U130" s="38">
        <v>1</v>
      </c>
      <c r="V130" s="38"/>
      <c r="W130" s="22">
        <f t="shared" si="53"/>
        <v>0.31668421052631568</v>
      </c>
      <c r="X130" s="22" t="str">
        <f t="shared" si="54"/>
        <v/>
      </c>
      <c r="Y130" s="22" t="str">
        <f t="shared" si="55"/>
        <v/>
      </c>
      <c r="Z130" s="9" t="s">
        <v>1269</v>
      </c>
    </row>
    <row r="131" spans="1:27" ht="120" x14ac:dyDescent="0.25">
      <c r="A131" s="23" t="str">
        <f>INDEX('Выгр Торг'!$A:$A,MATCH(B131,'Выгр Торг'!$B:$B,0))</f>
        <v>Светодиодные лампы Super LED C9 H1/H3/H4/H7/H11 (6000К, с вентилятором охлаждения) для ВАЗ (2101-2107, 2108-21099, 2110-2112, 2113-2115), Лада (Калина, Калина 2, Приора, Приора 2, Гранта, Гранта FL, Веста, XRAY, Нива 4х4, Ларгус), Шевроле Нива</v>
      </c>
      <c r="B131" s="26">
        <v>357440</v>
      </c>
      <c r="C131" s="26">
        <f>VLOOKUP($B131,'Выгр Торг'!$B:$Q,C$1,0)</f>
        <v>357440</v>
      </c>
      <c r="D131" s="25" t="str">
        <f>VLOOKUP($B131,'Выгр Торг'!$B:$Q,D$1,0)</f>
        <v>Светодиодные лампы Super LED C9 H1 (6000К, с вентилятором охлаждения) для ВАЗ (2101-2107, 2108-21099, 2110-2112, 2113-2115), Лада (Калина, Калина 2, Приора, Приора 2, Гранта, Гранта FL, Веста, XRAY, Нива 4х4, Ларгус), Шевроле Нива</v>
      </c>
      <c r="E131" s="26" t="str">
        <f>VLOOKUP($B131,'Выгр Торг'!$B:$Q,E$1,0)</f>
        <v>Y</v>
      </c>
      <c r="F131" s="26" t="str">
        <f>VLOOKUP($B131,'Выгр Торг'!$B:$Q,F$1,0)</f>
        <v>1</v>
      </c>
      <c r="G131" s="26">
        <f>VLOOKUP($B131,'Выгр Торг'!$B:$Q,G$1,0)</f>
        <v>0</v>
      </c>
      <c r="H131" s="2" t="s">
        <v>3</v>
      </c>
      <c r="I131" s="34"/>
      <c r="J131" s="34"/>
      <c r="K131" s="41">
        <v>650</v>
      </c>
      <c r="L131" s="5">
        <f>VLOOKUP(K131,Наценка!$A$1:$G$8,2,1)</f>
        <v>1.45</v>
      </c>
      <c r="M131" s="46">
        <v>1090</v>
      </c>
      <c r="N131" s="39">
        <f t="shared" si="49"/>
        <v>1090</v>
      </c>
      <c r="O131" s="40">
        <f>VLOOKUP($B131,'Выгр Торг'!$B:$Q,O$1,0)</f>
        <v>650</v>
      </c>
      <c r="P131" s="40">
        <f>VLOOKUP($B131,'Выгр Торг'!$B:$Q,P$1,0)</f>
        <v>1090</v>
      </c>
      <c r="Q131" s="28">
        <f t="shared" si="50"/>
        <v>0</v>
      </c>
      <c r="R131" s="28">
        <f t="shared" si="51"/>
        <v>0</v>
      </c>
      <c r="S131" s="36">
        <f t="shared" si="52"/>
        <v>1013.6999999999999</v>
      </c>
      <c r="T131" s="38" t="str">
        <f>IFERROR((VLOOKUP($B131,'Из Гугла'!$B:$G,6,0)+V131)*U131,VLOOKUP($B131,'Из Гугла'!$B:$G,6,0))</f>
        <v/>
      </c>
      <c r="U131" s="38">
        <v>1</v>
      </c>
      <c r="V131" s="38"/>
      <c r="W131" s="22">
        <f t="shared" si="53"/>
        <v>0.55953846153846154</v>
      </c>
      <c r="X131" s="22">
        <f t="shared" si="54"/>
        <v>7.7616014558689786E-2</v>
      </c>
      <c r="Y131" s="22">
        <f t="shared" si="55"/>
        <v>0.6907692307692308</v>
      </c>
      <c r="Z131" s="9">
        <v>1099</v>
      </c>
      <c r="AA131" t="s">
        <v>1477</v>
      </c>
    </row>
    <row r="132" spans="1:27" ht="120" x14ac:dyDescent="0.25">
      <c r="A132" s="23" t="str">
        <f>INDEX('Выгр Торг'!$A:$A,MATCH(B132,'Выгр Торг'!$B:$B,0))</f>
        <v>Светодиодные лампы Super LED C9 H1/H3/H4/H7/H11 (6000К, с вентилятором охлаждения) для ВАЗ (2101-2107, 2108-21099, 2110-2112, 2113-2115), Лада (Калина, Калина 2, Приора, Приора 2, Гранта, Гранта FL, Веста, XRAY, Нива 4х4, Ларгус), Шевроле Нива</v>
      </c>
      <c r="B132" s="26">
        <v>357442</v>
      </c>
      <c r="C132" s="26">
        <f>VLOOKUP($B132,'Выгр Торг'!$B:$Q,C$1,0)</f>
        <v>357442</v>
      </c>
      <c r="D132" s="25" t="str">
        <f>VLOOKUP($B132,'Выгр Торг'!$B:$Q,D$1,0)</f>
        <v>Светодиодные лампы Super LED C9 H11 (6000К, с вентилятором охлаждения) для ВАЗ (2101-2107, 2108-21099, 2110-2112, 2113-2115), Лада (Калина, Калина 2, Приора, Приора 2, Гранта, Гранта FL, Веста, XRAY, Нива 4х4, Ларгус), Шевроле Нива</v>
      </c>
      <c r="E132" s="26" t="str">
        <f>VLOOKUP($B132,'Выгр Торг'!$B:$Q,E$1,0)</f>
        <v>Y</v>
      </c>
      <c r="F132" s="26" t="str">
        <f>VLOOKUP($B132,'Выгр Торг'!$B:$Q,F$1,0)</f>
        <v>1</v>
      </c>
      <c r="G132" s="26">
        <f>VLOOKUP($B132,'Выгр Торг'!$B:$Q,G$1,0)</f>
        <v>0</v>
      </c>
      <c r="H132" s="2" t="s">
        <v>3</v>
      </c>
      <c r="I132" s="34"/>
      <c r="J132" s="34"/>
      <c r="K132" s="41">
        <v>650</v>
      </c>
      <c r="L132" s="5">
        <f>VLOOKUP(K132,Наценка!$A$1:$G$8,2,1)</f>
        <v>1.45</v>
      </c>
      <c r="M132" s="46">
        <v>1090</v>
      </c>
      <c r="N132" s="39">
        <f t="shared" si="49"/>
        <v>1090</v>
      </c>
      <c r="O132" s="40">
        <f>VLOOKUP($B132,'Выгр Торг'!$B:$Q,O$1,0)</f>
        <v>650</v>
      </c>
      <c r="P132" s="40">
        <f>VLOOKUP($B132,'Выгр Торг'!$B:$Q,P$1,0)</f>
        <v>1090</v>
      </c>
      <c r="Q132" s="28">
        <f t="shared" si="50"/>
        <v>0</v>
      </c>
      <c r="R132" s="28">
        <f t="shared" si="51"/>
        <v>0</v>
      </c>
      <c r="S132" s="36">
        <f t="shared" si="52"/>
        <v>1013.6999999999999</v>
      </c>
      <c r="T132" s="38" t="str">
        <f>IFERROR((VLOOKUP($B132,'Из Гугла'!$B:$G,6,0)+V132)*U132,VLOOKUP($B132,'Из Гугла'!$B:$G,6,0))</f>
        <v/>
      </c>
      <c r="U132" s="38">
        <v>1</v>
      </c>
      <c r="V132" s="38"/>
      <c r="W132" s="22">
        <f t="shared" si="53"/>
        <v>0.55953846153846154</v>
      </c>
      <c r="X132" s="22">
        <f t="shared" si="54"/>
        <v>7.7616014558689786E-2</v>
      </c>
      <c r="Y132" s="22">
        <f t="shared" si="55"/>
        <v>0.6907692307692308</v>
      </c>
      <c r="Z132" s="9">
        <v>1099</v>
      </c>
      <c r="AA132" t="s">
        <v>1498</v>
      </c>
    </row>
    <row r="133" spans="1:27" ht="120" x14ac:dyDescent="0.25">
      <c r="A133" s="23" t="str">
        <f>INDEX('Выгр Торг'!$A:$A,MATCH(B133,'Выгр Торг'!$B:$B,0))</f>
        <v>Светодиодные лампы Super LED C9 H1/H3/H4/H7/H11 (6000К, с вентилятором охлаждения) для ВАЗ (2101-2107, 2108-21099, 2110-2112, 2113-2115), Лада (Калина, Калина 2, Приора, Приора 2, Гранта, Гранта FL, Веста, XRAY, Нива 4х4, Ларгус), Шевроле Нива</v>
      </c>
      <c r="B133" s="26">
        <v>357452</v>
      </c>
      <c r="C133" s="26">
        <f>VLOOKUP($B133,'Выгр Торг'!$B:$Q,C$1,0)</f>
        <v>357452</v>
      </c>
      <c r="D133" s="25" t="str">
        <f>VLOOKUP($B133,'Выгр Торг'!$B:$Q,D$1,0)</f>
        <v>Светодиодные лампы Super LED C9 H3 (6000К, с вентилятором охлаждения) для ВАЗ (2101-2107, 2108-21099, 2110-2112, 2113-2115), Лада (Калина, Калина 2, Приора, Приора 2, Гранта, Гранта FL, Веста, XRAY, Нива 4х4, Ларгус), Шевроле Нива</v>
      </c>
      <c r="E133" s="26" t="str">
        <f>VLOOKUP($B133,'Выгр Торг'!$B:$Q,E$1,0)</f>
        <v>Y</v>
      </c>
      <c r="F133" s="26" t="str">
        <f>VLOOKUP($B133,'Выгр Торг'!$B:$Q,F$1,0)</f>
        <v>1</v>
      </c>
      <c r="G133" s="26">
        <f>VLOOKUP($B133,'Выгр Торг'!$B:$Q,G$1,0)</f>
        <v>0</v>
      </c>
      <c r="H133" s="2" t="s">
        <v>3</v>
      </c>
      <c r="I133" s="34"/>
      <c r="J133" s="34"/>
      <c r="K133" s="41">
        <v>650</v>
      </c>
      <c r="L133" s="5">
        <f>VLOOKUP(K133,Наценка!$A$1:$G$8,2,1)</f>
        <v>1.45</v>
      </c>
      <c r="M133" s="46">
        <v>1090</v>
      </c>
      <c r="N133" s="39">
        <f t="shared" si="49"/>
        <v>1090</v>
      </c>
      <c r="O133" s="40">
        <f>VLOOKUP($B133,'Выгр Торг'!$B:$Q,O$1,0)</f>
        <v>650</v>
      </c>
      <c r="P133" s="40">
        <f>VLOOKUP($B133,'Выгр Торг'!$B:$Q,P$1,0)</f>
        <v>1090</v>
      </c>
      <c r="Q133" s="28">
        <f t="shared" si="50"/>
        <v>0</v>
      </c>
      <c r="R133" s="28">
        <f t="shared" si="51"/>
        <v>0</v>
      </c>
      <c r="S133" s="36">
        <f t="shared" si="52"/>
        <v>1013.6999999999999</v>
      </c>
      <c r="T133" s="38" t="str">
        <f>IFERROR((VLOOKUP($B133,'Из Гугла'!$B:$G,6,0)+V133)*U133,VLOOKUP($B133,'Из Гугла'!$B:$G,6,0))</f>
        <v/>
      </c>
      <c r="U133" s="38">
        <v>1</v>
      </c>
      <c r="V133" s="38"/>
      <c r="W133" s="22">
        <f t="shared" si="53"/>
        <v>0.55953846153846154</v>
      </c>
      <c r="X133" s="22">
        <f t="shared" si="54"/>
        <v>7.7616014558689786E-2</v>
      </c>
      <c r="Y133" s="22">
        <f t="shared" si="55"/>
        <v>0.6907692307692308</v>
      </c>
      <c r="Z133" s="9">
        <v>1099</v>
      </c>
      <c r="AA133" t="s">
        <v>1499</v>
      </c>
    </row>
    <row r="134" spans="1:27" ht="120" x14ac:dyDescent="0.25">
      <c r="A134" s="23" t="str">
        <f>INDEX('Выгр Торг'!$A:$A,MATCH(B134,'Выгр Торг'!$B:$B,0))</f>
        <v>Светодиодные лампы Super LED C9 H1/H3/H4/H7/H11 (6000К, с вентилятором охлаждения) для ВАЗ (2101-2107, 2108-21099, 2110-2112, 2113-2115), Лада (Калина, Калина 2, Приора, Приора 2, Гранта, Гранта FL, Веста, XRAY, Нива 4х4, Ларгус), Шевроле Нива</v>
      </c>
      <c r="B134" s="26">
        <v>357439</v>
      </c>
      <c r="C134" s="26">
        <f>VLOOKUP($B134,'Выгр Торг'!$B:$Q,C$1,0)</f>
        <v>357439</v>
      </c>
      <c r="D134" s="25" t="str">
        <f>VLOOKUP($B134,'Выгр Торг'!$B:$Q,D$1,0)</f>
        <v>Светодиодные лампы Super LED C9 H4 (6000К, с вентилятором охлаждения) для ВАЗ (2101-2107, 2108-21099, 2110-2112, 2113-2115), Лада (Калина, Калина 2, Приора, Приора 2, Гранта, Гранта FL, Веста, XRAY, Нива 4х4, Ларгус), Шевроле Нива</v>
      </c>
      <c r="E134" s="26" t="str">
        <f>VLOOKUP($B134,'Выгр Торг'!$B:$Q,E$1,0)</f>
        <v>Y</v>
      </c>
      <c r="F134" s="26" t="str">
        <f>VLOOKUP($B134,'Выгр Торг'!$B:$Q,F$1,0)</f>
        <v>1ск1</v>
      </c>
      <c r="G134" s="26">
        <f>VLOOKUP($B134,'Выгр Торг'!$B:$Q,G$1,0)</f>
        <v>0</v>
      </c>
      <c r="H134" s="2" t="s">
        <v>3</v>
      </c>
      <c r="I134" s="34"/>
      <c r="J134" s="34"/>
      <c r="K134" s="41">
        <v>750</v>
      </c>
      <c r="L134" s="5">
        <f>VLOOKUP(K134,Наценка!$A$1:$G$8,2,1)</f>
        <v>1.45</v>
      </c>
      <c r="M134" s="46">
        <f>Z134*1.04</f>
        <v>1350.96</v>
      </c>
      <c r="N134" s="39">
        <f t="shared" si="49"/>
        <v>1390</v>
      </c>
      <c r="O134" s="40">
        <f>VLOOKUP($B134,'Выгр Торг'!$B:$Q,O$1,0)</f>
        <v>750</v>
      </c>
      <c r="P134" s="40">
        <f>VLOOKUP($B134,'Выгр Торг'!$B:$Q,P$1,0)</f>
        <v>1390</v>
      </c>
      <c r="Q134" s="28">
        <f t="shared" si="50"/>
        <v>0</v>
      </c>
      <c r="R134" s="28">
        <f t="shared" si="51"/>
        <v>0</v>
      </c>
      <c r="S134" s="36">
        <f t="shared" si="52"/>
        <v>1292.6999999999998</v>
      </c>
      <c r="T134" s="38" t="str">
        <f>IFERROR((VLOOKUP($B134,'Из Гугла'!$B:$G,6,0)+V134)*U134,VLOOKUP($B134,'Из Гугла'!$B:$G,6,0))</f>
        <v/>
      </c>
      <c r="U134" s="38">
        <v>1</v>
      </c>
      <c r="V134" s="38"/>
      <c r="W134" s="22">
        <f t="shared" si="53"/>
        <v>0.7235999999999998</v>
      </c>
      <c r="X134" s="22">
        <f t="shared" si="54"/>
        <v>4.8498845265590312E-3</v>
      </c>
      <c r="Y134" s="22">
        <f t="shared" si="55"/>
        <v>0.73199999999999998</v>
      </c>
      <c r="Z134" s="9">
        <v>1299</v>
      </c>
      <c r="AA134" t="s">
        <v>1500</v>
      </c>
    </row>
    <row r="135" spans="1:27" ht="120" x14ac:dyDescent="0.25">
      <c r="A135" s="23" t="str">
        <f>INDEX('Выгр Торг'!$A:$A,MATCH(B135,'Выгр Торг'!$B:$B,0))</f>
        <v>Светодиодные лампы Super LED C9 H1/H3/H4/H7/H11 (6000К, с вентилятором охлаждения) для ВАЗ (2101-2107, 2108-21099, 2110-2112, 2113-2115), Лада (Калина, Калина 2, Приора, Приора 2, Гранта, Гранта FL, Веста, XRAY, Нива 4х4, Ларгус), Шевроле Нива</v>
      </c>
      <c r="B135" s="26">
        <v>357441</v>
      </c>
      <c r="C135" s="26">
        <f>VLOOKUP($B135,'Выгр Торг'!$B:$Q,C$1,0)</f>
        <v>357441</v>
      </c>
      <c r="D135" s="25" t="str">
        <f>VLOOKUP($B135,'Выгр Торг'!$B:$Q,D$1,0)</f>
        <v>Светодиодные лампы Super LED C9 H7 (6000К, с вентилятором охлаждения) для ВАЗ (2101-2107, 2108-21099, 2110-2112, 2113-2115), Лада (Калина, Калина 2, Приора, Приора 2, Гранта, Гранта FL, Веста, XRAY, Нива 4х4, Ларгус), Шевроле Нива</v>
      </c>
      <c r="E135" s="26" t="str">
        <f>VLOOKUP($B135,'Выгр Торг'!$B:$Q,E$1,0)</f>
        <v>Y</v>
      </c>
      <c r="F135" s="26" t="str">
        <f>VLOOKUP($B135,'Выгр Торг'!$B:$Q,F$1,0)</f>
        <v>1</v>
      </c>
      <c r="G135" s="26">
        <f>VLOOKUP($B135,'Выгр Торг'!$B:$Q,G$1,0)</f>
        <v>0</v>
      </c>
      <c r="H135" s="2" t="s">
        <v>3</v>
      </c>
      <c r="I135" s="34"/>
      <c r="J135" s="34"/>
      <c r="K135" s="41">
        <v>650</v>
      </c>
      <c r="L135" s="5">
        <f>VLOOKUP(K135,Наценка!$A$1:$G$8,2,1)</f>
        <v>1.45</v>
      </c>
      <c r="M135" s="46">
        <f>Z135*1.04</f>
        <v>1350.96</v>
      </c>
      <c r="N135" s="39">
        <f t="shared" si="49"/>
        <v>1390</v>
      </c>
      <c r="O135" s="40">
        <f>VLOOKUP($B135,'Выгр Торг'!$B:$Q,O$1,0)</f>
        <v>650</v>
      </c>
      <c r="P135" s="40">
        <f>VLOOKUP($B135,'Выгр Торг'!$B:$Q,P$1,0)</f>
        <v>1390</v>
      </c>
      <c r="Q135" s="28">
        <f t="shared" si="50"/>
        <v>0</v>
      </c>
      <c r="R135" s="28">
        <f t="shared" si="51"/>
        <v>0</v>
      </c>
      <c r="S135" s="36">
        <f t="shared" si="52"/>
        <v>1292.6999999999998</v>
      </c>
      <c r="T135" s="38" t="str">
        <f>IFERROR((VLOOKUP($B135,'Из Гугла'!$B:$G,6,0)+V135)*U135,VLOOKUP($B135,'Из Гугла'!$B:$G,6,0))</f>
        <v/>
      </c>
      <c r="U135" s="38">
        <v>1</v>
      </c>
      <c r="V135" s="38"/>
      <c r="W135" s="22">
        <f t="shared" si="53"/>
        <v>0.9887692307692304</v>
      </c>
      <c r="X135" s="22">
        <f t="shared" si="54"/>
        <v>4.8498845265590312E-3</v>
      </c>
      <c r="Y135" s="22">
        <f t="shared" si="55"/>
        <v>0.99846153846153851</v>
      </c>
      <c r="Z135" s="9">
        <v>1299</v>
      </c>
      <c r="AA135" t="s">
        <v>1501</v>
      </c>
    </row>
    <row r="136" spans="1:27" ht="60" x14ac:dyDescent="0.25">
      <c r="A136" s="23" t="str">
        <f>INDEX('Выгр Торг'!$A:$A,MATCH(B136,'Выгр Торг'!$B:$B,0))</f>
        <v>Светодиодные лампы Y9 mini LED H11 для Лада Калина, Калина 2, Приора, Приора 2, Гранта</v>
      </c>
      <c r="B136" s="26">
        <v>357428</v>
      </c>
      <c r="C136" s="26">
        <f>VLOOKUP($B136,'Выгр Торг'!$B:$Q,C$1,0)</f>
        <v>357428</v>
      </c>
      <c r="D136" s="25" t="str">
        <f>VLOOKUP($B136,'Выгр Торг'!$B:$Q,D$1,0)</f>
        <v>Светодиодные лампы Y9 mini LED H11 для Лада (Калина, Калина 2, Приора, Приора 2, Гранта, Веста, XRAY), Шевроле Нива</v>
      </c>
      <c r="E136" s="26" t="str">
        <f>VLOOKUP($B136,'Выгр Торг'!$B:$Q,E$1,0)</f>
        <v>Y</v>
      </c>
      <c r="F136" s="26" t="str">
        <f>VLOOKUP($B136,'Выгр Торг'!$B:$Q,F$1,0)</f>
        <v>1</v>
      </c>
      <c r="G136" s="26">
        <f>VLOOKUP($B136,'Выгр Торг'!$B:$Q,G$1,0)</f>
        <v>0</v>
      </c>
      <c r="H136" s="2" t="s">
        <v>3</v>
      </c>
      <c r="I136" s="34"/>
      <c r="J136" s="34"/>
      <c r="K136" s="41">
        <v>3200</v>
      </c>
      <c r="L136" s="5">
        <f>VLOOKUP(K136,Наценка!$A$1:$G$8,2,1)</f>
        <v>1.27</v>
      </c>
      <c r="M136" s="34">
        <f t="shared" si="48"/>
        <v>4369.8924731182797</v>
      </c>
      <c r="N136" s="39">
        <f t="shared" si="49"/>
        <v>4390</v>
      </c>
      <c r="O136" s="40">
        <f>VLOOKUP($B136,'Выгр Торг'!$B:$Q,O$1,0)</f>
        <v>3200</v>
      </c>
      <c r="P136" s="40">
        <f>VLOOKUP($B136,'Выгр Торг'!$B:$Q,P$1,0)</f>
        <v>4390</v>
      </c>
      <c r="Q136" s="28">
        <f t="shared" si="50"/>
        <v>0</v>
      </c>
      <c r="R136" s="28">
        <f t="shared" si="51"/>
        <v>0</v>
      </c>
      <c r="S136" s="36">
        <f t="shared" si="52"/>
        <v>4082.7</v>
      </c>
      <c r="T136" s="38" t="str">
        <f>IFERROR((VLOOKUP($B136,'Из Гугла'!$B:$G,6,0)+V136)*U136,VLOOKUP($B136,'Из Гугла'!$B:$G,6,0))</f>
        <v/>
      </c>
      <c r="U136" s="38">
        <v>1</v>
      </c>
      <c r="V136" s="38"/>
      <c r="W136" s="22">
        <f t="shared" si="53"/>
        <v>0.27584374999999994</v>
      </c>
      <c r="X136" s="22" t="str">
        <f t="shared" si="54"/>
        <v/>
      </c>
      <c r="Y136" s="22" t="str">
        <f t="shared" si="55"/>
        <v/>
      </c>
      <c r="Z136" s="9" t="s">
        <v>1269</v>
      </c>
    </row>
    <row r="137" spans="1:27" ht="60" x14ac:dyDescent="0.25">
      <c r="A137" s="23" t="str">
        <f>INDEX('Выгр Торг'!$A:$A,MATCH(B137,'Выгр Торг'!$B:$B,0))</f>
        <v>Светодиодные лампы Y9 mini LED H11 для Лада Калина, Калина 2, Приора, Приора 2, Гранта</v>
      </c>
      <c r="B137" s="26">
        <v>357427</v>
      </c>
      <c r="C137" s="26">
        <f>VLOOKUP($B137,'Выгр Торг'!$B:$Q,C$1,0)</f>
        <v>357427</v>
      </c>
      <c r="D137" s="25" t="str">
        <f>VLOOKUP($B137,'Выгр Торг'!$B:$Q,D$1,0)</f>
        <v>Светодиодные лампы Y9 mini LED H7 для Лада (Калина, Калина 2, Приора, Приора 2, Гранта, Веста, XRAY), Шевроле Нива</v>
      </c>
      <c r="E137" s="26" t="str">
        <f>VLOOKUP($B137,'Выгр Торг'!$B:$Q,E$1,0)</f>
        <v>Y</v>
      </c>
      <c r="F137" s="26" t="str">
        <f>VLOOKUP($B137,'Выгр Торг'!$B:$Q,F$1,0)</f>
        <v>1</v>
      </c>
      <c r="G137" s="26">
        <f>VLOOKUP($B137,'Выгр Торг'!$B:$Q,G$1,0)</f>
        <v>0</v>
      </c>
      <c r="H137" s="2" t="s">
        <v>3</v>
      </c>
      <c r="I137" s="34"/>
      <c r="J137" s="34"/>
      <c r="K137" s="41">
        <v>3200</v>
      </c>
      <c r="L137" s="5">
        <f>VLOOKUP(K137,Наценка!$A$1:$G$8,2,1)</f>
        <v>1.27</v>
      </c>
      <c r="M137" s="34">
        <f t="shared" si="48"/>
        <v>4369.8924731182797</v>
      </c>
      <c r="N137" s="39">
        <f t="shared" si="49"/>
        <v>4390</v>
      </c>
      <c r="O137" s="40">
        <f>VLOOKUP($B137,'Выгр Торг'!$B:$Q,O$1,0)</f>
        <v>3200</v>
      </c>
      <c r="P137" s="40">
        <f>VLOOKUP($B137,'Выгр Торг'!$B:$Q,P$1,0)</f>
        <v>4390</v>
      </c>
      <c r="Q137" s="28">
        <f t="shared" si="50"/>
        <v>0</v>
      </c>
      <c r="R137" s="28">
        <f t="shared" si="51"/>
        <v>0</v>
      </c>
      <c r="S137" s="36">
        <f t="shared" si="52"/>
        <v>4082.7</v>
      </c>
      <c r="T137" s="38" t="str">
        <f>IFERROR((VLOOKUP($B137,'Из Гугла'!$B:$G,6,0)+V137)*U137,VLOOKUP($B137,'Из Гугла'!$B:$G,6,0))</f>
        <v/>
      </c>
      <c r="U137" s="38">
        <v>1</v>
      </c>
      <c r="V137" s="38"/>
      <c r="W137" s="22">
        <f t="shared" si="53"/>
        <v>0.27584374999999994</v>
      </c>
      <c r="X137" s="22" t="str">
        <f t="shared" si="54"/>
        <v/>
      </c>
      <c r="Y137" s="22" t="str">
        <f t="shared" si="55"/>
        <v/>
      </c>
      <c r="Z137" s="9" t="s">
        <v>1269</v>
      </c>
    </row>
    <row r="138" spans="1:27" ht="60" x14ac:dyDescent="0.25">
      <c r="A138" s="23" t="str">
        <f>INDEX('Выгр Торг'!$A:$A,MATCH(B138,'Выгр Торг'!$B:$B,0))</f>
        <v>Светодиодные лампы Y9 mini LED H11 для Лада Калина, Калина 2, Приора, Приора 2, Гранта</v>
      </c>
      <c r="B138" s="26">
        <v>357429</v>
      </c>
      <c r="C138" s="26">
        <f>VLOOKUP($B138,'Выгр Торг'!$B:$Q,C$1,0)</f>
        <v>357429</v>
      </c>
      <c r="D138" s="25" t="str">
        <f>VLOOKUP($B138,'Выгр Торг'!$B:$Q,D$1,0)</f>
        <v>Светодиодные лампы Y9 mini LED HB3 для Лада (Калина, Калина 2, Приора, Приора 2, Гранта, Веста, XRAY), Шевроле Нива</v>
      </c>
      <c r="E138" s="26" t="str">
        <f>VLOOKUP($B138,'Выгр Торг'!$B:$Q,E$1,0)</f>
        <v>Y</v>
      </c>
      <c r="F138" s="26" t="str">
        <f>VLOOKUP($B138,'Выгр Торг'!$B:$Q,F$1,0)</f>
        <v>1</v>
      </c>
      <c r="G138" s="26">
        <f>VLOOKUP($B138,'Выгр Торг'!$B:$Q,G$1,0)</f>
        <v>0</v>
      </c>
      <c r="H138" s="2" t="s">
        <v>3</v>
      </c>
      <c r="I138" s="34"/>
      <c r="J138" s="34"/>
      <c r="K138" s="41">
        <v>3200</v>
      </c>
      <c r="L138" s="5">
        <f>VLOOKUP(K138,Наценка!$A$1:$G$8,2,1)</f>
        <v>1.27</v>
      </c>
      <c r="M138" s="34">
        <f t="shared" si="48"/>
        <v>4369.8924731182797</v>
      </c>
      <c r="N138" s="39">
        <f t="shared" si="49"/>
        <v>4390</v>
      </c>
      <c r="O138" s="40">
        <f>VLOOKUP($B138,'Выгр Торг'!$B:$Q,O$1,0)</f>
        <v>3200</v>
      </c>
      <c r="P138" s="40">
        <f>VLOOKUP($B138,'Выгр Торг'!$B:$Q,P$1,0)</f>
        <v>4390</v>
      </c>
      <c r="Q138" s="28">
        <f t="shared" si="50"/>
        <v>0</v>
      </c>
      <c r="R138" s="28">
        <f t="shared" si="51"/>
        <v>0</v>
      </c>
      <c r="S138" s="36">
        <f t="shared" si="52"/>
        <v>4082.7</v>
      </c>
      <c r="T138" s="38" t="str">
        <f>IFERROR((VLOOKUP($B138,'Из Гугла'!$B:$G,6,0)+V138)*U138,VLOOKUP($B138,'Из Гугла'!$B:$G,6,0))</f>
        <v/>
      </c>
      <c r="U138" s="38">
        <v>1</v>
      </c>
      <c r="V138" s="38"/>
      <c r="W138" s="22">
        <f t="shared" si="53"/>
        <v>0.27584374999999994</v>
      </c>
      <c r="X138" s="22" t="str">
        <f t="shared" si="54"/>
        <v/>
      </c>
      <c r="Y138" s="22" t="str">
        <f t="shared" si="55"/>
        <v/>
      </c>
      <c r="Z138" s="9" t="s">
        <v>1269</v>
      </c>
    </row>
    <row r="139" spans="1:27" ht="60" x14ac:dyDescent="0.25">
      <c r="A139" s="23" t="str">
        <f>INDEX('Выгр Торг'!$A:$A,MATCH(B139,'Выгр Торг'!$B:$B,0))</f>
        <v>Светодиодные лампы Y9 mini LED H11 для Лада Калина, Калина 2, Приора, Приора 2, Гранта</v>
      </c>
      <c r="B139" s="26">
        <v>357426</v>
      </c>
      <c r="C139" s="26">
        <f>VLOOKUP($B139,'Выгр Торг'!$B:$Q,C$1,0)</f>
        <v>357426</v>
      </c>
      <c r="D139" s="25" t="str">
        <f>VLOOKUP($B139,'Выгр Торг'!$B:$Q,D$1,0)</f>
        <v>Светодиодные лампы Y9 mini LED HB4 для Лада (Калина, Калина 2, Приора, Приора 2, Гранта, Веста, XRAY), Шевроле Нива</v>
      </c>
      <c r="E139" s="26" t="str">
        <f>VLOOKUP($B139,'Выгр Торг'!$B:$Q,E$1,0)</f>
        <v>Y</v>
      </c>
      <c r="F139" s="26" t="str">
        <f>VLOOKUP($B139,'Выгр Торг'!$B:$Q,F$1,0)</f>
        <v>1</v>
      </c>
      <c r="G139" s="26">
        <f>VLOOKUP($B139,'Выгр Торг'!$B:$Q,G$1,0)</f>
        <v>0</v>
      </c>
      <c r="H139" s="2" t="s">
        <v>3</v>
      </c>
      <c r="I139" s="34"/>
      <c r="J139" s="34"/>
      <c r="K139" s="41">
        <v>3200</v>
      </c>
      <c r="L139" s="5">
        <f>VLOOKUP(K139,Наценка!$A$1:$G$8,2,1)</f>
        <v>1.27</v>
      </c>
      <c r="M139" s="34">
        <f t="shared" si="48"/>
        <v>4369.8924731182797</v>
      </c>
      <c r="N139" s="39">
        <f t="shared" si="49"/>
        <v>4390</v>
      </c>
      <c r="O139" s="40">
        <f>VLOOKUP($B139,'Выгр Торг'!$B:$Q,O$1,0)</f>
        <v>3200</v>
      </c>
      <c r="P139" s="40">
        <f>VLOOKUP($B139,'Выгр Торг'!$B:$Q,P$1,0)</f>
        <v>4390</v>
      </c>
      <c r="Q139" s="28">
        <f t="shared" si="50"/>
        <v>0</v>
      </c>
      <c r="R139" s="28">
        <f t="shared" si="51"/>
        <v>0</v>
      </c>
      <c r="S139" s="36">
        <f t="shared" si="52"/>
        <v>4082.7</v>
      </c>
      <c r="T139" s="38" t="str">
        <f>IFERROR((VLOOKUP($B139,'Из Гугла'!$B:$G,6,0)+V139)*U139,VLOOKUP($B139,'Из Гугла'!$B:$G,6,0))</f>
        <v/>
      </c>
      <c r="U139" s="38">
        <v>1</v>
      </c>
      <c r="V139" s="38"/>
      <c r="W139" s="22">
        <f t="shared" si="53"/>
        <v>0.27584374999999994</v>
      </c>
      <c r="X139" s="22" t="str">
        <f t="shared" si="54"/>
        <v/>
      </c>
      <c r="Y139" s="22" t="str">
        <f t="shared" si="55"/>
        <v/>
      </c>
      <c r="Z139" s="9" t="s">
        <v>1269</v>
      </c>
    </row>
    <row r="140" spans="1:27" ht="30" x14ac:dyDescent="0.25">
      <c r="A140" s="23" t="str">
        <f>INDEX('Выгр Торг'!$A:$A,MATCH(B140,'Выгр Торг'!$B:$B,0))</f>
        <v>Декоративные накладки «Жабры» на кузов автомобиля</v>
      </c>
      <c r="B140" s="26">
        <v>363991</v>
      </c>
      <c r="C140" s="26">
        <f>VLOOKUP($B140,'Выгр Торг'!$B:$Q,C$1,0)</f>
        <v>363991</v>
      </c>
      <c r="D140" s="25" t="str">
        <f>VLOOKUP($B140,'Выгр Торг'!$B:$Q,D$1,0)</f>
        <v>Декоративные накладки «Жабры» на кузов автомобиля (Красный)</v>
      </c>
      <c r="E140" s="26" t="str">
        <f>VLOOKUP($B140,'Выгр Торг'!$B:$Q,E$1,0)</f>
        <v>Y</v>
      </c>
      <c r="F140" s="26" t="str">
        <f>VLOOKUP($B140,'Выгр Торг'!$B:$Q,F$1,0)</f>
        <v>1</v>
      </c>
      <c r="G140" s="26">
        <f>VLOOKUP($B140,'Выгр Торг'!$B:$Q,G$1,0)</f>
        <v>0</v>
      </c>
      <c r="H140" s="2" t="s">
        <v>3</v>
      </c>
      <c r="I140" s="34"/>
      <c r="J140" s="34"/>
      <c r="K140" s="41">
        <v>100</v>
      </c>
      <c r="L140" s="5">
        <f>VLOOKUP(K140,Наценка!$A$1:$G$8,2,1)</f>
        <v>3.2</v>
      </c>
      <c r="M140" s="45">
        <f>Z140*1.03</f>
        <v>328.57</v>
      </c>
      <c r="N140" s="39">
        <f t="shared" ref="N140" si="56">IF(M140&lt;=1000,(ROUNDUP(M140,-1)-1),(ROUNDUP(M140,-2)-10))</f>
        <v>329</v>
      </c>
      <c r="O140" s="40">
        <f>VLOOKUP($B140,'Выгр Торг'!$B:$Q,O$1,0)</f>
        <v>100</v>
      </c>
      <c r="P140" s="40">
        <f>VLOOKUP($B140,'Выгр Торг'!$B:$Q,P$1,0)</f>
        <v>319</v>
      </c>
      <c r="Q140" s="28">
        <f t="shared" ref="Q140" si="57">O140-K140</f>
        <v>0</v>
      </c>
      <c r="R140" s="28">
        <f t="shared" ref="R140" si="58">P140-N140</f>
        <v>-10</v>
      </c>
      <c r="S140" s="36">
        <f t="shared" ref="S140" si="59">IFERROR(N140*(1-$S$2),"")</f>
        <v>305.96999999999997</v>
      </c>
      <c r="T140" s="38" t="e">
        <f>IFERROR((VLOOKUP($B140,'Из Гугла'!$B:$G,6,0)+V140)*U140,VLOOKUP($B140,'Из Гугла'!$B:$G,6,0))</f>
        <v>#N/A</v>
      </c>
      <c r="U140" s="38">
        <v>1</v>
      </c>
      <c r="V140" s="38"/>
      <c r="W140" s="22">
        <f t="shared" ref="W140" si="60">IFERROR(S140/K140-1,"")</f>
        <v>2.0596999999999999</v>
      </c>
      <c r="X140" s="22">
        <f t="shared" ref="X140" si="61">IFERROR((Z140-S140)/Z140,"")</f>
        <v>4.0846394984326115E-2</v>
      </c>
      <c r="Y140" s="22">
        <f t="shared" ref="Y140" si="62">IFERROR(IF(Z140="","",Z140/K140-1),"")</f>
        <v>2.19</v>
      </c>
      <c r="Z140" s="9">
        <v>319</v>
      </c>
      <c r="AA140" t="s">
        <v>904</v>
      </c>
    </row>
    <row r="141" spans="1:27" ht="30" x14ac:dyDescent="0.25">
      <c r="A141" s="23" t="str">
        <f>INDEX('Выгр Торг'!$A:$A,MATCH(B141,'Выгр Торг'!$B:$B,0))</f>
        <v>Декоративные накладки «Жабры» на кузов автомобиля</v>
      </c>
      <c r="B141" s="26">
        <v>363992</v>
      </c>
      <c r="C141" s="26">
        <f>VLOOKUP($B141,'Выгр Торг'!$B:$Q,C$1,0)</f>
        <v>363992</v>
      </c>
      <c r="D141" s="25" t="str">
        <f>VLOOKUP($B141,'Выгр Торг'!$B:$Q,D$1,0)</f>
        <v>Декоративные накладки «Жабры» на кузов автомобиля (Серебро)</v>
      </c>
      <c r="E141" s="26" t="str">
        <f>VLOOKUP($B141,'Выгр Торг'!$B:$Q,E$1,0)</f>
        <v>Y</v>
      </c>
      <c r="F141" s="26" t="str">
        <f>VLOOKUP($B141,'Выгр Торг'!$B:$Q,F$1,0)</f>
        <v>1</v>
      </c>
      <c r="G141" s="26">
        <f>VLOOKUP($B141,'Выгр Торг'!$B:$Q,G$1,0)</f>
        <v>0</v>
      </c>
      <c r="H141" s="2" t="s">
        <v>3</v>
      </c>
      <c r="I141" s="34"/>
      <c r="J141" s="34"/>
      <c r="K141" s="41">
        <v>100</v>
      </c>
      <c r="L141" s="5">
        <f>VLOOKUP(K141,Наценка!$A$1:$G$8,2,1)</f>
        <v>3.2</v>
      </c>
      <c r="M141" s="45">
        <v>329</v>
      </c>
      <c r="N141" s="39">
        <f t="shared" ref="N141:N147" si="63">IF(M141&lt;=1000,(ROUNDUP(M141,-1)-1),(ROUNDUP(M141,-2)-10))</f>
        <v>329</v>
      </c>
      <c r="O141" s="40">
        <f>VLOOKUP($B141,'Выгр Торг'!$B:$Q,O$1,0)</f>
        <v>100</v>
      </c>
      <c r="P141" s="40">
        <f>VLOOKUP($B141,'Выгр Торг'!$B:$Q,P$1,0)</f>
        <v>319</v>
      </c>
      <c r="Q141" s="28">
        <f t="shared" ref="Q141:Q147" si="64">O141-K141</f>
        <v>0</v>
      </c>
      <c r="R141" s="28">
        <f t="shared" ref="R141:R147" si="65">P141-N141</f>
        <v>-10</v>
      </c>
      <c r="S141" s="36">
        <f t="shared" ref="S141:S147" si="66">IFERROR(N141*(1-$S$2),"")</f>
        <v>305.96999999999997</v>
      </c>
      <c r="T141" s="38" t="e">
        <f>IFERROR((VLOOKUP($B141,'Из Гугла'!$B:$G,6,0)+V141)*U141,VLOOKUP($B141,'Из Гугла'!$B:$G,6,0))</f>
        <v>#N/A</v>
      </c>
      <c r="U141" s="38">
        <v>1</v>
      </c>
      <c r="V141" s="38"/>
      <c r="W141" s="22">
        <f t="shared" ref="W141:W147" si="67">IFERROR(S141/K141-1,"")</f>
        <v>2.0596999999999999</v>
      </c>
      <c r="X141" s="22" t="str">
        <f t="shared" ref="X141:X147" si="68">IFERROR((Z141-S141)/Z141,"")</f>
        <v/>
      </c>
      <c r="Y141" s="22" t="str">
        <f t="shared" ref="Y141:Y147" si="69">IFERROR(IF(Z141="","",Z141/K141-1),"")</f>
        <v/>
      </c>
      <c r="Z141" s="9" t="s">
        <v>1531</v>
      </c>
    </row>
    <row r="142" spans="1:27" ht="30" x14ac:dyDescent="0.25">
      <c r="A142" s="23" t="str">
        <f>INDEX('Выгр Торг'!$A:$A,MATCH(B142,'Выгр Торг'!$B:$B,0))</f>
        <v>Декоративные накладки «Жабры» на кузов автомобиля</v>
      </c>
      <c r="B142" s="26">
        <v>363993</v>
      </c>
      <c r="C142" s="26">
        <f>VLOOKUP($B142,'Выгр Торг'!$B:$Q,C$1,0)</f>
        <v>363993</v>
      </c>
      <c r="D142" s="25" t="str">
        <f>VLOOKUP($B142,'Выгр Торг'!$B:$Q,D$1,0)</f>
        <v>Декоративные накладки «Жабры» на кузов автомобиля (Синий)</v>
      </c>
      <c r="E142" s="26" t="str">
        <f>VLOOKUP($B142,'Выгр Торг'!$B:$Q,E$1,0)</f>
        <v>Y</v>
      </c>
      <c r="F142" s="26" t="str">
        <f>VLOOKUP($B142,'Выгр Торг'!$B:$Q,F$1,0)</f>
        <v>1</v>
      </c>
      <c r="G142" s="26">
        <f>VLOOKUP($B142,'Выгр Торг'!$B:$Q,G$1,0)</f>
        <v>0</v>
      </c>
      <c r="H142" s="2" t="s">
        <v>3</v>
      </c>
      <c r="I142" s="34"/>
      <c r="J142" s="34"/>
      <c r="K142" s="41">
        <v>100</v>
      </c>
      <c r="L142" s="5">
        <f>VLOOKUP(K142,Наценка!$A$1:$G$8,2,1)</f>
        <v>3.2</v>
      </c>
      <c r="M142" s="45">
        <f>Z142*1.03</f>
        <v>328.57</v>
      </c>
      <c r="N142" s="39">
        <f t="shared" si="63"/>
        <v>329</v>
      </c>
      <c r="O142" s="40">
        <f>VLOOKUP($B142,'Выгр Торг'!$B:$Q,O$1,0)</f>
        <v>100</v>
      </c>
      <c r="P142" s="40">
        <f>VLOOKUP($B142,'Выгр Торг'!$B:$Q,P$1,0)</f>
        <v>319</v>
      </c>
      <c r="Q142" s="28">
        <f t="shared" si="64"/>
        <v>0</v>
      </c>
      <c r="R142" s="28">
        <f t="shared" si="65"/>
        <v>-10</v>
      </c>
      <c r="S142" s="36">
        <f t="shared" si="66"/>
        <v>305.96999999999997</v>
      </c>
      <c r="T142" s="38" t="e">
        <f>IFERROR((VLOOKUP($B142,'Из Гугла'!$B:$G,6,0)+V142)*U142,VLOOKUP($B142,'Из Гугла'!$B:$G,6,0))</f>
        <v>#N/A</v>
      </c>
      <c r="U142" s="38">
        <v>1</v>
      </c>
      <c r="V142" s="38"/>
      <c r="W142" s="22">
        <f t="shared" si="67"/>
        <v>2.0596999999999999</v>
      </c>
      <c r="X142" s="22">
        <f t="shared" si="68"/>
        <v>4.0846394984326115E-2</v>
      </c>
      <c r="Y142" s="22">
        <f t="shared" si="69"/>
        <v>2.19</v>
      </c>
      <c r="Z142" s="9">
        <v>319</v>
      </c>
      <c r="AA142" t="s">
        <v>903</v>
      </c>
    </row>
    <row r="143" spans="1:27" ht="30" x14ac:dyDescent="0.25">
      <c r="A143" s="23" t="str">
        <f>INDEX('Выгр Торг'!$A:$A,MATCH(B143,'Выгр Торг'!$B:$B,0))</f>
        <v>Спойлеры с диодом на дворники</v>
      </c>
      <c r="B143" s="26">
        <v>363400</v>
      </c>
      <c r="C143" s="26">
        <f>VLOOKUP($B143,'Выгр Торг'!$B:$Q,C$1,0)</f>
        <v>10041</v>
      </c>
      <c r="D143" s="25" t="str">
        <f>VLOOKUP($B143,'Выгр Торг'!$B:$Q,D$1,0)</f>
        <v>Спойлеры с диодом на дворники (Cеребристый)</v>
      </c>
      <c r="E143" s="26" t="str">
        <f>VLOOKUP($B143,'Выгр Торг'!$B:$Q,E$1,0)</f>
        <v>Y</v>
      </c>
      <c r="F143" s="26" t="str">
        <f>VLOOKUP($B143,'Выгр Торг'!$B:$Q,F$1,0)</f>
        <v>1</v>
      </c>
      <c r="G143" s="26">
        <f>VLOOKUP($B143,'Выгр Торг'!$B:$Q,G$1,0)</f>
        <v>0</v>
      </c>
      <c r="H143" s="2" t="s">
        <v>3</v>
      </c>
      <c r="I143" s="34"/>
      <c r="J143" s="34"/>
      <c r="K143" s="41">
        <v>100</v>
      </c>
      <c r="L143" s="5">
        <f>VLOOKUP(K143,Наценка!$A$1:$G$8,2,1)</f>
        <v>3.2</v>
      </c>
      <c r="M143" s="45">
        <v>329</v>
      </c>
      <c r="N143" s="39">
        <f t="shared" si="63"/>
        <v>329</v>
      </c>
      <c r="O143" s="40">
        <f>VLOOKUP($B143,'Выгр Торг'!$B:$Q,O$1,0)</f>
        <v>100</v>
      </c>
      <c r="P143" s="40">
        <f>VLOOKUP($B143,'Выгр Торг'!$B:$Q,P$1,0)</f>
        <v>319</v>
      </c>
      <c r="Q143" s="28">
        <f t="shared" si="64"/>
        <v>0</v>
      </c>
      <c r="R143" s="28">
        <f t="shared" si="65"/>
        <v>-10</v>
      </c>
      <c r="S143" s="36">
        <f t="shared" si="66"/>
        <v>305.96999999999997</v>
      </c>
      <c r="T143" s="38" t="e">
        <f>IFERROR((VLOOKUP($B143,'Из Гугла'!$B:$G,6,0)+V143)*U143,VLOOKUP($B143,'Из Гугла'!$B:$G,6,0))</f>
        <v>#N/A</v>
      </c>
      <c r="U143" s="38">
        <v>1</v>
      </c>
      <c r="V143" s="38"/>
      <c r="W143" s="22">
        <f t="shared" si="67"/>
        <v>2.0596999999999999</v>
      </c>
      <c r="X143" s="22" t="str">
        <f t="shared" si="68"/>
        <v/>
      </c>
      <c r="Y143" s="22" t="str">
        <f t="shared" si="69"/>
        <v/>
      </c>
      <c r="Z143" s="9" t="s">
        <v>1531</v>
      </c>
    </row>
    <row r="144" spans="1:27" ht="30" x14ac:dyDescent="0.25">
      <c r="A144" s="23" t="str">
        <f>INDEX('Выгр Торг'!$A:$A,MATCH(B144,'Выгр Торг'!$B:$B,0))</f>
        <v>Спойлеры с диодом на дворники</v>
      </c>
      <c r="B144" s="26">
        <v>363408</v>
      </c>
      <c r="C144" s="26">
        <f>VLOOKUP($B144,'Выгр Торг'!$B:$Q,C$1,0)</f>
        <v>10040</v>
      </c>
      <c r="D144" s="25" t="str">
        <f>VLOOKUP($B144,'Выгр Торг'!$B:$Q,D$1,0)</f>
        <v>Спойлеры с диодом на дворники (Красный)</v>
      </c>
      <c r="E144" s="26" t="str">
        <f>VLOOKUP($B144,'Выгр Торг'!$B:$Q,E$1,0)</f>
        <v>Y</v>
      </c>
      <c r="F144" s="26" t="str">
        <f>VLOOKUP($B144,'Выгр Торг'!$B:$Q,F$1,0)</f>
        <v>1</v>
      </c>
      <c r="G144" s="26">
        <f>VLOOKUP($B144,'Выгр Торг'!$B:$Q,G$1,0)</f>
        <v>0</v>
      </c>
      <c r="H144" s="2" t="s">
        <v>3</v>
      </c>
      <c r="I144" s="34"/>
      <c r="J144" s="34"/>
      <c r="K144" s="41">
        <v>200</v>
      </c>
      <c r="L144" s="5">
        <f>VLOOKUP(K144,Наценка!$A$1:$G$8,2,1)</f>
        <v>2.1</v>
      </c>
      <c r="M144" s="45">
        <f t="shared" ref="M144:M147" si="70">Z144*1.03</f>
        <v>328.57</v>
      </c>
      <c r="N144" s="39">
        <f t="shared" si="63"/>
        <v>329</v>
      </c>
      <c r="O144" s="40">
        <f>VLOOKUP($B144,'Выгр Торг'!$B:$Q,O$1,0)</f>
        <v>200</v>
      </c>
      <c r="P144" s="40">
        <f>VLOOKUP($B144,'Выгр Торг'!$B:$Q,P$1,0)</f>
        <v>339</v>
      </c>
      <c r="Q144" s="28">
        <f t="shared" si="64"/>
        <v>0</v>
      </c>
      <c r="R144" s="28">
        <f t="shared" si="65"/>
        <v>10</v>
      </c>
      <c r="S144" s="36">
        <f t="shared" si="66"/>
        <v>305.96999999999997</v>
      </c>
      <c r="T144" s="38" t="e">
        <f>IFERROR((VLOOKUP($B144,'Из Гугла'!$B:$G,6,0)+V144)*U144,VLOOKUP($B144,'Из Гугла'!$B:$G,6,0))</f>
        <v>#N/A</v>
      </c>
      <c r="U144" s="38">
        <v>1</v>
      </c>
      <c r="V144" s="38"/>
      <c r="W144" s="22">
        <f t="shared" si="67"/>
        <v>0.52984999999999993</v>
      </c>
      <c r="X144" s="22">
        <f t="shared" si="68"/>
        <v>4.0846394984326115E-2</v>
      </c>
      <c r="Y144" s="22">
        <f t="shared" si="69"/>
        <v>0.59499999999999997</v>
      </c>
      <c r="Z144" s="9">
        <v>319</v>
      </c>
      <c r="AA144" t="s">
        <v>1457</v>
      </c>
    </row>
    <row r="145" spans="1:27" ht="30" x14ac:dyDescent="0.25">
      <c r="A145" s="23" t="str">
        <f>INDEX('Выгр Торг'!$A:$A,MATCH(B145,'Выгр Торг'!$B:$B,0))</f>
        <v>Спойлеры с диодом на дворники</v>
      </c>
      <c r="B145" s="26">
        <v>363399</v>
      </c>
      <c r="C145" s="26">
        <f>VLOOKUP($B145,'Выгр Торг'!$B:$Q,C$1,0)</f>
        <v>10042</v>
      </c>
      <c r="D145" s="25" t="str">
        <f>VLOOKUP($B145,'Выгр Торг'!$B:$Q,D$1,0)</f>
        <v>Спойлеры с диодом на дворники (Синий)</v>
      </c>
      <c r="E145" s="26" t="str">
        <f>VLOOKUP($B145,'Выгр Торг'!$B:$Q,E$1,0)</f>
        <v>Y</v>
      </c>
      <c r="F145" s="26" t="str">
        <f>VLOOKUP($B145,'Выгр Торг'!$B:$Q,F$1,0)</f>
        <v>1</v>
      </c>
      <c r="G145" s="26">
        <f>VLOOKUP($B145,'Выгр Торг'!$B:$Q,G$1,0)</f>
        <v>0</v>
      </c>
      <c r="H145" s="2" t="s">
        <v>3</v>
      </c>
      <c r="I145" s="34"/>
      <c r="J145" s="34"/>
      <c r="K145" s="41">
        <v>100</v>
      </c>
      <c r="L145" s="5">
        <f>VLOOKUP(K145,Наценка!$A$1:$G$8,2,1)</f>
        <v>3.2</v>
      </c>
      <c r="M145" s="45">
        <f t="shared" si="70"/>
        <v>328.57</v>
      </c>
      <c r="N145" s="39">
        <f t="shared" si="63"/>
        <v>329</v>
      </c>
      <c r="O145" s="40">
        <f>VLOOKUP($B145,'Выгр Торг'!$B:$Q,O$1,0)</f>
        <v>100</v>
      </c>
      <c r="P145" s="40">
        <f>VLOOKUP($B145,'Выгр Торг'!$B:$Q,P$1,0)</f>
        <v>319</v>
      </c>
      <c r="Q145" s="28">
        <f t="shared" si="64"/>
        <v>0</v>
      </c>
      <c r="R145" s="28">
        <f t="shared" si="65"/>
        <v>-10</v>
      </c>
      <c r="S145" s="36">
        <f t="shared" si="66"/>
        <v>305.96999999999997</v>
      </c>
      <c r="T145" s="38" t="e">
        <f>IFERROR((VLOOKUP($B145,'Из Гугла'!$B:$G,6,0)+V145)*U145,VLOOKUP($B145,'Из Гугла'!$B:$G,6,0))</f>
        <v>#N/A</v>
      </c>
      <c r="U145" s="38">
        <v>1</v>
      </c>
      <c r="V145" s="38"/>
      <c r="W145" s="22">
        <f t="shared" si="67"/>
        <v>2.0596999999999999</v>
      </c>
      <c r="X145" s="22">
        <f t="shared" si="68"/>
        <v>4.0846394984326115E-2</v>
      </c>
      <c r="Y145" s="22">
        <f t="shared" si="69"/>
        <v>2.19</v>
      </c>
      <c r="Z145" s="9">
        <v>319</v>
      </c>
      <c r="AA145" t="s">
        <v>905</v>
      </c>
    </row>
    <row r="146" spans="1:27" ht="30" x14ac:dyDescent="0.25">
      <c r="A146" s="23" t="str">
        <f>INDEX('Выгр Торг'!$A:$A,MATCH(B146,'Выгр Торг'!$B:$B,0))</f>
        <v>Спойлеры с диодом на дворники</v>
      </c>
      <c r="B146" s="26">
        <v>363401</v>
      </c>
      <c r="C146" s="26">
        <f>VLOOKUP($B146,'Выгр Торг'!$B:$Q,C$1,0)</f>
        <v>10043</v>
      </c>
      <c r="D146" s="25" t="str">
        <f>VLOOKUP($B146,'Выгр Торг'!$B:$Q,D$1,0)</f>
        <v>Спойлеры с диодом на дворники (Хром)</v>
      </c>
      <c r="E146" s="26" t="str">
        <f>VLOOKUP($B146,'Выгр Торг'!$B:$Q,E$1,0)</f>
        <v>Y</v>
      </c>
      <c r="F146" s="26" t="str">
        <f>VLOOKUP($B146,'Выгр Торг'!$B:$Q,F$1,0)</f>
        <v>1</v>
      </c>
      <c r="G146" s="26">
        <f>VLOOKUP($B146,'Выгр Торг'!$B:$Q,G$1,0)</f>
        <v>0</v>
      </c>
      <c r="H146" s="2" t="s">
        <v>3</v>
      </c>
      <c r="I146" s="34"/>
      <c r="J146" s="34"/>
      <c r="K146" s="41">
        <v>100</v>
      </c>
      <c r="L146" s="5">
        <f>VLOOKUP(K146,Наценка!$A$1:$G$8,2,1)</f>
        <v>3.2</v>
      </c>
      <c r="M146" s="45">
        <f t="shared" si="70"/>
        <v>328.57</v>
      </c>
      <c r="N146" s="39">
        <f t="shared" si="63"/>
        <v>329</v>
      </c>
      <c r="O146" s="40">
        <f>VLOOKUP($B146,'Выгр Торг'!$B:$Q,O$1,0)</f>
        <v>100</v>
      </c>
      <c r="P146" s="40">
        <f>VLOOKUP($B146,'Выгр Торг'!$B:$Q,P$1,0)</f>
        <v>319</v>
      </c>
      <c r="Q146" s="28">
        <f t="shared" si="64"/>
        <v>0</v>
      </c>
      <c r="R146" s="28">
        <f t="shared" si="65"/>
        <v>-10</v>
      </c>
      <c r="S146" s="36">
        <f t="shared" si="66"/>
        <v>305.96999999999997</v>
      </c>
      <c r="T146" s="38" t="e">
        <f>IFERROR((VLOOKUP($B146,'Из Гугла'!$B:$G,6,0)+V146)*U146,VLOOKUP($B146,'Из Гугла'!$B:$G,6,0))</f>
        <v>#N/A</v>
      </c>
      <c r="U146" s="38">
        <v>1</v>
      </c>
      <c r="V146" s="38"/>
      <c r="W146" s="22">
        <f t="shared" si="67"/>
        <v>2.0596999999999999</v>
      </c>
      <c r="X146" s="22">
        <f t="shared" si="68"/>
        <v>4.0846394984326115E-2</v>
      </c>
      <c r="Y146" s="22">
        <f t="shared" si="69"/>
        <v>2.19</v>
      </c>
      <c r="Z146" s="9">
        <v>319</v>
      </c>
      <c r="AA146" t="s">
        <v>906</v>
      </c>
    </row>
    <row r="147" spans="1:27" ht="30" x14ac:dyDescent="0.25">
      <c r="A147" s="23" t="str">
        <f>INDEX('Выгр Торг'!$A:$A,MATCH(B147,'Выгр Торг'!$B:$B,0))</f>
        <v>Спойлеры с диодом на дворники</v>
      </c>
      <c r="B147" s="26">
        <v>363415</v>
      </c>
      <c r="C147" s="26">
        <f>VLOOKUP($B147,'Выгр Торг'!$B:$Q,C$1,0)</f>
        <v>10039</v>
      </c>
      <c r="D147" s="25" t="str">
        <f>VLOOKUP($B147,'Выгр Торг'!$B:$Q,D$1,0)</f>
        <v>Спойлеры с диодом на дворники (Черный карбон)</v>
      </c>
      <c r="E147" s="26" t="str">
        <f>VLOOKUP($B147,'Выгр Торг'!$B:$Q,E$1,0)</f>
        <v>Y</v>
      </c>
      <c r="F147" s="26" t="str">
        <f>VLOOKUP($B147,'Выгр Торг'!$B:$Q,F$1,0)</f>
        <v>1</v>
      </c>
      <c r="G147" s="26">
        <f>VLOOKUP($B147,'Выгр Торг'!$B:$Q,G$1,0)</f>
        <v>0</v>
      </c>
      <c r="H147" s="2" t="s">
        <v>3</v>
      </c>
      <c r="I147" s="34"/>
      <c r="J147" s="34"/>
      <c r="K147" s="41">
        <v>100</v>
      </c>
      <c r="L147" s="5">
        <f>VLOOKUP(K147,Наценка!$A$1:$G$8,2,1)</f>
        <v>3.2</v>
      </c>
      <c r="M147" s="45">
        <f t="shared" si="70"/>
        <v>328.57</v>
      </c>
      <c r="N147" s="39">
        <f t="shared" si="63"/>
        <v>329</v>
      </c>
      <c r="O147" s="40">
        <f>VLOOKUP($B147,'Выгр Торг'!$B:$Q,O$1,0)</f>
        <v>100</v>
      </c>
      <c r="P147" s="40">
        <f>VLOOKUP($B147,'Выгр Торг'!$B:$Q,P$1,0)</f>
        <v>319</v>
      </c>
      <c r="Q147" s="28">
        <f t="shared" si="64"/>
        <v>0</v>
      </c>
      <c r="R147" s="28">
        <f t="shared" si="65"/>
        <v>-10</v>
      </c>
      <c r="S147" s="36">
        <f t="shared" si="66"/>
        <v>305.96999999999997</v>
      </c>
      <c r="T147" s="38" t="e">
        <f>IFERROR((VLOOKUP($B147,'Из Гугла'!$B:$G,6,0)+V147)*U147,VLOOKUP($B147,'Из Гугла'!$B:$G,6,0))</f>
        <v>#N/A</v>
      </c>
      <c r="U147" s="38">
        <v>1</v>
      </c>
      <c r="V147" s="38"/>
      <c r="W147" s="22">
        <f t="shared" si="67"/>
        <v>2.0596999999999999</v>
      </c>
      <c r="X147" s="22">
        <f t="shared" si="68"/>
        <v>4.0846394984326115E-2</v>
      </c>
      <c r="Y147" s="22">
        <f t="shared" si="69"/>
        <v>2.19</v>
      </c>
      <c r="Z147" s="9">
        <v>319</v>
      </c>
      <c r="AA147" t="s">
        <v>738</v>
      </c>
    </row>
    <row r="148" spans="1:27" x14ac:dyDescent="0.25">
      <c r="A148"/>
      <c r="I148"/>
      <c r="J148"/>
    </row>
    <row r="149" spans="1:27" x14ac:dyDescent="0.25">
      <c r="A149"/>
      <c r="I149"/>
      <c r="J149"/>
    </row>
    <row r="150" spans="1:27" x14ac:dyDescent="0.25">
      <c r="A150"/>
      <c r="I150"/>
      <c r="J150"/>
    </row>
    <row r="152" spans="1:27" x14ac:dyDescent="0.25">
      <c r="M152" s="51">
        <f t="shared" si="47"/>
        <v>0</v>
      </c>
    </row>
    <row r="153" spans="1:27" x14ac:dyDescent="0.25">
      <c r="M153" s="45">
        <f>Z153*1.03</f>
        <v>0</v>
      </c>
    </row>
    <row r="154" spans="1:27" x14ac:dyDescent="0.25">
      <c r="M154" s="46">
        <f>Z154*1.04</f>
        <v>0</v>
      </c>
    </row>
    <row r="155" spans="1:27" x14ac:dyDescent="0.25">
      <c r="M155" s="47">
        <f>Z155*1.05</f>
        <v>0</v>
      </c>
    </row>
    <row r="156" spans="1:27" x14ac:dyDescent="0.25">
      <c r="M156" s="48">
        <f>Z156*1.06</f>
        <v>0</v>
      </c>
    </row>
    <row r="157" spans="1:27" x14ac:dyDescent="0.25">
      <c r="M157" s="49">
        <f>Z157*1.07</f>
        <v>0</v>
      </c>
    </row>
    <row r="158" spans="1:27" x14ac:dyDescent="0.25">
      <c r="M158" s="50">
        <f>Z158*1.07</f>
        <v>0</v>
      </c>
    </row>
  </sheetData>
  <autoFilter ref="A2:AA139" xr:uid="{BDC3DF6A-19FA-4D3A-9DB3-F09A5A88E715}"/>
  <conditionalFormatting sqref="D3:D147">
    <cfRule type="expression" dxfId="18" priority="7">
      <formula>OR(E3="N",F3="0")</formula>
    </cfRule>
  </conditionalFormatting>
  <conditionalFormatting sqref="X3:X147">
    <cfRule type="cellIs" dxfId="17" priority="4" operator="lessThan">
      <formula>0</formula>
    </cfRule>
  </conditionalFormatting>
  <conditionalFormatting sqref="Y3:Y147 W3:W147">
    <cfRule type="cellIs" dxfId="16" priority="3" operator="lessThan">
      <formula>0.15</formula>
    </cfRule>
  </conditionalFormatting>
  <conditionalFormatting sqref="T2:T147">
    <cfRule type="expression" dxfId="15" priority="2">
      <formula>VALUE(T2)&lt;&gt;Z2</formula>
    </cfRule>
  </conditionalFormatting>
  <conditionalFormatting sqref="B3:B147">
    <cfRule type="expression" dxfId="14" priority="1">
      <formula>AND($R3=0,$Q3=0)</formula>
    </cfRule>
  </conditionalFormatting>
  <hyperlinks>
    <hyperlink ref="Z94" r:id="rId1" display="https://motorring.ru/product/11863-nakladki-pedali-type-chernye" xr:uid="{C341284F-1592-4E1E-99FA-EEE3B8FA6DAE}"/>
    <hyperlink ref="Z92" r:id="rId2" display="https://motorring.ru/product/11862-nakladki-pedali-type-sinie-kvadratnym-rezinovym-protektorom" xr:uid="{817C24E0-A389-4015-8615-5690DF4804F0}"/>
    <hyperlink ref="Z95" r:id="rId3" display="https://motorring.ru/product/11858-nakladki-pedali-type-serebristo-krasnye" xr:uid="{74B01B86-BBA5-4CF4-86AD-F9ABF4F36E42}"/>
    <hyperlink ref="Z96" r:id="rId4" display="https://motorring.ru/product/11855-nakladki-pedali-type-serebristo-sinie" xr:uid="{DA08EAA1-83D8-4F45-B092-E7EC53B50533}"/>
    <hyperlink ref="Z97" r:id="rId5" display="https://motorring.ru/product/11857-nakladki-pedali-type-serebristo-chernye" xr:uid="{A6DA3264-B11A-4626-95ED-1FF65A5689ED}"/>
  </hyperlinks>
  <pageMargins left="0.75" right="0.75" top="1" bottom="1" header="0.5" footer="0.5"/>
  <pageSetup paperSize="9" orientation="portrait" verticalDpi="0" r:id="rId6"/>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Лист2"/>
  <dimension ref="A1:P28"/>
  <sheetViews>
    <sheetView workbookViewId="0">
      <selection activeCell="J16" sqref="J16"/>
    </sheetView>
  </sheetViews>
  <sheetFormatPr defaultRowHeight="15" x14ac:dyDescent="0.25"/>
  <cols>
    <col min="16" max="16" width="34.28515625" bestFit="1" customWidth="1"/>
  </cols>
  <sheetData>
    <row r="1" spans="1:16" x14ac:dyDescent="0.25">
      <c r="A1" s="3">
        <v>0.1</v>
      </c>
      <c r="B1" s="10">
        <v>3.2</v>
      </c>
      <c r="F1" s="3">
        <v>0.1</v>
      </c>
      <c r="G1" s="3">
        <v>2</v>
      </c>
    </row>
    <row r="2" spans="1:16" x14ac:dyDescent="0.25">
      <c r="A2" s="3">
        <v>101</v>
      </c>
      <c r="B2" s="10">
        <v>2.1</v>
      </c>
      <c r="D2" t="s">
        <v>945</v>
      </c>
      <c r="E2" s="18">
        <f>MIN(Кат!T:T)</f>
        <v>0.1066999999999998</v>
      </c>
      <c r="F2" s="3">
        <v>100</v>
      </c>
      <c r="G2" s="3">
        <v>1.8</v>
      </c>
      <c r="J2" t="s">
        <v>285</v>
      </c>
      <c r="N2" t="s">
        <v>284</v>
      </c>
    </row>
    <row r="3" spans="1:16" x14ac:dyDescent="0.25">
      <c r="A3" s="4">
        <v>300</v>
      </c>
      <c r="B3" s="10">
        <v>1.75</v>
      </c>
      <c r="D3" t="s">
        <v>946</v>
      </c>
      <c r="E3" s="18">
        <f>MAX(Кат!T:T)</f>
        <v>2.7153499999999995</v>
      </c>
      <c r="F3" s="4">
        <v>300</v>
      </c>
      <c r="G3" s="4">
        <v>1.6</v>
      </c>
      <c r="J3">
        <v>15000</v>
      </c>
      <c r="K3">
        <f>VLOOKUP(J3,$A$1:$B$8,2,1)</f>
        <v>1.32</v>
      </c>
      <c r="N3">
        <f>K3*J3</f>
        <v>19800</v>
      </c>
      <c r="P3" t="s">
        <v>899</v>
      </c>
    </row>
    <row r="4" spans="1:16" x14ac:dyDescent="0.25">
      <c r="A4" s="4">
        <v>500</v>
      </c>
      <c r="B4" s="10">
        <v>1.45</v>
      </c>
      <c r="F4" s="4">
        <v>500</v>
      </c>
      <c r="G4" s="4">
        <v>1.55</v>
      </c>
      <c r="J4" s="15">
        <v>15000</v>
      </c>
      <c r="K4" s="15">
        <f>VLOOKUP(J4,$F$11:$G$18,2,1)</f>
        <v>1.27</v>
      </c>
      <c r="L4" s="15">
        <f>K4*100/93</f>
        <v>1.3655913978494623</v>
      </c>
      <c r="M4" s="15"/>
      <c r="N4" s="15">
        <f>J4*L4</f>
        <v>20483.870967741936</v>
      </c>
      <c r="O4" s="15"/>
      <c r="P4" s="15" t="s">
        <v>897</v>
      </c>
    </row>
    <row r="5" spans="1:16" x14ac:dyDescent="0.25">
      <c r="A5" s="4">
        <v>1000</v>
      </c>
      <c r="B5" s="10">
        <v>1.3</v>
      </c>
      <c r="F5" s="4">
        <v>1000</v>
      </c>
      <c r="G5" s="4">
        <v>1.5</v>
      </c>
      <c r="J5">
        <v>15000</v>
      </c>
      <c r="K5">
        <f>VLOOKUP(J5,$F$11:$G$18,2,1)</f>
        <v>1.27</v>
      </c>
      <c r="L5">
        <f>K5*100/93</f>
        <v>1.3655913978494623</v>
      </c>
      <c r="M5">
        <f>L5*0.89</f>
        <v>1.2153763440860215</v>
      </c>
      <c r="N5">
        <f>M5*J5</f>
        <v>18230.645161290322</v>
      </c>
      <c r="P5" t="s">
        <v>898</v>
      </c>
    </row>
    <row r="6" spans="1:16" x14ac:dyDescent="0.25">
      <c r="A6" s="4">
        <v>2000</v>
      </c>
      <c r="B6" s="10">
        <v>1.27</v>
      </c>
      <c r="F6" s="4">
        <v>2000</v>
      </c>
      <c r="G6" s="4">
        <v>1.4</v>
      </c>
      <c r="I6" t="s">
        <v>285</v>
      </c>
      <c r="J6" s="16" t="s">
        <v>900</v>
      </c>
      <c r="K6" s="17" t="s">
        <v>901</v>
      </c>
      <c r="L6" s="17" t="s">
        <v>902</v>
      </c>
    </row>
    <row r="7" spans="1:16" x14ac:dyDescent="0.25">
      <c r="A7" s="4">
        <v>5000</v>
      </c>
      <c r="B7" s="10">
        <v>1.31</v>
      </c>
      <c r="F7" s="4">
        <v>5000</v>
      </c>
      <c r="G7" s="4">
        <v>1.35</v>
      </c>
      <c r="I7">
        <v>15000</v>
      </c>
      <c r="J7">
        <f>15000*1.27</f>
        <v>19050</v>
      </c>
      <c r="K7">
        <f>J7*100/93</f>
        <v>20483.870967741936</v>
      </c>
      <c r="L7">
        <f>K7*0.89</f>
        <v>18230.645161290322</v>
      </c>
    </row>
    <row r="8" spans="1:16" x14ac:dyDescent="0.25">
      <c r="A8" s="4">
        <v>10000</v>
      </c>
      <c r="B8" s="10">
        <v>1.32</v>
      </c>
      <c r="F8" s="4">
        <v>10000</v>
      </c>
      <c r="G8" s="4">
        <v>1.3</v>
      </c>
    </row>
    <row r="10" spans="1:16" x14ac:dyDescent="0.25">
      <c r="A10" t="s">
        <v>944</v>
      </c>
    </row>
    <row r="11" spans="1:16" x14ac:dyDescent="0.25">
      <c r="A11" s="3">
        <v>0.1</v>
      </c>
      <c r="B11" s="10">
        <v>1.9</v>
      </c>
      <c r="F11" s="3">
        <v>0.1</v>
      </c>
      <c r="G11" s="10">
        <v>1.97</v>
      </c>
    </row>
    <row r="12" spans="1:16" x14ac:dyDescent="0.25">
      <c r="A12" s="3">
        <v>100</v>
      </c>
      <c r="B12" s="10">
        <v>1.9</v>
      </c>
      <c r="F12" s="3">
        <v>100</v>
      </c>
      <c r="G12" s="10">
        <v>1.77</v>
      </c>
    </row>
    <row r="13" spans="1:16" x14ac:dyDescent="0.25">
      <c r="A13" s="4">
        <v>300</v>
      </c>
      <c r="B13" s="10">
        <v>1.7</v>
      </c>
      <c r="F13" s="4">
        <v>300</v>
      </c>
      <c r="G13" s="10">
        <v>1.57</v>
      </c>
    </row>
    <row r="14" spans="1:16" x14ac:dyDescent="0.25">
      <c r="A14" s="4">
        <v>500</v>
      </c>
      <c r="B14" s="10">
        <v>1.4</v>
      </c>
      <c r="F14" s="4">
        <v>500</v>
      </c>
      <c r="G14" s="10">
        <v>1.52</v>
      </c>
    </row>
    <row r="15" spans="1:16" x14ac:dyDescent="0.25">
      <c r="A15" s="4">
        <v>1000</v>
      </c>
      <c r="B15" s="10">
        <v>1.35</v>
      </c>
      <c r="F15" s="4">
        <v>1000</v>
      </c>
      <c r="G15" s="10">
        <v>1.47</v>
      </c>
    </row>
    <row r="16" spans="1:16" x14ac:dyDescent="0.25">
      <c r="A16" s="4">
        <v>2000</v>
      </c>
      <c r="B16" s="10">
        <v>1.2</v>
      </c>
      <c r="F16" s="4">
        <v>2000</v>
      </c>
      <c r="G16" s="10">
        <v>1.3699999999999999</v>
      </c>
    </row>
    <row r="17" spans="1:7" x14ac:dyDescent="0.25">
      <c r="A17" s="4">
        <v>5000</v>
      </c>
      <c r="B17" s="10">
        <v>1.2</v>
      </c>
      <c r="F17" s="4">
        <v>5000</v>
      </c>
      <c r="G17" s="10">
        <v>1.32</v>
      </c>
    </row>
    <row r="18" spans="1:7" x14ac:dyDescent="0.25">
      <c r="A18" s="4">
        <v>10000</v>
      </c>
      <c r="B18" s="10">
        <v>1.2</v>
      </c>
      <c r="F18" s="4">
        <v>10000</v>
      </c>
      <c r="G18" s="10">
        <v>1.27</v>
      </c>
    </row>
    <row r="21" spans="1:7" x14ac:dyDescent="0.25">
      <c r="A21" s="3">
        <v>0.1</v>
      </c>
      <c r="B21" s="10">
        <v>1.9</v>
      </c>
    </row>
    <row r="22" spans="1:7" x14ac:dyDescent="0.25">
      <c r="A22" s="3">
        <v>100</v>
      </c>
      <c r="B22" s="10">
        <v>1.7</v>
      </c>
    </row>
    <row r="23" spans="1:7" x14ac:dyDescent="0.25">
      <c r="A23" s="4">
        <v>300</v>
      </c>
      <c r="B23" s="10">
        <v>1.5</v>
      </c>
    </row>
    <row r="24" spans="1:7" x14ac:dyDescent="0.25">
      <c r="A24" s="4">
        <v>500</v>
      </c>
      <c r="B24" s="10">
        <v>1.45</v>
      </c>
    </row>
    <row r="25" spans="1:7" x14ac:dyDescent="0.25">
      <c r="A25" s="4">
        <v>1000</v>
      </c>
      <c r="B25" s="10">
        <v>1.4</v>
      </c>
    </row>
    <row r="26" spans="1:7" x14ac:dyDescent="0.25">
      <c r="A26" s="4">
        <v>2000</v>
      </c>
      <c r="B26" s="10">
        <v>1.3</v>
      </c>
    </row>
    <row r="27" spans="1:7" x14ac:dyDescent="0.25">
      <c r="A27" s="4">
        <v>5000</v>
      </c>
      <c r="B27" s="10">
        <v>1.25</v>
      </c>
    </row>
    <row r="28" spans="1:7" x14ac:dyDescent="0.25">
      <c r="A28" s="4">
        <v>10000</v>
      </c>
      <c r="B28" s="10">
        <v>1.2</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Лист3"/>
  <dimension ref="A1:O590"/>
  <sheetViews>
    <sheetView showGridLines="0" workbookViewId="0">
      <pane ySplit="1" topLeftCell="A20" activePane="bottomLeft" state="frozen"/>
      <selection pane="bottomLeft" activeCell="E24" sqref="E24"/>
    </sheetView>
  </sheetViews>
  <sheetFormatPr defaultRowHeight="15" x14ac:dyDescent="0.25"/>
  <cols>
    <col min="1" max="1" width="7" bestFit="1" customWidth="1"/>
    <col min="2" max="2" width="7" customWidth="1"/>
    <col min="3" max="3" width="46.42578125" customWidth="1"/>
    <col min="4" max="4" width="7.5703125" bestFit="1" customWidth="1"/>
    <col min="5" max="5" width="32.42578125" bestFit="1" customWidth="1"/>
    <col min="6" max="6" width="17" bestFit="1" customWidth="1"/>
    <col min="7" max="7" width="13.28515625" bestFit="1" customWidth="1"/>
    <col min="8" max="8" width="8.42578125" bestFit="1" customWidth="1"/>
    <col min="9" max="9" width="10.85546875" bestFit="1" customWidth="1"/>
    <col min="10" max="10" width="40.5703125" customWidth="1"/>
    <col min="11" max="11" width="9.5703125" bestFit="1" customWidth="1"/>
    <col min="12" max="12" width="8.85546875" bestFit="1" customWidth="1"/>
    <col min="13" max="13" width="8" bestFit="1" customWidth="1"/>
    <col min="14" max="14" width="4.85546875" bestFit="1" customWidth="1"/>
    <col min="15" max="15" width="19.85546875" customWidth="1"/>
  </cols>
  <sheetData>
    <row r="1" spans="1:15" ht="30" x14ac:dyDescent="0.25">
      <c r="A1" s="61" t="s">
        <v>0</v>
      </c>
      <c r="B1" s="61" t="s">
        <v>1145</v>
      </c>
      <c r="C1" s="61" t="s">
        <v>1150</v>
      </c>
      <c r="D1" s="61" t="s">
        <v>1151</v>
      </c>
      <c r="E1" s="61" t="s">
        <v>1276</v>
      </c>
      <c r="F1" s="61" t="s">
        <v>1277</v>
      </c>
      <c r="G1" s="61" t="s">
        <v>1</v>
      </c>
      <c r="H1" s="61" t="s">
        <v>285</v>
      </c>
      <c r="I1" s="61" t="s">
        <v>284</v>
      </c>
      <c r="J1" s="61" t="s">
        <v>1152</v>
      </c>
      <c r="K1" s="61" t="s">
        <v>1153</v>
      </c>
      <c r="L1" s="61" t="s">
        <v>1154</v>
      </c>
      <c r="M1" s="61" t="s">
        <v>2</v>
      </c>
      <c r="N1" s="8"/>
      <c r="O1" s="8"/>
    </row>
    <row r="2" spans="1:15" ht="45" x14ac:dyDescent="0.25">
      <c r="A2" s="62">
        <v>143529</v>
      </c>
      <c r="B2" s="62">
        <v>10038</v>
      </c>
      <c r="C2" s="63" t="s">
        <v>1508</v>
      </c>
      <c r="D2" s="63" t="s">
        <v>1157</v>
      </c>
      <c r="E2" s="63"/>
      <c r="F2" s="63"/>
      <c r="G2" s="63" t="s">
        <v>3</v>
      </c>
      <c r="H2" s="64">
        <v>100</v>
      </c>
      <c r="I2" s="64">
        <v>339</v>
      </c>
      <c r="J2" s="63" t="s">
        <v>904</v>
      </c>
      <c r="K2" s="63" t="s">
        <v>4</v>
      </c>
      <c r="L2" s="63"/>
      <c r="M2" s="63"/>
      <c r="N2" s="8" t="str">
        <f>_xlfn.CONCAT(K2,IF(L2&lt;&gt;"",_xlfn.CONCAT("ск",L2),""))</f>
        <v>1</v>
      </c>
      <c r="O2" s="8" t="str">
        <f>INDEX(Кат!$H:$H,MATCH($A2,Кат!$A:$A,0))</f>
        <v>Китай БЕСТ ПАРТНЕР</v>
      </c>
    </row>
    <row r="3" spans="1:15" ht="30" x14ac:dyDescent="0.25">
      <c r="A3" s="62">
        <v>213597</v>
      </c>
      <c r="B3" s="62">
        <v>19363</v>
      </c>
      <c r="C3" s="63" t="s">
        <v>1364</v>
      </c>
      <c r="D3" s="63" t="s">
        <v>1157</v>
      </c>
      <c r="E3" s="63"/>
      <c r="F3" s="63"/>
      <c r="G3" s="63" t="s">
        <v>3</v>
      </c>
      <c r="H3" s="64">
        <v>850</v>
      </c>
      <c r="I3" s="64">
        <v>1290</v>
      </c>
      <c r="J3" s="63"/>
      <c r="K3" s="63" t="s">
        <v>4</v>
      </c>
      <c r="L3" s="63"/>
      <c r="M3" s="63"/>
      <c r="N3" s="8" t="str">
        <f t="shared" ref="N3:N66" si="0">_xlfn.CONCAT(K3,IF(L3&lt;&gt;"",_xlfn.CONCAT("ск",L3),""))</f>
        <v>1</v>
      </c>
      <c r="O3" s="8" t="str">
        <f>INDEX(Кат!$H:$H,MATCH($A3,Кат!$A:$A,0))</f>
        <v>Китай БЕСТ ПАРТНЕР</v>
      </c>
    </row>
    <row r="4" spans="1:15" ht="30" x14ac:dyDescent="0.25">
      <c r="A4" s="62">
        <v>213599</v>
      </c>
      <c r="B4" s="62">
        <v>19362</v>
      </c>
      <c r="C4" s="63" t="s">
        <v>1365</v>
      </c>
      <c r="D4" s="63" t="s">
        <v>1157</v>
      </c>
      <c r="E4" s="63"/>
      <c r="F4" s="63"/>
      <c r="G4" s="63" t="s">
        <v>3</v>
      </c>
      <c r="H4" s="64">
        <v>700</v>
      </c>
      <c r="I4" s="64">
        <v>1090</v>
      </c>
      <c r="J4" s="63"/>
      <c r="K4" s="63" t="s">
        <v>4</v>
      </c>
      <c r="L4" s="63" t="s">
        <v>4</v>
      </c>
      <c r="M4" s="63"/>
      <c r="N4" s="8" t="str">
        <f t="shared" si="0"/>
        <v>1ск1</v>
      </c>
      <c r="O4" s="8" t="str">
        <f>INDEX(Кат!$H:$H,MATCH($A4,Кат!$A:$A,0))</f>
        <v>Китай БЕСТ ПАРТНЕР</v>
      </c>
    </row>
    <row r="5" spans="1:15" ht="45" x14ac:dyDescent="0.25">
      <c r="A5" s="62">
        <v>213614</v>
      </c>
      <c r="B5" s="62">
        <v>36903</v>
      </c>
      <c r="C5" s="63" t="s">
        <v>1366</v>
      </c>
      <c r="D5" s="63" t="s">
        <v>1157</v>
      </c>
      <c r="E5" s="63" t="s">
        <v>655</v>
      </c>
      <c r="F5" s="63"/>
      <c r="G5" s="63" t="s">
        <v>3</v>
      </c>
      <c r="H5" s="64">
        <v>1900</v>
      </c>
      <c r="I5" s="64">
        <v>2490</v>
      </c>
      <c r="J5" s="63"/>
      <c r="K5" s="63" t="s">
        <v>4</v>
      </c>
      <c r="L5" s="63"/>
      <c r="M5" s="63"/>
      <c r="N5" s="8" t="str">
        <f t="shared" si="0"/>
        <v>1</v>
      </c>
      <c r="O5" s="8" t="str">
        <f>INDEX(Кат!$H:$H,MATCH($A5,Кат!$A:$A,0))</f>
        <v>Китай БЕСТ ПАРТНЕР</v>
      </c>
    </row>
    <row r="6" spans="1:15" ht="30" x14ac:dyDescent="0.25">
      <c r="A6" s="62">
        <v>213625</v>
      </c>
      <c r="B6" s="62">
        <v>20569</v>
      </c>
      <c r="C6" s="63" t="s">
        <v>1367</v>
      </c>
      <c r="D6" s="63" t="s">
        <v>1157</v>
      </c>
      <c r="E6" s="63"/>
      <c r="F6" s="63"/>
      <c r="G6" s="63" t="s">
        <v>3</v>
      </c>
      <c r="H6" s="64">
        <v>950</v>
      </c>
      <c r="I6" s="64">
        <v>1390</v>
      </c>
      <c r="J6" s="63"/>
      <c r="K6" s="63" t="s">
        <v>1156</v>
      </c>
      <c r="L6" s="63"/>
      <c r="M6" s="63"/>
      <c r="N6" s="8" t="str">
        <f t="shared" si="0"/>
        <v>0</v>
      </c>
      <c r="O6" s="8" t="str">
        <f>INDEX(Кат!$H:$H,MATCH($A6,Кат!$A:$A,0))</f>
        <v>Китай БЕСТ ПАРТНЕР</v>
      </c>
    </row>
    <row r="7" spans="1:15" ht="30" x14ac:dyDescent="0.25">
      <c r="A7" s="62">
        <v>213629</v>
      </c>
      <c r="B7" s="62">
        <v>18327</v>
      </c>
      <c r="C7" s="63" t="s">
        <v>1368</v>
      </c>
      <c r="D7" s="63" t="s">
        <v>1157</v>
      </c>
      <c r="E7" s="63"/>
      <c r="F7" s="63"/>
      <c r="G7" s="63" t="s">
        <v>3</v>
      </c>
      <c r="H7" s="64">
        <v>650</v>
      </c>
      <c r="I7" s="64">
        <v>949</v>
      </c>
      <c r="J7" s="63"/>
      <c r="K7" s="63" t="s">
        <v>4</v>
      </c>
      <c r="L7" s="63"/>
      <c r="M7" s="63"/>
      <c r="N7" s="8" t="str">
        <f t="shared" si="0"/>
        <v>1</v>
      </c>
      <c r="O7" s="8" t="str">
        <f>INDEX(Кат!$H:$H,MATCH($A7,Кат!$A:$A,0))</f>
        <v>Китай БЕСТ ПАРТНЕР</v>
      </c>
    </row>
    <row r="8" spans="1:15" ht="30" x14ac:dyDescent="0.25">
      <c r="A8" s="62">
        <v>213630</v>
      </c>
      <c r="B8" s="62">
        <v>12605</v>
      </c>
      <c r="C8" s="63" t="s">
        <v>1369</v>
      </c>
      <c r="D8" s="63" t="s">
        <v>1157</v>
      </c>
      <c r="E8" s="63"/>
      <c r="F8" s="63"/>
      <c r="G8" s="63" t="s">
        <v>3</v>
      </c>
      <c r="H8" s="64">
        <v>750</v>
      </c>
      <c r="I8" s="64">
        <v>1090</v>
      </c>
      <c r="J8" s="63"/>
      <c r="K8" s="63" t="s">
        <v>4</v>
      </c>
      <c r="L8" s="63" t="s">
        <v>4</v>
      </c>
      <c r="M8" s="63"/>
      <c r="N8" s="8" t="str">
        <f t="shared" si="0"/>
        <v>1ск1</v>
      </c>
      <c r="O8" s="8" t="str">
        <f>INDEX(Кат!$H:$H,MATCH($A8,Кат!$A:$A,0))</f>
        <v>Китай БЕСТ ПАРТНЕР</v>
      </c>
    </row>
    <row r="9" spans="1:15" ht="30" x14ac:dyDescent="0.25">
      <c r="A9" s="62">
        <v>213631</v>
      </c>
      <c r="B9" s="62">
        <v>12603</v>
      </c>
      <c r="C9" s="63" t="s">
        <v>1370</v>
      </c>
      <c r="D9" s="63" t="s">
        <v>1157</v>
      </c>
      <c r="E9" s="63"/>
      <c r="F9" s="63"/>
      <c r="G9" s="63" t="s">
        <v>3</v>
      </c>
      <c r="H9" s="64">
        <v>650</v>
      </c>
      <c r="I9" s="64">
        <v>949</v>
      </c>
      <c r="J9" s="63"/>
      <c r="K9" s="63" t="s">
        <v>4</v>
      </c>
      <c r="L9" s="63"/>
      <c r="M9" s="63"/>
      <c r="N9" s="8" t="str">
        <f t="shared" si="0"/>
        <v>1</v>
      </c>
      <c r="O9" s="8" t="str">
        <f>INDEX(Кат!$H:$H,MATCH($A9,Кат!$A:$A,0))</f>
        <v>Китай БЕСТ ПАРТНЕР</v>
      </c>
    </row>
    <row r="10" spans="1:15" ht="30" x14ac:dyDescent="0.25">
      <c r="A10" s="62">
        <v>213659</v>
      </c>
      <c r="B10" s="62">
        <v>38484</v>
      </c>
      <c r="C10" s="63" t="s">
        <v>1371</v>
      </c>
      <c r="D10" s="63" t="s">
        <v>1157</v>
      </c>
      <c r="E10" s="63" t="s">
        <v>676</v>
      </c>
      <c r="F10" s="63"/>
      <c r="G10" s="63" t="s">
        <v>3</v>
      </c>
      <c r="H10" s="64">
        <v>3200</v>
      </c>
      <c r="I10" s="64">
        <v>4090</v>
      </c>
      <c r="J10" s="63"/>
      <c r="K10" s="63" t="s">
        <v>4</v>
      </c>
      <c r="L10" s="63"/>
      <c r="M10" s="63"/>
      <c r="N10" s="8" t="str">
        <f t="shared" si="0"/>
        <v>1</v>
      </c>
      <c r="O10" s="8" t="str">
        <f>INDEX(Кат!$H:$H,MATCH($A10,Кат!$A:$A,0))</f>
        <v>Китай БЕСТ ПАРТНЕР</v>
      </c>
    </row>
    <row r="11" spans="1:15" ht="45" x14ac:dyDescent="0.25">
      <c r="A11" s="62">
        <v>117269</v>
      </c>
      <c r="B11" s="62">
        <v>13814</v>
      </c>
      <c r="C11" s="63" t="s">
        <v>352</v>
      </c>
      <c r="D11" s="63" t="s">
        <v>1155</v>
      </c>
      <c r="E11" s="63" t="s">
        <v>584</v>
      </c>
      <c r="F11" s="63"/>
      <c r="G11" s="63" t="s">
        <v>3</v>
      </c>
      <c r="H11" s="64">
        <v>3500</v>
      </c>
      <c r="I11" s="64">
        <v>4890</v>
      </c>
      <c r="J11" s="63" t="s">
        <v>1474</v>
      </c>
      <c r="K11" s="63" t="s">
        <v>4</v>
      </c>
      <c r="L11" s="63"/>
      <c r="M11" s="63"/>
      <c r="N11" s="8" t="str">
        <f t="shared" si="0"/>
        <v>1</v>
      </c>
      <c r="O11" s="8" t="str">
        <f>INDEX(Кат!$H:$H,MATCH($A11,Кат!$A:$A,0))</f>
        <v>Китай БЕСТ ПАРТНЕР</v>
      </c>
    </row>
    <row r="12" spans="1:15" ht="45" x14ac:dyDescent="0.25">
      <c r="A12" s="62">
        <v>117270</v>
      </c>
      <c r="B12" s="62">
        <v>13758</v>
      </c>
      <c r="C12" s="63" t="s">
        <v>353</v>
      </c>
      <c r="D12" s="63" t="s">
        <v>1155</v>
      </c>
      <c r="E12" s="63" t="s">
        <v>581</v>
      </c>
      <c r="F12" s="63"/>
      <c r="G12" s="63" t="s">
        <v>3</v>
      </c>
      <c r="H12" s="64">
        <v>3300</v>
      </c>
      <c r="I12" s="64">
        <v>4690</v>
      </c>
      <c r="J12" s="63" t="s">
        <v>762</v>
      </c>
      <c r="K12" s="63" t="s">
        <v>4</v>
      </c>
      <c r="L12" s="63" t="s">
        <v>4</v>
      </c>
      <c r="M12" s="63"/>
      <c r="N12" s="8" t="str">
        <f t="shared" si="0"/>
        <v>1ск1</v>
      </c>
      <c r="O12" s="8" t="str">
        <f>INDEX(Кат!$H:$H,MATCH($A12,Кат!$A:$A,0))</f>
        <v>Китай БЕСТ ПАРТНЕР</v>
      </c>
    </row>
    <row r="13" spans="1:15" ht="45" x14ac:dyDescent="0.25">
      <c r="A13" s="62">
        <v>117271</v>
      </c>
      <c r="B13" s="62">
        <v>12129</v>
      </c>
      <c r="C13" s="63" t="s">
        <v>358</v>
      </c>
      <c r="D13" s="63" t="s">
        <v>1155</v>
      </c>
      <c r="E13" s="63" t="s">
        <v>1041</v>
      </c>
      <c r="F13" s="63"/>
      <c r="G13" s="63" t="s">
        <v>3</v>
      </c>
      <c r="H13" s="64">
        <v>500</v>
      </c>
      <c r="I13" s="64">
        <v>729</v>
      </c>
      <c r="J13" s="63" t="s">
        <v>1454</v>
      </c>
      <c r="K13" s="63" t="s">
        <v>4</v>
      </c>
      <c r="L13" s="63"/>
      <c r="M13" s="63"/>
      <c r="N13" s="8" t="str">
        <f t="shared" si="0"/>
        <v>1</v>
      </c>
      <c r="O13" s="8" t="str">
        <f>INDEX(Кат!$H:$H,MATCH($A13,Кат!$A:$A,0))</f>
        <v>Китай БЕСТ ПАРТНЕР</v>
      </c>
    </row>
    <row r="14" spans="1:15" ht="30" x14ac:dyDescent="0.25">
      <c r="A14" s="62">
        <v>117273</v>
      </c>
      <c r="B14" s="62">
        <v>13929</v>
      </c>
      <c r="C14" s="63" t="s">
        <v>349</v>
      </c>
      <c r="D14" s="63" t="s">
        <v>1155</v>
      </c>
      <c r="E14" s="63"/>
      <c r="F14" s="63"/>
      <c r="G14" s="63" t="s">
        <v>3</v>
      </c>
      <c r="H14" s="64">
        <v>550</v>
      </c>
      <c r="I14" s="64">
        <v>799</v>
      </c>
      <c r="J14" s="63"/>
      <c r="K14" s="63" t="s">
        <v>1156</v>
      </c>
      <c r="L14" s="63"/>
      <c r="M14" s="63"/>
      <c r="N14" s="8" t="str">
        <f t="shared" si="0"/>
        <v>0</v>
      </c>
      <c r="O14" s="8" t="str">
        <f>INDEX(Кат!$H:$H,MATCH($A14,Кат!$A:$A,0))</f>
        <v>Китай БЕСТ ПАРТНЕР</v>
      </c>
    </row>
    <row r="15" spans="1:15" ht="30" x14ac:dyDescent="0.25">
      <c r="A15" s="62">
        <v>117276</v>
      </c>
      <c r="B15" s="62">
        <v>19812</v>
      </c>
      <c r="C15" s="63" t="s">
        <v>621</v>
      </c>
      <c r="D15" s="63" t="s">
        <v>1155</v>
      </c>
      <c r="E15" s="63" t="s">
        <v>622</v>
      </c>
      <c r="F15" s="63" t="s">
        <v>622</v>
      </c>
      <c r="G15" s="63" t="s">
        <v>3</v>
      </c>
      <c r="H15" s="64">
        <v>2600</v>
      </c>
      <c r="I15" s="64">
        <v>3390</v>
      </c>
      <c r="J15" s="63"/>
      <c r="K15" s="63" t="s">
        <v>1156</v>
      </c>
      <c r="L15" s="63"/>
      <c r="M15" s="63"/>
      <c r="N15" s="8" t="str">
        <f t="shared" si="0"/>
        <v>0</v>
      </c>
      <c r="O15" s="8" t="str">
        <f>INDEX(Кат!$H:$H,MATCH($A15,Кат!$A:$A,0))</f>
        <v>Китай БЕСТ ПАРТНЕР</v>
      </c>
    </row>
    <row r="16" spans="1:15" ht="45" x14ac:dyDescent="0.25">
      <c r="A16" s="62">
        <v>117277</v>
      </c>
      <c r="B16" s="62">
        <v>13669</v>
      </c>
      <c r="C16" s="63" t="s">
        <v>357</v>
      </c>
      <c r="D16" s="63" t="s">
        <v>1155</v>
      </c>
      <c r="E16" s="63" t="s">
        <v>579</v>
      </c>
      <c r="F16" s="63"/>
      <c r="G16" s="63" t="s">
        <v>3</v>
      </c>
      <c r="H16" s="64">
        <v>500</v>
      </c>
      <c r="I16" s="64">
        <v>649</v>
      </c>
      <c r="J16" s="63" t="s">
        <v>1449</v>
      </c>
      <c r="K16" s="63" t="s">
        <v>4</v>
      </c>
      <c r="L16" s="63"/>
      <c r="M16" s="63"/>
      <c r="N16" s="8" t="str">
        <f t="shared" si="0"/>
        <v>1</v>
      </c>
      <c r="O16" s="8" t="str">
        <f>INDEX(Кат!$H:$H,MATCH($A16,Кат!$A:$A,0))</f>
        <v>Китай БЕСТ ПАРТНЕР</v>
      </c>
    </row>
    <row r="17" spans="1:15" ht="45" x14ac:dyDescent="0.25">
      <c r="A17" s="62">
        <v>117279</v>
      </c>
      <c r="B17" s="62">
        <v>13921</v>
      </c>
      <c r="C17" s="63" t="s">
        <v>350</v>
      </c>
      <c r="D17" s="63" t="s">
        <v>1155</v>
      </c>
      <c r="E17" s="63" t="s">
        <v>1052</v>
      </c>
      <c r="F17" s="63"/>
      <c r="G17" s="63" t="s">
        <v>3</v>
      </c>
      <c r="H17" s="64">
        <v>550</v>
      </c>
      <c r="I17" s="64">
        <v>799</v>
      </c>
      <c r="J17" s="63" t="s">
        <v>1453</v>
      </c>
      <c r="K17" s="63" t="s">
        <v>4</v>
      </c>
      <c r="L17" s="63"/>
      <c r="M17" s="63"/>
      <c r="N17" s="8" t="str">
        <f t="shared" si="0"/>
        <v>1</v>
      </c>
      <c r="O17" s="8" t="str">
        <f>INDEX(Кат!$H:$H,MATCH($A17,Кат!$A:$A,0))</f>
        <v>Китай БЕСТ ПАРТНЕР</v>
      </c>
    </row>
    <row r="18" spans="1:15" ht="30" x14ac:dyDescent="0.25">
      <c r="A18" s="62">
        <v>117280</v>
      </c>
      <c r="B18" s="62">
        <v>13920</v>
      </c>
      <c r="C18" s="63" t="s">
        <v>351</v>
      </c>
      <c r="D18" s="63" t="s">
        <v>1155</v>
      </c>
      <c r="E18" s="63"/>
      <c r="F18" s="63"/>
      <c r="G18" s="63" t="s">
        <v>3</v>
      </c>
      <c r="H18" s="64">
        <v>550</v>
      </c>
      <c r="I18" s="64">
        <v>799</v>
      </c>
      <c r="J18" s="63"/>
      <c r="K18" s="63" t="s">
        <v>1156</v>
      </c>
      <c r="L18" s="63"/>
      <c r="M18" s="63"/>
      <c r="N18" s="8" t="str">
        <f t="shared" si="0"/>
        <v>0</v>
      </c>
      <c r="O18" s="8" t="str">
        <f>INDEX(Кат!$H:$H,MATCH($A18,Кат!$A:$A,0))</f>
        <v>Китай БЕСТ ПАРТНЕР</v>
      </c>
    </row>
    <row r="19" spans="1:15" ht="45" x14ac:dyDescent="0.25">
      <c r="A19" s="62">
        <v>117281</v>
      </c>
      <c r="B19" s="62">
        <v>20250</v>
      </c>
      <c r="C19" s="63" t="s">
        <v>313</v>
      </c>
      <c r="D19" s="63" t="s">
        <v>1155</v>
      </c>
      <c r="E19" s="63" t="s">
        <v>625</v>
      </c>
      <c r="F19" s="63"/>
      <c r="G19" s="63" t="s">
        <v>3</v>
      </c>
      <c r="H19" s="64">
        <v>2000</v>
      </c>
      <c r="I19" s="64">
        <v>3690</v>
      </c>
      <c r="J19" s="63" t="s">
        <v>870</v>
      </c>
      <c r="K19" s="63" t="s">
        <v>4</v>
      </c>
      <c r="L19" s="63"/>
      <c r="M19" s="63"/>
      <c r="N19" s="8" t="str">
        <f t="shared" si="0"/>
        <v>1</v>
      </c>
      <c r="O19" s="8" t="str">
        <f>INDEX(Кат!$H:$H,MATCH($A19,Кат!$A:$A,0))</f>
        <v>Китай БЕСТ ПАРТНЕР</v>
      </c>
    </row>
    <row r="20" spans="1:15" ht="30" x14ac:dyDescent="0.25">
      <c r="A20" s="62">
        <v>117282</v>
      </c>
      <c r="B20" s="62">
        <v>134733</v>
      </c>
      <c r="C20" s="63" t="s">
        <v>829</v>
      </c>
      <c r="D20" s="63" t="s">
        <v>1155</v>
      </c>
      <c r="E20" s="63" t="s">
        <v>682</v>
      </c>
      <c r="F20" s="63"/>
      <c r="G20" s="63" t="s">
        <v>3</v>
      </c>
      <c r="H20" s="64"/>
      <c r="I20" s="64">
        <v>0</v>
      </c>
      <c r="J20" s="63"/>
      <c r="K20" s="63" t="s">
        <v>1156</v>
      </c>
      <c r="L20" s="63"/>
      <c r="M20" s="63"/>
      <c r="N20" s="8" t="str">
        <f t="shared" si="0"/>
        <v>0</v>
      </c>
      <c r="O20" s="8" t="str">
        <f>INDEX(Кат!$H:$H,MATCH($A20,Кат!$A:$A,0))</f>
        <v>Китай БЕСТ ПАРТНЕР</v>
      </c>
    </row>
    <row r="21" spans="1:15" ht="45" x14ac:dyDescent="0.25">
      <c r="A21" s="62">
        <v>117283</v>
      </c>
      <c r="B21" s="62">
        <v>18206</v>
      </c>
      <c r="C21" s="63" t="s">
        <v>160</v>
      </c>
      <c r="D21" s="63" t="s">
        <v>1155</v>
      </c>
      <c r="E21" s="63"/>
      <c r="F21" s="63"/>
      <c r="G21" s="63" t="s">
        <v>3</v>
      </c>
      <c r="H21" s="64">
        <v>2000</v>
      </c>
      <c r="I21" s="64">
        <v>2890</v>
      </c>
      <c r="J21" s="63" t="s">
        <v>873</v>
      </c>
      <c r="K21" s="63" t="s">
        <v>4</v>
      </c>
      <c r="L21" s="63"/>
      <c r="M21" s="63"/>
      <c r="N21" s="8" t="str">
        <f t="shared" si="0"/>
        <v>1</v>
      </c>
      <c r="O21" s="8" t="str">
        <f>INDEX(Кат!$H:$H,MATCH($A21,Кат!$A:$A,0))</f>
        <v>Китай БЕСТ ПАРТНЕР</v>
      </c>
    </row>
    <row r="22" spans="1:15" ht="45" x14ac:dyDescent="0.25">
      <c r="A22" s="62">
        <v>117284</v>
      </c>
      <c r="B22" s="62">
        <v>37192</v>
      </c>
      <c r="C22" s="63" t="s">
        <v>294</v>
      </c>
      <c r="D22" s="63" t="s">
        <v>1155</v>
      </c>
      <c r="E22" s="63" t="s">
        <v>657</v>
      </c>
      <c r="F22" s="63"/>
      <c r="G22" s="63" t="s">
        <v>3</v>
      </c>
      <c r="H22" s="64">
        <v>2200</v>
      </c>
      <c r="I22" s="64">
        <v>2890</v>
      </c>
      <c r="J22" s="63"/>
      <c r="K22" s="63" t="s">
        <v>4</v>
      </c>
      <c r="L22" s="63" t="s">
        <v>4</v>
      </c>
      <c r="M22" s="63"/>
      <c r="N22" s="8" t="str">
        <f t="shared" si="0"/>
        <v>1ск1</v>
      </c>
      <c r="O22" s="8" t="str">
        <f>INDEX(Кат!$H:$H,MATCH($A22,Кат!$A:$A,0))</f>
        <v>Китай БЕСТ ПАРТНЕР</v>
      </c>
    </row>
    <row r="23" spans="1:15" ht="45" x14ac:dyDescent="0.25">
      <c r="A23" s="62">
        <v>117286</v>
      </c>
      <c r="B23" s="62">
        <v>16833</v>
      </c>
      <c r="C23" s="63" t="s">
        <v>590</v>
      </c>
      <c r="D23" s="63" t="s">
        <v>1155</v>
      </c>
      <c r="E23" s="63" t="s">
        <v>1055</v>
      </c>
      <c r="F23" s="63" t="s">
        <v>1055</v>
      </c>
      <c r="G23" s="63" t="s">
        <v>3</v>
      </c>
      <c r="H23" s="64">
        <v>2200</v>
      </c>
      <c r="I23" s="64">
        <v>2890</v>
      </c>
      <c r="J23" s="63" t="s">
        <v>872</v>
      </c>
      <c r="K23" s="63" t="s">
        <v>4</v>
      </c>
      <c r="L23" s="63"/>
      <c r="M23" s="63"/>
      <c r="N23" s="8" t="str">
        <f t="shared" si="0"/>
        <v>1</v>
      </c>
      <c r="O23" s="8" t="str">
        <f>INDEX(Кат!$H:$H,MATCH($A23,Кат!$A:$A,0))</f>
        <v>Китай БЕСТ ПАРТНЕР</v>
      </c>
    </row>
    <row r="24" spans="1:15" ht="30" x14ac:dyDescent="0.25">
      <c r="A24" s="62">
        <v>117292</v>
      </c>
      <c r="B24" s="62">
        <v>16873</v>
      </c>
      <c r="C24" s="63" t="s">
        <v>345</v>
      </c>
      <c r="D24" s="63" t="s">
        <v>1155</v>
      </c>
      <c r="E24" s="63" t="s">
        <v>1056</v>
      </c>
      <c r="F24" s="63"/>
      <c r="G24" s="63" t="s">
        <v>3</v>
      </c>
      <c r="H24" s="64">
        <v>590</v>
      </c>
      <c r="I24" s="64">
        <v>859</v>
      </c>
      <c r="J24" s="63" t="s">
        <v>1447</v>
      </c>
      <c r="K24" s="63" t="s">
        <v>4</v>
      </c>
      <c r="L24" s="63"/>
      <c r="M24" s="63"/>
      <c r="N24" s="8" t="str">
        <f t="shared" si="0"/>
        <v>1</v>
      </c>
      <c r="O24" s="8" t="str">
        <f>INDEX(Кат!$H:$H,MATCH($A24,Кат!$A:$A,0))</f>
        <v>Китай БЕСТ ПАРТНЕР</v>
      </c>
    </row>
    <row r="25" spans="1:15" ht="60" x14ac:dyDescent="0.25">
      <c r="A25" s="62">
        <v>117296</v>
      </c>
      <c r="B25" s="62">
        <v>37115</v>
      </c>
      <c r="C25" s="63" t="s">
        <v>308</v>
      </c>
      <c r="D25" s="63" t="s">
        <v>1157</v>
      </c>
      <c r="E25" s="63"/>
      <c r="F25" s="63"/>
      <c r="G25" s="63" t="s">
        <v>3</v>
      </c>
      <c r="H25" s="64">
        <v>350</v>
      </c>
      <c r="I25" s="64">
        <v>719</v>
      </c>
      <c r="J25" s="63" t="s">
        <v>918</v>
      </c>
      <c r="K25" s="63" t="s">
        <v>4</v>
      </c>
      <c r="L25" s="63" t="s">
        <v>4</v>
      </c>
      <c r="M25" s="63"/>
      <c r="N25" s="8" t="str">
        <f t="shared" si="0"/>
        <v>1ск1</v>
      </c>
      <c r="O25" s="8" t="str">
        <f>INDEX(Кат!$H:$H,MATCH($A25,Кат!$A:$A,0))</f>
        <v>Китай БЕСТ ПАРТНЕР</v>
      </c>
    </row>
    <row r="26" spans="1:15" ht="30" x14ac:dyDescent="0.25">
      <c r="A26" s="62">
        <v>131448</v>
      </c>
      <c r="B26" s="62">
        <v>19358</v>
      </c>
      <c r="C26" s="63" t="s">
        <v>175</v>
      </c>
      <c r="D26" s="63" t="s">
        <v>1155</v>
      </c>
      <c r="E26" s="63"/>
      <c r="F26" s="63"/>
      <c r="G26" s="63" t="s">
        <v>3</v>
      </c>
      <c r="H26" s="64">
        <v>0</v>
      </c>
      <c r="I26" s="64">
        <v>1790</v>
      </c>
      <c r="J26" s="63"/>
      <c r="K26" s="63" t="s">
        <v>1156</v>
      </c>
      <c r="L26" s="63"/>
      <c r="M26" s="63"/>
      <c r="N26" s="8" t="str">
        <f t="shared" si="0"/>
        <v>0</v>
      </c>
      <c r="O26" s="8" t="str">
        <f>INDEX(Кат!$H:$H,MATCH($A26,Кат!$A:$A,0))</f>
        <v>Китай БЕСТ ПАРТНЕР</v>
      </c>
    </row>
    <row r="27" spans="1:15" ht="30" x14ac:dyDescent="0.25">
      <c r="A27" s="62">
        <v>132853</v>
      </c>
      <c r="B27" s="62">
        <v>11443</v>
      </c>
      <c r="C27" s="63" t="s">
        <v>371</v>
      </c>
      <c r="D27" s="63" t="s">
        <v>1155</v>
      </c>
      <c r="E27" s="63"/>
      <c r="F27" s="63"/>
      <c r="G27" s="63" t="s">
        <v>3</v>
      </c>
      <c r="H27" s="64">
        <v>350</v>
      </c>
      <c r="I27" s="64">
        <v>619</v>
      </c>
      <c r="J27" s="63"/>
      <c r="K27" s="63" t="s">
        <v>1156</v>
      </c>
      <c r="L27" s="63"/>
      <c r="M27" s="63"/>
      <c r="N27" s="8" t="str">
        <f t="shared" si="0"/>
        <v>0</v>
      </c>
      <c r="O27" s="8" t="str">
        <f>INDEX(Кат!$H:$H,MATCH($A27,Кат!$A:$A,0))</f>
        <v>Китай БЕСТ ПАРТНЕР</v>
      </c>
    </row>
    <row r="28" spans="1:15" ht="30" x14ac:dyDescent="0.25">
      <c r="A28" s="62">
        <v>132854</v>
      </c>
      <c r="B28" s="62">
        <v>11442</v>
      </c>
      <c r="C28" s="63" t="s">
        <v>372</v>
      </c>
      <c r="D28" s="63" t="s">
        <v>1155</v>
      </c>
      <c r="E28" s="63"/>
      <c r="F28" s="63"/>
      <c r="G28" s="63" t="s">
        <v>3</v>
      </c>
      <c r="H28" s="64">
        <v>0</v>
      </c>
      <c r="I28" s="64">
        <v>849</v>
      </c>
      <c r="J28" s="63"/>
      <c r="K28" s="63" t="s">
        <v>1156</v>
      </c>
      <c r="L28" s="63"/>
      <c r="M28" s="63"/>
      <c r="N28" s="8" t="str">
        <f t="shared" si="0"/>
        <v>0</v>
      </c>
      <c r="O28" s="8" t="str">
        <f>INDEX(Кат!$H:$H,MATCH($A28,Кат!$A:$A,0))</f>
        <v>Китай БЕСТ ПАРТНЕР</v>
      </c>
    </row>
    <row r="29" spans="1:15" ht="30" x14ac:dyDescent="0.25">
      <c r="A29" s="62">
        <v>132855</v>
      </c>
      <c r="B29" s="62">
        <v>11444</v>
      </c>
      <c r="C29" s="63" t="s">
        <v>370</v>
      </c>
      <c r="D29" s="63" t="s">
        <v>1155</v>
      </c>
      <c r="E29" s="63"/>
      <c r="F29" s="63"/>
      <c r="G29" s="63" t="s">
        <v>3</v>
      </c>
      <c r="H29" s="64">
        <v>0</v>
      </c>
      <c r="I29" s="64">
        <v>909</v>
      </c>
      <c r="J29" s="63"/>
      <c r="K29" s="63" t="s">
        <v>1156</v>
      </c>
      <c r="L29" s="63"/>
      <c r="M29" s="63"/>
      <c r="N29" s="8" t="str">
        <f t="shared" si="0"/>
        <v>0</v>
      </c>
      <c r="O29" s="8" t="str">
        <f>INDEX(Кат!$H:$H,MATCH($A29,Кат!$A:$A,0))</f>
        <v>Китай БЕСТ ПАРТНЕР</v>
      </c>
    </row>
    <row r="30" spans="1:15" ht="30" x14ac:dyDescent="0.25">
      <c r="A30" s="62">
        <v>256974</v>
      </c>
      <c r="B30" s="62">
        <v>204088</v>
      </c>
      <c r="C30" s="63" t="s">
        <v>1139</v>
      </c>
      <c r="D30" s="63" t="s">
        <v>1155</v>
      </c>
      <c r="E30" s="63" t="s">
        <v>1140</v>
      </c>
      <c r="F30" s="63"/>
      <c r="G30" s="63" t="s">
        <v>3</v>
      </c>
      <c r="H30" s="64">
        <v>280</v>
      </c>
      <c r="I30" s="64">
        <v>629</v>
      </c>
      <c r="J30" s="63" t="s">
        <v>1354</v>
      </c>
      <c r="K30" s="63" t="s">
        <v>4</v>
      </c>
      <c r="L30" s="63"/>
      <c r="M30" s="63"/>
      <c r="N30" s="8" t="str">
        <f t="shared" si="0"/>
        <v>1</v>
      </c>
      <c r="O30" s="8" t="str">
        <f>INDEX(Кат!$H:$H,MATCH($A30,Кат!$A:$A,0))</f>
        <v>Китай БЕСТ ПАРТНЕР</v>
      </c>
    </row>
    <row r="31" spans="1:15" ht="30" x14ac:dyDescent="0.25">
      <c r="A31" s="62">
        <v>133220</v>
      </c>
      <c r="B31" s="62">
        <v>23962</v>
      </c>
      <c r="C31" s="63" t="s">
        <v>209</v>
      </c>
      <c r="D31" s="63" t="s">
        <v>1155</v>
      </c>
      <c r="E31" s="63" t="s">
        <v>1086</v>
      </c>
      <c r="F31" s="63"/>
      <c r="G31" s="63" t="s">
        <v>3</v>
      </c>
      <c r="H31" s="64">
        <v>250</v>
      </c>
      <c r="I31" s="64">
        <v>989</v>
      </c>
      <c r="J31" s="63" t="s">
        <v>1461</v>
      </c>
      <c r="K31" s="63" t="s">
        <v>4</v>
      </c>
      <c r="L31" s="63"/>
      <c r="M31" s="63"/>
      <c r="N31" s="8" t="str">
        <f t="shared" si="0"/>
        <v>1</v>
      </c>
      <c r="O31" s="8" t="str">
        <f>INDEX(Кат!$H:$H,MATCH($A31,Кат!$A:$A,0))</f>
        <v>Китай БЕСТ ПАРТНЕР</v>
      </c>
    </row>
    <row r="32" spans="1:15" ht="30" x14ac:dyDescent="0.25">
      <c r="A32" s="62">
        <v>133221</v>
      </c>
      <c r="B32" s="62">
        <v>23965</v>
      </c>
      <c r="C32" s="63" t="s">
        <v>210</v>
      </c>
      <c r="D32" s="63" t="s">
        <v>1155</v>
      </c>
      <c r="E32" s="63" t="s">
        <v>615</v>
      </c>
      <c r="F32" s="63"/>
      <c r="G32" s="63" t="s">
        <v>3</v>
      </c>
      <c r="H32" s="64">
        <v>850</v>
      </c>
      <c r="I32" s="64">
        <v>1290</v>
      </c>
      <c r="J32" s="63"/>
      <c r="K32" s="63" t="s">
        <v>1156</v>
      </c>
      <c r="L32" s="63"/>
      <c r="M32" s="63"/>
      <c r="N32" s="8" t="str">
        <f t="shared" si="0"/>
        <v>0</v>
      </c>
      <c r="O32" s="8" t="str">
        <f>INDEX(Кат!$H:$H,MATCH($A32,Кат!$A:$A,0))</f>
        <v>Китай БЕСТ ПАРТНЕР</v>
      </c>
    </row>
    <row r="33" spans="1:15" ht="30" x14ac:dyDescent="0.25">
      <c r="A33" s="62">
        <v>133222</v>
      </c>
      <c r="B33" s="62">
        <v>23966</v>
      </c>
      <c r="C33" s="63" t="s">
        <v>211</v>
      </c>
      <c r="D33" s="63" t="s">
        <v>1155</v>
      </c>
      <c r="E33" s="63" t="s">
        <v>1087</v>
      </c>
      <c r="F33" s="63"/>
      <c r="G33" s="63" t="s">
        <v>3</v>
      </c>
      <c r="H33" s="64">
        <v>500</v>
      </c>
      <c r="I33" s="64">
        <v>989</v>
      </c>
      <c r="J33" s="63" t="s">
        <v>1467</v>
      </c>
      <c r="K33" s="63" t="s">
        <v>4</v>
      </c>
      <c r="L33" s="63"/>
      <c r="M33" s="63"/>
      <c r="N33" s="8" t="str">
        <f t="shared" si="0"/>
        <v>1</v>
      </c>
      <c r="O33" s="8" t="str">
        <f>INDEX(Кат!$H:$H,MATCH($A33,Кат!$A:$A,0))</f>
        <v>Китай БЕСТ ПАРТНЕР</v>
      </c>
    </row>
    <row r="34" spans="1:15" ht="30" x14ac:dyDescent="0.25">
      <c r="A34" s="62">
        <v>133223</v>
      </c>
      <c r="B34" s="62">
        <v>23967</v>
      </c>
      <c r="C34" s="63" t="s">
        <v>212</v>
      </c>
      <c r="D34" s="63" t="s">
        <v>1155</v>
      </c>
      <c r="E34" s="63" t="s">
        <v>1088</v>
      </c>
      <c r="F34" s="63"/>
      <c r="G34" s="63" t="s">
        <v>3</v>
      </c>
      <c r="H34" s="64">
        <v>1050</v>
      </c>
      <c r="I34" s="64">
        <v>1390</v>
      </c>
      <c r="J34" s="63"/>
      <c r="K34" s="63" t="s">
        <v>4</v>
      </c>
      <c r="L34" s="63" t="s">
        <v>4</v>
      </c>
      <c r="M34" s="63"/>
      <c r="N34" s="8" t="str">
        <f t="shared" si="0"/>
        <v>1ск1</v>
      </c>
      <c r="O34" s="8" t="str">
        <f>INDEX(Кат!$H:$H,MATCH($A34,Кат!$A:$A,0))</f>
        <v>Китай БЕСТ ПАРТНЕР</v>
      </c>
    </row>
    <row r="35" spans="1:15" ht="30" x14ac:dyDescent="0.25">
      <c r="A35" s="62">
        <v>133224</v>
      </c>
      <c r="B35" s="62">
        <v>23948</v>
      </c>
      <c r="C35" s="63" t="s">
        <v>204</v>
      </c>
      <c r="D35" s="63" t="s">
        <v>1155</v>
      </c>
      <c r="E35" s="63" t="s">
        <v>1158</v>
      </c>
      <c r="F35" s="63"/>
      <c r="G35" s="63" t="s">
        <v>3</v>
      </c>
      <c r="H35" s="64">
        <v>350</v>
      </c>
      <c r="I35" s="64">
        <v>619</v>
      </c>
      <c r="J35" s="63"/>
      <c r="K35" s="63" t="s">
        <v>4</v>
      </c>
      <c r="L35" s="63"/>
      <c r="M35" s="63"/>
      <c r="N35" s="8" t="str">
        <f t="shared" si="0"/>
        <v>1</v>
      </c>
      <c r="O35" s="8" t="str">
        <f>INDEX(Кат!$H:$H,MATCH($A35,Кат!$A:$A,0))</f>
        <v>Китай БЕСТ ПАРТНЕР</v>
      </c>
    </row>
    <row r="36" spans="1:15" ht="30" x14ac:dyDescent="0.25">
      <c r="A36" s="62">
        <v>133225</v>
      </c>
      <c r="B36" s="62">
        <v>37936</v>
      </c>
      <c r="C36" s="63" t="s">
        <v>305</v>
      </c>
      <c r="D36" s="63" t="s">
        <v>1157</v>
      </c>
      <c r="E36" s="63" t="s">
        <v>659</v>
      </c>
      <c r="F36" s="63"/>
      <c r="G36" s="63" t="s">
        <v>3</v>
      </c>
      <c r="H36" s="64">
        <v>200</v>
      </c>
      <c r="I36" s="64">
        <v>799</v>
      </c>
      <c r="J36" s="63" t="s">
        <v>919</v>
      </c>
      <c r="K36" s="63" t="s">
        <v>4</v>
      </c>
      <c r="L36" s="63"/>
      <c r="M36" s="63"/>
      <c r="N36" s="8" t="str">
        <f t="shared" si="0"/>
        <v>1</v>
      </c>
      <c r="O36" s="8" t="str">
        <f>INDEX(Кат!$H:$H,MATCH($A36,Кат!$A:$A,0))</f>
        <v>Китай БЕСТ ПАРТНЕР</v>
      </c>
    </row>
    <row r="37" spans="1:15" ht="30" x14ac:dyDescent="0.25">
      <c r="A37" s="62">
        <v>133226</v>
      </c>
      <c r="B37" s="62">
        <v>23968</v>
      </c>
      <c r="C37" s="63" t="s">
        <v>213</v>
      </c>
      <c r="D37" s="63" t="s">
        <v>1155</v>
      </c>
      <c r="E37" s="63" t="s">
        <v>1089</v>
      </c>
      <c r="F37" s="63"/>
      <c r="G37" s="63" t="s">
        <v>3</v>
      </c>
      <c r="H37" s="64">
        <v>400</v>
      </c>
      <c r="I37" s="64">
        <v>799</v>
      </c>
      <c r="J37" s="63" t="s">
        <v>919</v>
      </c>
      <c r="K37" s="63" t="s">
        <v>4</v>
      </c>
      <c r="L37" s="63"/>
      <c r="M37" s="63"/>
      <c r="N37" s="8" t="str">
        <f t="shared" si="0"/>
        <v>1</v>
      </c>
      <c r="O37" s="8" t="str">
        <f>INDEX(Кат!$H:$H,MATCH($A37,Кат!$A:$A,0))</f>
        <v>Китай БЕСТ ПАРТНЕР</v>
      </c>
    </row>
    <row r="38" spans="1:15" ht="30" x14ac:dyDescent="0.25">
      <c r="A38" s="62">
        <v>133227</v>
      </c>
      <c r="B38" s="62">
        <v>23933</v>
      </c>
      <c r="C38" s="63" t="s">
        <v>195</v>
      </c>
      <c r="D38" s="63" t="s">
        <v>1155</v>
      </c>
      <c r="E38" s="63" t="s">
        <v>1159</v>
      </c>
      <c r="F38" s="63"/>
      <c r="G38" s="63" t="s">
        <v>3</v>
      </c>
      <c r="H38" s="64">
        <v>350</v>
      </c>
      <c r="I38" s="64">
        <v>619</v>
      </c>
      <c r="J38" s="63"/>
      <c r="K38" s="63" t="s">
        <v>4</v>
      </c>
      <c r="L38" s="63"/>
      <c r="M38" s="63"/>
      <c r="N38" s="8" t="str">
        <f t="shared" si="0"/>
        <v>1</v>
      </c>
      <c r="O38" s="8" t="str">
        <f>INDEX(Кат!$H:$H,MATCH($A38,Кат!$A:$A,0))</f>
        <v>Китай БЕСТ ПАРТНЕР</v>
      </c>
    </row>
    <row r="39" spans="1:15" ht="30" x14ac:dyDescent="0.25">
      <c r="A39" s="62">
        <v>133228</v>
      </c>
      <c r="B39" s="62">
        <v>37935</v>
      </c>
      <c r="C39" s="63" t="s">
        <v>306</v>
      </c>
      <c r="D39" s="63" t="s">
        <v>1157</v>
      </c>
      <c r="E39" s="63" t="s">
        <v>1126</v>
      </c>
      <c r="F39" s="63"/>
      <c r="G39" s="63" t="s">
        <v>3</v>
      </c>
      <c r="H39" s="64">
        <v>200</v>
      </c>
      <c r="I39" s="64">
        <v>689</v>
      </c>
      <c r="J39" s="63" t="s">
        <v>911</v>
      </c>
      <c r="K39" s="63" t="s">
        <v>4</v>
      </c>
      <c r="L39" s="63"/>
      <c r="M39" s="63"/>
      <c r="N39" s="8" t="str">
        <f t="shared" si="0"/>
        <v>1</v>
      </c>
      <c r="O39" s="8" t="str">
        <f>INDEX(Кат!$H:$H,MATCH($A39,Кат!$A:$A,0))</f>
        <v>Китай БЕСТ ПАРТНЕР</v>
      </c>
    </row>
    <row r="40" spans="1:15" ht="30" x14ac:dyDescent="0.25">
      <c r="A40" s="62">
        <v>133229</v>
      </c>
      <c r="B40" s="62">
        <v>23979</v>
      </c>
      <c r="C40" s="63" t="s">
        <v>214</v>
      </c>
      <c r="D40" s="63" t="s">
        <v>1155</v>
      </c>
      <c r="E40" s="63" t="s">
        <v>1090</v>
      </c>
      <c r="F40" s="63"/>
      <c r="G40" s="63" t="s">
        <v>3</v>
      </c>
      <c r="H40" s="64">
        <v>250</v>
      </c>
      <c r="I40" s="64">
        <v>689</v>
      </c>
      <c r="J40" s="63" t="s">
        <v>911</v>
      </c>
      <c r="K40" s="63" t="s">
        <v>4</v>
      </c>
      <c r="L40" s="63"/>
      <c r="M40" s="63"/>
      <c r="N40" s="8" t="str">
        <f t="shared" si="0"/>
        <v>1</v>
      </c>
      <c r="O40" s="8" t="str">
        <f>INDEX(Кат!$H:$H,MATCH($A40,Кат!$A:$A,0))</f>
        <v>Китай БЕСТ ПАРТНЕР</v>
      </c>
    </row>
    <row r="41" spans="1:15" ht="45" x14ac:dyDescent="0.25">
      <c r="A41" s="62">
        <v>133230</v>
      </c>
      <c r="B41" s="62">
        <v>23992</v>
      </c>
      <c r="C41" s="63" t="s">
        <v>215</v>
      </c>
      <c r="D41" s="63" t="s">
        <v>1155</v>
      </c>
      <c r="E41" s="63" t="s">
        <v>1091</v>
      </c>
      <c r="F41" s="63"/>
      <c r="G41" s="63" t="s">
        <v>3</v>
      </c>
      <c r="H41" s="64">
        <v>400</v>
      </c>
      <c r="I41" s="64">
        <v>699</v>
      </c>
      <c r="J41" s="63"/>
      <c r="K41" s="63" t="s">
        <v>4</v>
      </c>
      <c r="L41" s="63"/>
      <c r="M41" s="63"/>
      <c r="N41" s="8" t="str">
        <f t="shared" si="0"/>
        <v>1</v>
      </c>
      <c r="O41" s="8" t="str">
        <f>INDEX(Кат!$H:$H,MATCH($A41,Кат!$A:$A,0))</f>
        <v>Китай БЕСТ ПАРТНЕР</v>
      </c>
    </row>
    <row r="42" spans="1:15" ht="45" x14ac:dyDescent="0.25">
      <c r="A42" s="62">
        <v>133231</v>
      </c>
      <c r="B42" s="62">
        <v>23993</v>
      </c>
      <c r="C42" s="63" t="s">
        <v>216</v>
      </c>
      <c r="D42" s="63" t="s">
        <v>1155</v>
      </c>
      <c r="E42" s="63" t="s">
        <v>1092</v>
      </c>
      <c r="F42" s="63"/>
      <c r="G42" s="63" t="s">
        <v>3</v>
      </c>
      <c r="H42" s="64">
        <v>400</v>
      </c>
      <c r="I42" s="64">
        <v>699</v>
      </c>
      <c r="J42" s="63"/>
      <c r="K42" s="63" t="s">
        <v>4</v>
      </c>
      <c r="L42" s="63"/>
      <c r="M42" s="63"/>
      <c r="N42" s="8" t="str">
        <f t="shared" si="0"/>
        <v>1</v>
      </c>
      <c r="O42" s="8" t="str">
        <f>INDEX(Кат!$H:$H,MATCH($A42,Кат!$A:$A,0))</f>
        <v>Китай БЕСТ ПАРТНЕР</v>
      </c>
    </row>
    <row r="43" spans="1:15" ht="45" x14ac:dyDescent="0.25">
      <c r="A43" s="62">
        <v>133232</v>
      </c>
      <c r="B43" s="62">
        <v>23994</v>
      </c>
      <c r="C43" s="63" t="s">
        <v>217</v>
      </c>
      <c r="D43" s="63" t="s">
        <v>1155</v>
      </c>
      <c r="E43" s="63" t="s">
        <v>1093</v>
      </c>
      <c r="F43" s="63"/>
      <c r="G43" s="63" t="s">
        <v>3</v>
      </c>
      <c r="H43" s="64">
        <v>550</v>
      </c>
      <c r="I43" s="64">
        <v>989</v>
      </c>
      <c r="J43" s="63" t="s">
        <v>1465</v>
      </c>
      <c r="K43" s="63" t="s">
        <v>4</v>
      </c>
      <c r="L43" s="63"/>
      <c r="M43" s="63"/>
      <c r="N43" s="8" t="str">
        <f t="shared" si="0"/>
        <v>1</v>
      </c>
      <c r="O43" s="8" t="str">
        <f>INDEX(Кат!$H:$H,MATCH($A43,Кат!$A:$A,0))</f>
        <v>Китай БЕСТ ПАРТНЕР</v>
      </c>
    </row>
    <row r="44" spans="1:15" ht="30" x14ac:dyDescent="0.25">
      <c r="A44" s="62">
        <v>133233</v>
      </c>
      <c r="B44" s="62">
        <v>37933</v>
      </c>
      <c r="C44" s="63" t="s">
        <v>307</v>
      </c>
      <c r="D44" s="63" t="s">
        <v>1155</v>
      </c>
      <c r="E44" s="63" t="s">
        <v>658</v>
      </c>
      <c r="F44" s="63"/>
      <c r="G44" s="63" t="s">
        <v>3</v>
      </c>
      <c r="H44" s="64">
        <v>400</v>
      </c>
      <c r="I44" s="64">
        <v>699</v>
      </c>
      <c r="J44" s="63"/>
      <c r="K44" s="63" t="s">
        <v>4</v>
      </c>
      <c r="L44" s="63"/>
      <c r="M44" s="63"/>
      <c r="N44" s="8" t="str">
        <f t="shared" si="0"/>
        <v>1</v>
      </c>
      <c r="O44" s="8" t="str">
        <f>INDEX(Кат!$H:$H,MATCH($A44,Кат!$A:$A,0))</f>
        <v>Китай БЕСТ ПАРТНЕР</v>
      </c>
    </row>
    <row r="45" spans="1:15" ht="30" x14ac:dyDescent="0.25">
      <c r="A45" s="62">
        <v>133234</v>
      </c>
      <c r="B45" s="62">
        <v>23995</v>
      </c>
      <c r="C45" s="63" t="s">
        <v>218</v>
      </c>
      <c r="D45" s="63" t="s">
        <v>1155</v>
      </c>
      <c r="E45" s="63" t="s">
        <v>633</v>
      </c>
      <c r="F45" s="63"/>
      <c r="G45" s="63" t="s">
        <v>3</v>
      </c>
      <c r="H45" s="64">
        <v>400</v>
      </c>
      <c r="I45" s="64">
        <v>789</v>
      </c>
      <c r="J45" s="63" t="s">
        <v>1462</v>
      </c>
      <c r="K45" s="63" t="s">
        <v>4</v>
      </c>
      <c r="L45" s="63"/>
      <c r="M45" s="63"/>
      <c r="N45" s="8" t="str">
        <f t="shared" si="0"/>
        <v>1</v>
      </c>
      <c r="O45" s="8" t="str">
        <f>INDEX(Кат!$H:$H,MATCH($A45,Кат!$A:$A,0))</f>
        <v>Китай БЕСТ ПАРТНЕР</v>
      </c>
    </row>
    <row r="46" spans="1:15" ht="30" x14ac:dyDescent="0.25">
      <c r="A46" s="62">
        <v>133235</v>
      </c>
      <c r="B46" s="62">
        <v>23997</v>
      </c>
      <c r="C46" s="63" t="s">
        <v>220</v>
      </c>
      <c r="D46" s="63" t="s">
        <v>1155</v>
      </c>
      <c r="E46" s="63" t="s">
        <v>1160</v>
      </c>
      <c r="F46" s="63"/>
      <c r="G46" s="63" t="s">
        <v>3</v>
      </c>
      <c r="H46" s="64">
        <v>400</v>
      </c>
      <c r="I46" s="64">
        <v>699</v>
      </c>
      <c r="J46" s="63"/>
      <c r="K46" s="63" t="s">
        <v>4</v>
      </c>
      <c r="L46" s="63"/>
      <c r="M46" s="63"/>
      <c r="N46" s="8" t="str">
        <f t="shared" si="0"/>
        <v>1</v>
      </c>
      <c r="O46" s="8" t="str">
        <f>INDEX(Кат!$H:$H,MATCH($A46,Кат!$A:$A,0))</f>
        <v>Китай БЕСТ ПАРТНЕР</v>
      </c>
    </row>
    <row r="47" spans="1:15" ht="30" x14ac:dyDescent="0.25">
      <c r="A47" s="62">
        <v>133236</v>
      </c>
      <c r="B47" s="62">
        <v>37941</v>
      </c>
      <c r="C47" s="63" t="s">
        <v>302</v>
      </c>
      <c r="D47" s="63" t="s">
        <v>1155</v>
      </c>
      <c r="E47" s="63" t="s">
        <v>662</v>
      </c>
      <c r="F47" s="63"/>
      <c r="G47" s="63" t="s">
        <v>3</v>
      </c>
      <c r="H47" s="64">
        <v>350</v>
      </c>
      <c r="I47" s="64">
        <v>619</v>
      </c>
      <c r="J47" s="63"/>
      <c r="K47" s="63" t="s">
        <v>4</v>
      </c>
      <c r="L47" s="63"/>
      <c r="M47" s="63"/>
      <c r="N47" s="8" t="str">
        <f t="shared" si="0"/>
        <v>1</v>
      </c>
      <c r="O47" s="8" t="str">
        <f>INDEX(Кат!$H:$H,MATCH($A47,Кат!$A:$A,0))</f>
        <v>Китай БЕСТ ПАРТНЕР</v>
      </c>
    </row>
    <row r="48" spans="1:15" ht="30" x14ac:dyDescent="0.25">
      <c r="A48" s="62">
        <v>133237</v>
      </c>
      <c r="B48" s="62">
        <v>37939</v>
      </c>
      <c r="C48" s="63" t="s">
        <v>303</v>
      </c>
      <c r="D48" s="63" t="s">
        <v>1155</v>
      </c>
      <c r="E48" s="63" t="s">
        <v>661</v>
      </c>
      <c r="F48" s="63"/>
      <c r="G48" s="63" t="s">
        <v>3</v>
      </c>
      <c r="H48" s="64">
        <v>250</v>
      </c>
      <c r="I48" s="64">
        <v>529</v>
      </c>
      <c r="J48" s="63"/>
      <c r="K48" s="63" t="s">
        <v>4</v>
      </c>
      <c r="L48" s="63"/>
      <c r="M48" s="63"/>
      <c r="N48" s="8" t="str">
        <f t="shared" si="0"/>
        <v>1</v>
      </c>
      <c r="O48" s="8" t="str">
        <f>INDEX(Кат!$H:$H,MATCH($A48,Кат!$A:$A,0))</f>
        <v>Китай БЕСТ ПАРТНЕР</v>
      </c>
    </row>
    <row r="49" spans="1:15" ht="30" x14ac:dyDescent="0.25">
      <c r="A49" s="62">
        <v>133238</v>
      </c>
      <c r="B49" s="62">
        <v>23996</v>
      </c>
      <c r="C49" s="63" t="s">
        <v>219</v>
      </c>
      <c r="D49" s="63" t="s">
        <v>1155</v>
      </c>
      <c r="E49" s="63" t="s">
        <v>1094</v>
      </c>
      <c r="F49" s="63"/>
      <c r="G49" s="63" t="s">
        <v>3</v>
      </c>
      <c r="H49" s="64">
        <v>250</v>
      </c>
      <c r="I49" s="64">
        <v>989</v>
      </c>
      <c r="J49" s="63" t="s">
        <v>749</v>
      </c>
      <c r="K49" s="63" t="s">
        <v>4</v>
      </c>
      <c r="L49" s="63"/>
      <c r="M49" s="63"/>
      <c r="N49" s="8" t="str">
        <f t="shared" si="0"/>
        <v>1</v>
      </c>
      <c r="O49" s="8" t="str">
        <f>INDEX(Кат!$H:$H,MATCH($A49,Кат!$A:$A,0))</f>
        <v>Китай БЕСТ ПАРТНЕР</v>
      </c>
    </row>
    <row r="50" spans="1:15" ht="30" x14ac:dyDescent="0.25">
      <c r="A50" s="62">
        <v>133239</v>
      </c>
      <c r="B50" s="62">
        <v>23952</v>
      </c>
      <c r="C50" s="63" t="s">
        <v>208</v>
      </c>
      <c r="D50" s="63" t="s">
        <v>1155</v>
      </c>
      <c r="E50" s="63" t="s">
        <v>1082</v>
      </c>
      <c r="F50" s="63"/>
      <c r="G50" s="63" t="s">
        <v>3</v>
      </c>
      <c r="H50" s="64">
        <v>400</v>
      </c>
      <c r="I50" s="64">
        <v>699</v>
      </c>
      <c r="J50" s="63"/>
      <c r="K50" s="63" t="s">
        <v>4</v>
      </c>
      <c r="L50" s="63"/>
      <c r="M50" s="63"/>
      <c r="N50" s="8" t="str">
        <f t="shared" si="0"/>
        <v>1</v>
      </c>
      <c r="O50" s="8" t="str">
        <f>INDEX(Кат!$H:$H,MATCH($A50,Кат!$A:$A,0))</f>
        <v>Китай БЕСТ ПАРТНЕР</v>
      </c>
    </row>
    <row r="51" spans="1:15" ht="30" x14ac:dyDescent="0.25">
      <c r="A51" s="62">
        <v>133240</v>
      </c>
      <c r="B51" s="62">
        <v>24000</v>
      </c>
      <c r="C51" s="63" t="s">
        <v>221</v>
      </c>
      <c r="D51" s="63" t="s">
        <v>1155</v>
      </c>
      <c r="E51" s="63" t="s">
        <v>1095</v>
      </c>
      <c r="F51" s="63"/>
      <c r="G51" s="63" t="s">
        <v>3</v>
      </c>
      <c r="H51" s="64">
        <v>1100</v>
      </c>
      <c r="I51" s="64">
        <v>1490</v>
      </c>
      <c r="J51" s="63"/>
      <c r="K51" s="63" t="s">
        <v>4</v>
      </c>
      <c r="L51" s="63"/>
      <c r="M51" s="63"/>
      <c r="N51" s="8" t="str">
        <f t="shared" si="0"/>
        <v>1</v>
      </c>
      <c r="O51" s="8" t="str">
        <f>INDEX(Кат!$H:$H,MATCH($A51,Кат!$A:$A,0))</f>
        <v>Китай БЕСТ ПАРТНЕР</v>
      </c>
    </row>
    <row r="52" spans="1:15" ht="30" x14ac:dyDescent="0.25">
      <c r="A52" s="62">
        <v>133241</v>
      </c>
      <c r="B52" s="62">
        <v>37943</v>
      </c>
      <c r="C52" s="63" t="s">
        <v>301</v>
      </c>
      <c r="D52" s="63" t="s">
        <v>1155</v>
      </c>
      <c r="E52" s="63" t="s">
        <v>660</v>
      </c>
      <c r="F52" s="63"/>
      <c r="G52" s="63" t="s">
        <v>3</v>
      </c>
      <c r="H52" s="64">
        <v>350</v>
      </c>
      <c r="I52" s="64">
        <v>619</v>
      </c>
      <c r="J52" s="63"/>
      <c r="K52" s="63" t="s">
        <v>4</v>
      </c>
      <c r="L52" s="63"/>
      <c r="M52" s="63"/>
      <c r="N52" s="8" t="str">
        <f t="shared" si="0"/>
        <v>1</v>
      </c>
      <c r="O52" s="8" t="str">
        <f>INDEX(Кат!$H:$H,MATCH($A52,Кат!$A:$A,0))</f>
        <v>Китай БЕСТ ПАРТНЕР</v>
      </c>
    </row>
    <row r="53" spans="1:15" ht="30" x14ac:dyDescent="0.25">
      <c r="A53" s="62">
        <v>133242</v>
      </c>
      <c r="B53" s="62">
        <v>37937</v>
      </c>
      <c r="C53" s="63" t="s">
        <v>304</v>
      </c>
      <c r="D53" s="63" t="s">
        <v>1155</v>
      </c>
      <c r="E53" s="63" t="s">
        <v>660</v>
      </c>
      <c r="F53" s="63"/>
      <c r="G53" s="63" t="s">
        <v>3</v>
      </c>
      <c r="H53" s="64">
        <v>300</v>
      </c>
      <c r="I53" s="64">
        <v>529</v>
      </c>
      <c r="J53" s="63"/>
      <c r="K53" s="63" t="s">
        <v>4</v>
      </c>
      <c r="L53" s="63"/>
      <c r="M53" s="63"/>
      <c r="N53" s="8" t="str">
        <f t="shared" si="0"/>
        <v>1</v>
      </c>
      <c r="O53" s="8" t="str">
        <f>INDEX(Кат!$H:$H,MATCH($A53,Кат!$A:$A,0))</f>
        <v>Китай БЕСТ ПАРТНЕР</v>
      </c>
    </row>
    <row r="54" spans="1:15" ht="30" x14ac:dyDescent="0.25">
      <c r="A54" s="62">
        <v>133243</v>
      </c>
      <c r="B54" s="62">
        <v>24001</v>
      </c>
      <c r="C54" s="63" t="s">
        <v>222</v>
      </c>
      <c r="D54" s="63" t="s">
        <v>1155</v>
      </c>
      <c r="E54" s="63" t="s">
        <v>1096</v>
      </c>
      <c r="F54" s="63"/>
      <c r="G54" s="63" t="s">
        <v>3</v>
      </c>
      <c r="H54" s="64">
        <v>500</v>
      </c>
      <c r="I54" s="64">
        <v>729</v>
      </c>
      <c r="J54" s="63"/>
      <c r="K54" s="63" t="s">
        <v>4</v>
      </c>
      <c r="L54" s="63"/>
      <c r="M54" s="63"/>
      <c r="N54" s="8" t="str">
        <f t="shared" si="0"/>
        <v>1</v>
      </c>
      <c r="O54" s="8" t="str">
        <f>INDEX(Кат!$H:$H,MATCH($A54,Кат!$A:$A,0))</f>
        <v>Китай БЕСТ ПАРТНЕР</v>
      </c>
    </row>
    <row r="55" spans="1:15" ht="30" x14ac:dyDescent="0.25">
      <c r="A55" s="62">
        <v>133244</v>
      </c>
      <c r="B55" s="62">
        <v>24002</v>
      </c>
      <c r="C55" s="63" t="s">
        <v>223</v>
      </c>
      <c r="D55" s="63" t="s">
        <v>1155</v>
      </c>
      <c r="E55" s="63" t="s">
        <v>1161</v>
      </c>
      <c r="F55" s="63"/>
      <c r="G55" s="63" t="s">
        <v>3</v>
      </c>
      <c r="H55" s="64">
        <v>400</v>
      </c>
      <c r="I55" s="64">
        <v>699</v>
      </c>
      <c r="J55" s="63"/>
      <c r="K55" s="63" t="s">
        <v>4</v>
      </c>
      <c r="L55" s="63"/>
      <c r="M55" s="63"/>
      <c r="N55" s="8" t="str">
        <f t="shared" si="0"/>
        <v>1</v>
      </c>
      <c r="O55" s="8" t="str">
        <f>INDEX(Кат!$H:$H,MATCH($A55,Кат!$A:$A,0))</f>
        <v>Китай БЕСТ ПАРТНЕР</v>
      </c>
    </row>
    <row r="56" spans="1:15" ht="30" x14ac:dyDescent="0.25">
      <c r="A56" s="62">
        <v>133245</v>
      </c>
      <c r="B56" s="62">
        <v>23942</v>
      </c>
      <c r="C56" s="63" t="s">
        <v>199</v>
      </c>
      <c r="D56" s="63" t="s">
        <v>1155</v>
      </c>
      <c r="E56" s="63" t="s">
        <v>1074</v>
      </c>
      <c r="F56" s="63"/>
      <c r="G56" s="63" t="s">
        <v>3</v>
      </c>
      <c r="H56" s="64">
        <v>450</v>
      </c>
      <c r="I56" s="64">
        <v>789</v>
      </c>
      <c r="J56" s="63"/>
      <c r="K56" s="63" t="s">
        <v>4</v>
      </c>
      <c r="L56" s="63"/>
      <c r="M56" s="63"/>
      <c r="N56" s="8" t="str">
        <f t="shared" si="0"/>
        <v>1</v>
      </c>
      <c r="O56" s="8" t="str">
        <f>INDEX(Кат!$H:$H,MATCH($A56,Кат!$A:$A,0))</f>
        <v>Китай БЕСТ ПАРТНЕР</v>
      </c>
    </row>
    <row r="57" spans="1:15" ht="30" x14ac:dyDescent="0.25">
      <c r="A57" s="62">
        <v>133246</v>
      </c>
      <c r="B57" s="62">
        <v>24003</v>
      </c>
      <c r="C57" s="63" t="s">
        <v>224</v>
      </c>
      <c r="D57" s="63" t="s">
        <v>1155</v>
      </c>
      <c r="E57" s="63" t="s">
        <v>1097</v>
      </c>
      <c r="F57" s="63"/>
      <c r="G57" s="63" t="s">
        <v>3</v>
      </c>
      <c r="H57" s="64">
        <v>500</v>
      </c>
      <c r="I57" s="64">
        <v>729</v>
      </c>
      <c r="J57" s="63"/>
      <c r="K57" s="63" t="s">
        <v>4</v>
      </c>
      <c r="L57" s="63"/>
      <c r="M57" s="63"/>
      <c r="N57" s="8" t="str">
        <f t="shared" si="0"/>
        <v>1</v>
      </c>
      <c r="O57" s="8" t="str">
        <f>INDEX(Кат!$H:$H,MATCH($A57,Кат!$A:$A,0))</f>
        <v>Китай БЕСТ ПАРТНЕР</v>
      </c>
    </row>
    <row r="58" spans="1:15" ht="30" x14ac:dyDescent="0.25">
      <c r="A58" s="62">
        <v>133247</v>
      </c>
      <c r="B58" s="62">
        <v>24012</v>
      </c>
      <c r="C58" s="63" t="s">
        <v>225</v>
      </c>
      <c r="D58" s="63" t="s">
        <v>1155</v>
      </c>
      <c r="E58" s="63" t="s">
        <v>1098</v>
      </c>
      <c r="F58" s="63"/>
      <c r="G58" s="63" t="s">
        <v>3</v>
      </c>
      <c r="H58" s="64">
        <v>800</v>
      </c>
      <c r="I58" s="64">
        <v>1190</v>
      </c>
      <c r="J58" s="63"/>
      <c r="K58" s="63" t="s">
        <v>4</v>
      </c>
      <c r="L58" s="63"/>
      <c r="M58" s="63"/>
      <c r="N58" s="8" t="str">
        <f t="shared" si="0"/>
        <v>1</v>
      </c>
      <c r="O58" s="8" t="str">
        <f>INDEX(Кат!$H:$H,MATCH($A58,Кат!$A:$A,0))</f>
        <v>Китай БЕСТ ПАРТНЕР</v>
      </c>
    </row>
    <row r="59" spans="1:15" ht="30" x14ac:dyDescent="0.25">
      <c r="A59" s="62">
        <v>133248</v>
      </c>
      <c r="B59" s="62">
        <v>24013</v>
      </c>
      <c r="C59" s="63" t="s">
        <v>634</v>
      </c>
      <c r="D59" s="63" t="s">
        <v>1155</v>
      </c>
      <c r="E59" s="63" t="s">
        <v>1099</v>
      </c>
      <c r="F59" s="63"/>
      <c r="G59" s="63" t="s">
        <v>3</v>
      </c>
      <c r="H59" s="64">
        <v>800</v>
      </c>
      <c r="I59" s="64">
        <v>1190</v>
      </c>
      <c r="J59" s="63"/>
      <c r="K59" s="63" t="s">
        <v>4</v>
      </c>
      <c r="L59" s="63"/>
      <c r="M59" s="63"/>
      <c r="N59" s="8" t="str">
        <f t="shared" si="0"/>
        <v>1</v>
      </c>
      <c r="O59" s="8" t="str">
        <f>INDEX(Кат!$H:$H,MATCH($A59,Кат!$A:$A,0))</f>
        <v>Китай БЕСТ ПАРТНЕР</v>
      </c>
    </row>
    <row r="60" spans="1:15" ht="30" x14ac:dyDescent="0.25">
      <c r="A60" s="62">
        <v>133249</v>
      </c>
      <c r="B60" s="62">
        <v>24015</v>
      </c>
      <c r="C60" s="63" t="s">
        <v>226</v>
      </c>
      <c r="D60" s="63" t="s">
        <v>1155</v>
      </c>
      <c r="E60" s="63" t="s">
        <v>1100</v>
      </c>
      <c r="F60" s="63"/>
      <c r="G60" s="63" t="s">
        <v>3</v>
      </c>
      <c r="H60" s="64">
        <v>450</v>
      </c>
      <c r="I60" s="64">
        <v>789</v>
      </c>
      <c r="J60" s="63"/>
      <c r="K60" s="63" t="s">
        <v>4</v>
      </c>
      <c r="L60" s="63"/>
      <c r="M60" s="63"/>
      <c r="N60" s="8" t="str">
        <f t="shared" si="0"/>
        <v>1</v>
      </c>
      <c r="O60" s="8" t="str">
        <f>INDEX(Кат!$H:$H,MATCH($A60,Кат!$A:$A,0))</f>
        <v>Китай БЕСТ ПАРТНЕР</v>
      </c>
    </row>
    <row r="61" spans="1:15" ht="30" x14ac:dyDescent="0.25">
      <c r="A61" s="62">
        <v>133250</v>
      </c>
      <c r="B61" s="62">
        <v>24017</v>
      </c>
      <c r="C61" s="63" t="s">
        <v>227</v>
      </c>
      <c r="D61" s="63" t="s">
        <v>1155</v>
      </c>
      <c r="E61" s="63" t="s">
        <v>1101</v>
      </c>
      <c r="F61" s="63"/>
      <c r="G61" s="63" t="s">
        <v>3</v>
      </c>
      <c r="H61" s="64">
        <v>1300</v>
      </c>
      <c r="I61" s="64">
        <v>1690</v>
      </c>
      <c r="J61" s="63"/>
      <c r="K61" s="63" t="s">
        <v>4</v>
      </c>
      <c r="L61" s="63"/>
      <c r="M61" s="63"/>
      <c r="N61" s="8" t="str">
        <f t="shared" si="0"/>
        <v>1</v>
      </c>
      <c r="O61" s="8" t="str">
        <f>INDEX(Кат!$H:$H,MATCH($A61,Кат!$A:$A,0))</f>
        <v>Китай БЕСТ ПАРТНЕР</v>
      </c>
    </row>
    <row r="62" spans="1:15" ht="30" x14ac:dyDescent="0.25">
      <c r="A62" s="62">
        <v>133251</v>
      </c>
      <c r="B62" s="62">
        <v>24021</v>
      </c>
      <c r="C62" s="63" t="s">
        <v>228</v>
      </c>
      <c r="D62" s="63" t="s">
        <v>1155</v>
      </c>
      <c r="E62" s="63" t="s">
        <v>1102</v>
      </c>
      <c r="F62" s="63"/>
      <c r="G62" s="63" t="s">
        <v>3</v>
      </c>
      <c r="H62" s="64">
        <v>550</v>
      </c>
      <c r="I62" s="64">
        <v>799</v>
      </c>
      <c r="J62" s="63"/>
      <c r="K62" s="63" t="s">
        <v>4</v>
      </c>
      <c r="L62" s="63"/>
      <c r="M62" s="63"/>
      <c r="N62" s="8" t="str">
        <f t="shared" si="0"/>
        <v>1</v>
      </c>
      <c r="O62" s="8" t="str">
        <f>INDEX(Кат!$H:$H,MATCH($A62,Кат!$A:$A,0))</f>
        <v>Китай БЕСТ ПАРТНЕР</v>
      </c>
    </row>
    <row r="63" spans="1:15" ht="30" x14ac:dyDescent="0.25">
      <c r="A63" s="62">
        <v>133252</v>
      </c>
      <c r="B63" s="62">
        <v>23947</v>
      </c>
      <c r="C63" s="63" t="s">
        <v>203</v>
      </c>
      <c r="D63" s="63" t="s">
        <v>1155</v>
      </c>
      <c r="E63" s="63" t="s">
        <v>1078</v>
      </c>
      <c r="F63" s="63"/>
      <c r="G63" s="63" t="s">
        <v>3</v>
      </c>
      <c r="H63" s="64">
        <v>800</v>
      </c>
      <c r="I63" s="64">
        <v>1190</v>
      </c>
      <c r="J63" s="63"/>
      <c r="K63" s="63" t="s">
        <v>4</v>
      </c>
      <c r="L63" s="63"/>
      <c r="M63" s="63"/>
      <c r="N63" s="8" t="str">
        <f t="shared" si="0"/>
        <v>1</v>
      </c>
      <c r="O63" s="8" t="str">
        <f>INDEX(Кат!$H:$H,MATCH($A63,Кат!$A:$A,0))</f>
        <v>Китай БЕСТ ПАРТНЕР</v>
      </c>
    </row>
    <row r="64" spans="1:15" ht="30" x14ac:dyDescent="0.25">
      <c r="A64" s="62">
        <v>133253</v>
      </c>
      <c r="B64" s="62">
        <v>23931</v>
      </c>
      <c r="C64" s="63" t="s">
        <v>194</v>
      </c>
      <c r="D64" s="63" t="s">
        <v>1155</v>
      </c>
      <c r="E64" s="63" t="s">
        <v>1071</v>
      </c>
      <c r="F64" s="63"/>
      <c r="G64" s="63" t="s">
        <v>3</v>
      </c>
      <c r="H64" s="64">
        <v>450</v>
      </c>
      <c r="I64" s="64">
        <v>789</v>
      </c>
      <c r="J64" s="63"/>
      <c r="K64" s="63" t="s">
        <v>4</v>
      </c>
      <c r="L64" s="63"/>
      <c r="M64" s="63"/>
      <c r="N64" s="8" t="str">
        <f t="shared" si="0"/>
        <v>1</v>
      </c>
      <c r="O64" s="8" t="str">
        <f>INDEX(Кат!$H:$H,MATCH($A64,Кат!$A:$A,0))</f>
        <v>Китай БЕСТ ПАРТНЕР</v>
      </c>
    </row>
    <row r="65" spans="1:15" ht="30" x14ac:dyDescent="0.25">
      <c r="A65" s="62">
        <v>133254</v>
      </c>
      <c r="B65" s="62">
        <v>24025</v>
      </c>
      <c r="C65" s="63" t="s">
        <v>230</v>
      </c>
      <c r="D65" s="63" t="s">
        <v>1155</v>
      </c>
      <c r="E65" s="63" t="s">
        <v>1104</v>
      </c>
      <c r="F65" s="63"/>
      <c r="G65" s="63" t="s">
        <v>3</v>
      </c>
      <c r="H65" s="64">
        <v>450</v>
      </c>
      <c r="I65" s="64">
        <v>789</v>
      </c>
      <c r="J65" s="63"/>
      <c r="K65" s="63" t="s">
        <v>4</v>
      </c>
      <c r="L65" s="63"/>
      <c r="M65" s="63"/>
      <c r="N65" s="8" t="str">
        <f t="shared" si="0"/>
        <v>1</v>
      </c>
      <c r="O65" s="8" t="str">
        <f>INDEX(Кат!$H:$H,MATCH($A65,Кат!$A:$A,0))</f>
        <v>Китай БЕСТ ПАРТНЕР</v>
      </c>
    </row>
    <row r="66" spans="1:15" ht="30" x14ac:dyDescent="0.25">
      <c r="A66" s="62">
        <v>133255</v>
      </c>
      <c r="B66" s="62">
        <v>23943</v>
      </c>
      <c r="C66" s="63" t="s">
        <v>200</v>
      </c>
      <c r="D66" s="63" t="s">
        <v>1155</v>
      </c>
      <c r="E66" s="63" t="s">
        <v>1075</v>
      </c>
      <c r="F66" s="63"/>
      <c r="G66" s="63" t="s">
        <v>3</v>
      </c>
      <c r="H66" s="64">
        <v>600</v>
      </c>
      <c r="I66" s="64">
        <v>869</v>
      </c>
      <c r="J66" s="63"/>
      <c r="K66" s="63" t="s">
        <v>1156</v>
      </c>
      <c r="L66" s="63"/>
      <c r="M66" s="63"/>
      <c r="N66" s="8" t="str">
        <f t="shared" si="0"/>
        <v>0</v>
      </c>
      <c r="O66" s="8" t="str">
        <f>INDEX(Кат!$H:$H,MATCH($A66,Кат!$A:$A,0))</f>
        <v>Китай БЕСТ ПАРТНЕР</v>
      </c>
    </row>
    <row r="67" spans="1:15" ht="30" x14ac:dyDescent="0.25">
      <c r="A67" s="62">
        <v>133256</v>
      </c>
      <c r="B67" s="62">
        <v>24026</v>
      </c>
      <c r="C67" s="63" t="s">
        <v>231</v>
      </c>
      <c r="D67" s="63" t="s">
        <v>1155</v>
      </c>
      <c r="E67" s="63" t="s">
        <v>1105</v>
      </c>
      <c r="F67" s="63"/>
      <c r="G67" s="63" t="s">
        <v>3</v>
      </c>
      <c r="H67" s="64">
        <v>450</v>
      </c>
      <c r="I67" s="64">
        <v>789</v>
      </c>
      <c r="J67" s="63"/>
      <c r="K67" s="63" t="s">
        <v>4</v>
      </c>
      <c r="L67" s="63"/>
      <c r="M67" s="63"/>
      <c r="N67" s="8" t="str">
        <f t="shared" ref="N67:N130" si="1">_xlfn.CONCAT(K67,IF(L67&lt;&gt;"",_xlfn.CONCAT("ск",L67),""))</f>
        <v>1</v>
      </c>
      <c r="O67" s="8" t="str">
        <f>INDEX(Кат!$H:$H,MATCH($A67,Кат!$A:$A,0))</f>
        <v>Китай БЕСТ ПАРТНЕР</v>
      </c>
    </row>
    <row r="68" spans="1:15" ht="30" x14ac:dyDescent="0.25">
      <c r="A68" s="62">
        <v>133257</v>
      </c>
      <c r="B68" s="62">
        <v>24027</v>
      </c>
      <c r="C68" s="63" t="s">
        <v>232</v>
      </c>
      <c r="D68" s="63" t="s">
        <v>1155</v>
      </c>
      <c r="E68" s="63" t="s">
        <v>1106</v>
      </c>
      <c r="F68" s="63"/>
      <c r="G68" s="63" t="s">
        <v>3</v>
      </c>
      <c r="H68" s="64">
        <v>700</v>
      </c>
      <c r="I68" s="64">
        <v>1090</v>
      </c>
      <c r="J68" s="63"/>
      <c r="K68" s="63" t="s">
        <v>4</v>
      </c>
      <c r="L68" s="63"/>
      <c r="M68" s="63"/>
      <c r="N68" s="8" t="str">
        <f t="shared" si="1"/>
        <v>1</v>
      </c>
      <c r="O68" s="8" t="str">
        <f>INDEX(Кат!$H:$H,MATCH($A68,Кат!$A:$A,0))</f>
        <v>Китай БЕСТ ПАРТНЕР</v>
      </c>
    </row>
    <row r="69" spans="1:15" ht="30" x14ac:dyDescent="0.25">
      <c r="A69" s="62">
        <v>133258</v>
      </c>
      <c r="B69" s="62">
        <v>24028</v>
      </c>
      <c r="C69" s="63" t="s">
        <v>233</v>
      </c>
      <c r="D69" s="63" t="s">
        <v>1155</v>
      </c>
      <c r="E69" s="63" t="s">
        <v>1107</v>
      </c>
      <c r="F69" s="63"/>
      <c r="G69" s="63" t="s">
        <v>3</v>
      </c>
      <c r="H69" s="64">
        <v>1200</v>
      </c>
      <c r="I69" s="64">
        <v>1590</v>
      </c>
      <c r="J69" s="63"/>
      <c r="K69" s="63" t="s">
        <v>4</v>
      </c>
      <c r="L69" s="63"/>
      <c r="M69" s="63"/>
      <c r="N69" s="8" t="str">
        <f t="shared" si="1"/>
        <v>1</v>
      </c>
      <c r="O69" s="8" t="str">
        <f>INDEX(Кат!$H:$H,MATCH($A69,Кат!$A:$A,0))</f>
        <v>Китай БЕСТ ПАРТНЕР</v>
      </c>
    </row>
    <row r="70" spans="1:15" ht="30" x14ac:dyDescent="0.25">
      <c r="A70" s="62">
        <v>133259</v>
      </c>
      <c r="B70" s="62">
        <v>24029</v>
      </c>
      <c r="C70" s="63" t="s">
        <v>234</v>
      </c>
      <c r="D70" s="63" t="s">
        <v>1155</v>
      </c>
      <c r="E70" s="63" t="s">
        <v>1108</v>
      </c>
      <c r="F70" s="63"/>
      <c r="G70" s="63" t="s">
        <v>3</v>
      </c>
      <c r="H70" s="64">
        <v>450</v>
      </c>
      <c r="I70" s="64">
        <v>789</v>
      </c>
      <c r="J70" s="63"/>
      <c r="K70" s="63" t="s">
        <v>4</v>
      </c>
      <c r="L70" s="63"/>
      <c r="M70" s="63"/>
      <c r="N70" s="8" t="str">
        <f t="shared" si="1"/>
        <v>1</v>
      </c>
      <c r="O70" s="8" t="str">
        <f>INDEX(Кат!$H:$H,MATCH($A70,Кат!$A:$A,0))</f>
        <v>Китай БЕСТ ПАРТНЕР</v>
      </c>
    </row>
    <row r="71" spans="1:15" ht="30" x14ac:dyDescent="0.25">
      <c r="A71" s="62">
        <v>133260</v>
      </c>
      <c r="B71" s="62">
        <v>23937</v>
      </c>
      <c r="C71" s="63" t="s">
        <v>197</v>
      </c>
      <c r="D71" s="63" t="s">
        <v>1155</v>
      </c>
      <c r="E71" s="63" t="s">
        <v>1072</v>
      </c>
      <c r="F71" s="63"/>
      <c r="G71" s="63" t="s">
        <v>3</v>
      </c>
      <c r="H71" s="64">
        <v>700</v>
      </c>
      <c r="I71" s="64">
        <v>1090</v>
      </c>
      <c r="J71" s="63"/>
      <c r="K71" s="63" t="s">
        <v>4</v>
      </c>
      <c r="L71" s="63"/>
      <c r="M71" s="63"/>
      <c r="N71" s="8" t="str">
        <f t="shared" si="1"/>
        <v>1</v>
      </c>
      <c r="O71" s="8" t="str">
        <f>INDEX(Кат!$H:$H,MATCH($A71,Кат!$A:$A,0))</f>
        <v>Китай БЕСТ ПАРТНЕР</v>
      </c>
    </row>
    <row r="72" spans="1:15" ht="30" x14ac:dyDescent="0.25">
      <c r="A72" s="62">
        <v>133261</v>
      </c>
      <c r="B72" s="62">
        <v>24030</v>
      </c>
      <c r="C72" s="63" t="s">
        <v>235</v>
      </c>
      <c r="D72" s="63" t="s">
        <v>1155</v>
      </c>
      <c r="E72" s="63" t="s">
        <v>1109</v>
      </c>
      <c r="F72" s="63"/>
      <c r="G72" s="63" t="s">
        <v>3</v>
      </c>
      <c r="H72" s="64">
        <v>450</v>
      </c>
      <c r="I72" s="64">
        <v>789</v>
      </c>
      <c r="J72" s="63"/>
      <c r="K72" s="63" t="s">
        <v>4</v>
      </c>
      <c r="L72" s="63"/>
      <c r="M72" s="63"/>
      <c r="N72" s="8" t="str">
        <f t="shared" si="1"/>
        <v>1</v>
      </c>
      <c r="O72" s="8" t="str">
        <f>INDEX(Кат!$H:$H,MATCH($A72,Кат!$A:$A,0))</f>
        <v>Китай БЕСТ ПАРТНЕР</v>
      </c>
    </row>
    <row r="73" spans="1:15" ht="30" x14ac:dyDescent="0.25">
      <c r="A73" s="62">
        <v>133262</v>
      </c>
      <c r="B73" s="62">
        <v>24031</v>
      </c>
      <c r="C73" s="63" t="s">
        <v>236</v>
      </c>
      <c r="D73" s="63" t="s">
        <v>1155</v>
      </c>
      <c r="E73" s="63" t="s">
        <v>1110</v>
      </c>
      <c r="F73" s="63"/>
      <c r="G73" s="63" t="s">
        <v>3</v>
      </c>
      <c r="H73" s="64">
        <v>700</v>
      </c>
      <c r="I73" s="64">
        <v>1090</v>
      </c>
      <c r="J73" s="63"/>
      <c r="K73" s="63" t="s">
        <v>4</v>
      </c>
      <c r="L73" s="63"/>
      <c r="M73" s="63"/>
      <c r="N73" s="8" t="str">
        <f t="shared" si="1"/>
        <v>1</v>
      </c>
      <c r="O73" s="8" t="str">
        <f>INDEX(Кат!$H:$H,MATCH($A73,Кат!$A:$A,0))</f>
        <v>Китай БЕСТ ПАРТНЕР</v>
      </c>
    </row>
    <row r="74" spans="1:15" ht="30" x14ac:dyDescent="0.25">
      <c r="A74" s="62">
        <v>133263</v>
      </c>
      <c r="B74" s="62">
        <v>23949</v>
      </c>
      <c r="C74" s="63" t="s">
        <v>205</v>
      </c>
      <c r="D74" s="63" t="s">
        <v>1155</v>
      </c>
      <c r="E74" s="63" t="s">
        <v>1079</v>
      </c>
      <c r="F74" s="63"/>
      <c r="G74" s="63" t="s">
        <v>3</v>
      </c>
      <c r="H74" s="64">
        <v>1200</v>
      </c>
      <c r="I74" s="64">
        <v>1590</v>
      </c>
      <c r="J74" s="63"/>
      <c r="K74" s="63" t="s">
        <v>4</v>
      </c>
      <c r="L74" s="63"/>
      <c r="M74" s="63"/>
      <c r="N74" s="8" t="str">
        <f t="shared" si="1"/>
        <v>1</v>
      </c>
      <c r="O74" s="8" t="str">
        <f>INDEX(Кат!$H:$H,MATCH($A74,Кат!$A:$A,0))</f>
        <v>Китай БЕСТ ПАРТНЕР</v>
      </c>
    </row>
    <row r="75" spans="1:15" ht="30" x14ac:dyDescent="0.25">
      <c r="A75" s="62">
        <v>133264</v>
      </c>
      <c r="B75" s="62">
        <v>23936</v>
      </c>
      <c r="C75" s="63" t="s">
        <v>196</v>
      </c>
      <c r="D75" s="63" t="s">
        <v>1155</v>
      </c>
      <c r="E75" s="63" t="s">
        <v>632</v>
      </c>
      <c r="F75" s="63"/>
      <c r="G75" s="63" t="s">
        <v>3</v>
      </c>
      <c r="H75" s="64">
        <v>700</v>
      </c>
      <c r="I75" s="64">
        <v>1090</v>
      </c>
      <c r="J75" s="63"/>
      <c r="K75" s="63" t="s">
        <v>4</v>
      </c>
      <c r="L75" s="63"/>
      <c r="M75" s="63"/>
      <c r="N75" s="8" t="str">
        <f t="shared" si="1"/>
        <v>1</v>
      </c>
      <c r="O75" s="8" t="str">
        <f>INDEX(Кат!$H:$H,MATCH($A75,Кат!$A:$A,0))</f>
        <v>Китай БЕСТ ПАРТНЕР</v>
      </c>
    </row>
    <row r="76" spans="1:15" ht="30" x14ac:dyDescent="0.25">
      <c r="A76" s="62">
        <v>133265</v>
      </c>
      <c r="B76" s="62">
        <v>23951</v>
      </c>
      <c r="C76" s="63" t="s">
        <v>207</v>
      </c>
      <c r="D76" s="63" t="s">
        <v>1155</v>
      </c>
      <c r="E76" s="63" t="s">
        <v>1081</v>
      </c>
      <c r="F76" s="63"/>
      <c r="G76" s="63" t="s">
        <v>3</v>
      </c>
      <c r="H76" s="64">
        <v>1100</v>
      </c>
      <c r="I76" s="64">
        <v>1490</v>
      </c>
      <c r="J76" s="63"/>
      <c r="K76" s="63" t="s">
        <v>4</v>
      </c>
      <c r="L76" s="63"/>
      <c r="M76" s="63"/>
      <c r="N76" s="8" t="str">
        <f t="shared" si="1"/>
        <v>1</v>
      </c>
      <c r="O76" s="8" t="str">
        <f>INDEX(Кат!$H:$H,MATCH($A76,Кат!$A:$A,0))</f>
        <v>Китай БЕСТ ПАРТНЕР</v>
      </c>
    </row>
    <row r="77" spans="1:15" ht="30" x14ac:dyDescent="0.25">
      <c r="A77" s="62">
        <v>133266</v>
      </c>
      <c r="B77" s="62">
        <v>37950</v>
      </c>
      <c r="C77" s="63" t="s">
        <v>299</v>
      </c>
      <c r="D77" s="63" t="s">
        <v>1155</v>
      </c>
      <c r="E77" s="63" t="s">
        <v>663</v>
      </c>
      <c r="F77" s="63"/>
      <c r="G77" s="63" t="s">
        <v>3</v>
      </c>
      <c r="H77" s="64">
        <v>650</v>
      </c>
      <c r="I77" s="64">
        <v>949</v>
      </c>
      <c r="J77" s="63"/>
      <c r="K77" s="63" t="s">
        <v>4</v>
      </c>
      <c r="L77" s="63"/>
      <c r="M77" s="63"/>
      <c r="N77" s="8" t="str">
        <f t="shared" si="1"/>
        <v>1</v>
      </c>
      <c r="O77" s="8" t="str">
        <f>INDEX(Кат!$H:$H,MATCH($A77,Кат!$A:$A,0))</f>
        <v>Китай БЕСТ ПАРТНЕР</v>
      </c>
    </row>
    <row r="78" spans="1:15" ht="30" x14ac:dyDescent="0.25">
      <c r="A78" s="62">
        <v>133267</v>
      </c>
      <c r="B78" s="62">
        <v>24037</v>
      </c>
      <c r="C78" s="63" t="s">
        <v>237</v>
      </c>
      <c r="D78" s="63" t="s">
        <v>1155</v>
      </c>
      <c r="E78" s="63" t="s">
        <v>1111</v>
      </c>
      <c r="F78" s="63"/>
      <c r="G78" s="63" t="s">
        <v>3</v>
      </c>
      <c r="H78" s="64">
        <v>450</v>
      </c>
      <c r="I78" s="64">
        <v>789</v>
      </c>
      <c r="J78" s="63"/>
      <c r="K78" s="63" t="s">
        <v>4</v>
      </c>
      <c r="L78" s="63"/>
      <c r="M78" s="63"/>
      <c r="N78" s="8" t="str">
        <f t="shared" si="1"/>
        <v>1</v>
      </c>
      <c r="O78" s="8" t="str">
        <f>INDEX(Кат!$H:$H,MATCH($A78,Кат!$A:$A,0))</f>
        <v>Китай БЕСТ ПАРТНЕР</v>
      </c>
    </row>
    <row r="79" spans="1:15" ht="30" x14ac:dyDescent="0.25">
      <c r="A79" s="62">
        <v>133268</v>
      </c>
      <c r="B79" s="62">
        <v>23945</v>
      </c>
      <c r="C79" s="63" t="s">
        <v>201</v>
      </c>
      <c r="D79" s="63" t="s">
        <v>1155</v>
      </c>
      <c r="E79" s="63" t="s">
        <v>1076</v>
      </c>
      <c r="F79" s="63"/>
      <c r="G79" s="63" t="s">
        <v>3</v>
      </c>
      <c r="H79" s="64">
        <v>650</v>
      </c>
      <c r="I79" s="64">
        <v>949</v>
      </c>
      <c r="J79" s="63"/>
      <c r="K79" s="63" t="s">
        <v>4</v>
      </c>
      <c r="L79" s="63"/>
      <c r="M79" s="63"/>
      <c r="N79" s="8" t="str">
        <f t="shared" si="1"/>
        <v>1</v>
      </c>
      <c r="O79" s="8" t="str">
        <f>INDEX(Кат!$H:$H,MATCH($A79,Кат!$A:$A,0))</f>
        <v>Китай БЕСТ ПАРТНЕР</v>
      </c>
    </row>
    <row r="80" spans="1:15" ht="30" x14ac:dyDescent="0.25">
      <c r="A80" s="62">
        <v>133269</v>
      </c>
      <c r="B80" s="62">
        <v>24038</v>
      </c>
      <c r="C80" s="63" t="s">
        <v>238</v>
      </c>
      <c r="D80" s="63" t="s">
        <v>1155</v>
      </c>
      <c r="E80" s="63" t="s">
        <v>1112</v>
      </c>
      <c r="F80" s="63"/>
      <c r="G80" s="63" t="s">
        <v>3</v>
      </c>
      <c r="H80" s="64">
        <v>850</v>
      </c>
      <c r="I80" s="64">
        <v>1290</v>
      </c>
      <c r="J80" s="63"/>
      <c r="K80" s="63" t="s">
        <v>4</v>
      </c>
      <c r="L80" s="63"/>
      <c r="M80" s="63"/>
      <c r="N80" s="8" t="str">
        <f t="shared" si="1"/>
        <v>1</v>
      </c>
      <c r="O80" s="8" t="str">
        <f>INDEX(Кат!$H:$H,MATCH($A80,Кат!$A:$A,0))</f>
        <v>Китай БЕСТ ПАРТНЕР</v>
      </c>
    </row>
    <row r="81" spans="1:15" ht="30" x14ac:dyDescent="0.25">
      <c r="A81" s="62">
        <v>133270</v>
      </c>
      <c r="B81" s="62">
        <v>24039</v>
      </c>
      <c r="C81" s="63" t="s">
        <v>239</v>
      </c>
      <c r="D81" s="63" t="s">
        <v>1155</v>
      </c>
      <c r="E81" s="63" t="s">
        <v>1113</v>
      </c>
      <c r="F81" s="63"/>
      <c r="G81" s="63" t="s">
        <v>3</v>
      </c>
      <c r="H81" s="64">
        <v>1100</v>
      </c>
      <c r="I81" s="64">
        <v>1490</v>
      </c>
      <c r="J81" s="63"/>
      <c r="K81" s="63" t="s">
        <v>4</v>
      </c>
      <c r="L81" s="63"/>
      <c r="M81" s="63"/>
      <c r="N81" s="8" t="str">
        <f t="shared" si="1"/>
        <v>1</v>
      </c>
      <c r="O81" s="8" t="str">
        <f>INDEX(Кат!$H:$H,MATCH($A81,Кат!$A:$A,0))</f>
        <v>Китай БЕСТ ПАРТНЕР</v>
      </c>
    </row>
    <row r="82" spans="1:15" ht="30" x14ac:dyDescent="0.25">
      <c r="A82" s="62">
        <v>133271</v>
      </c>
      <c r="B82" s="62">
        <v>24041</v>
      </c>
      <c r="C82" s="63" t="s">
        <v>240</v>
      </c>
      <c r="D82" s="63" t="s">
        <v>1155</v>
      </c>
      <c r="E82" s="63" t="s">
        <v>1114</v>
      </c>
      <c r="F82" s="63"/>
      <c r="G82" s="63" t="s">
        <v>3</v>
      </c>
      <c r="H82" s="64">
        <v>2400</v>
      </c>
      <c r="I82" s="64">
        <v>3090</v>
      </c>
      <c r="J82" s="63"/>
      <c r="K82" s="63" t="s">
        <v>4</v>
      </c>
      <c r="L82" s="63"/>
      <c r="M82" s="63"/>
      <c r="N82" s="8" t="str">
        <f t="shared" si="1"/>
        <v>1</v>
      </c>
      <c r="O82" s="8" t="str">
        <f>INDEX(Кат!$H:$H,MATCH($A82,Кат!$A:$A,0))</f>
        <v>Китай БЕСТ ПАРТНЕР</v>
      </c>
    </row>
    <row r="83" spans="1:15" ht="30" x14ac:dyDescent="0.25">
      <c r="A83" s="62">
        <v>133272</v>
      </c>
      <c r="B83" s="62">
        <v>24047</v>
      </c>
      <c r="C83" s="63" t="s">
        <v>246</v>
      </c>
      <c r="D83" s="63" t="s">
        <v>1155</v>
      </c>
      <c r="E83" s="63" t="s">
        <v>1120</v>
      </c>
      <c r="F83" s="63"/>
      <c r="G83" s="63" t="s">
        <v>3</v>
      </c>
      <c r="H83" s="64">
        <v>500</v>
      </c>
      <c r="I83" s="64">
        <v>729</v>
      </c>
      <c r="J83" s="63"/>
      <c r="K83" s="63" t="s">
        <v>4</v>
      </c>
      <c r="L83" s="63"/>
      <c r="M83" s="63"/>
      <c r="N83" s="8" t="str">
        <f t="shared" si="1"/>
        <v>1</v>
      </c>
      <c r="O83" s="8" t="str">
        <f>INDEX(Кат!$H:$H,MATCH($A83,Кат!$A:$A,0))</f>
        <v>Китай БЕСТ ПАРТНЕР</v>
      </c>
    </row>
    <row r="84" spans="1:15" ht="30" x14ac:dyDescent="0.25">
      <c r="A84" s="62">
        <v>133273</v>
      </c>
      <c r="B84" s="62">
        <v>37946</v>
      </c>
      <c r="C84" s="63" t="s">
        <v>300</v>
      </c>
      <c r="D84" s="63" t="s">
        <v>1155</v>
      </c>
      <c r="E84" s="63" t="s">
        <v>1127</v>
      </c>
      <c r="F84" s="63"/>
      <c r="G84" s="63" t="s">
        <v>3</v>
      </c>
      <c r="H84" s="64">
        <v>300</v>
      </c>
      <c r="I84" s="64">
        <v>529</v>
      </c>
      <c r="J84" s="63"/>
      <c r="K84" s="63" t="s">
        <v>4</v>
      </c>
      <c r="L84" s="63"/>
      <c r="M84" s="63"/>
      <c r="N84" s="8" t="str">
        <f t="shared" si="1"/>
        <v>1</v>
      </c>
      <c r="O84" s="8" t="str">
        <f>INDEX(Кат!$H:$H,MATCH($A84,Кат!$A:$A,0))</f>
        <v>Китай БЕСТ ПАРТНЕР</v>
      </c>
    </row>
    <row r="85" spans="1:15" ht="30" x14ac:dyDescent="0.25">
      <c r="A85" s="62">
        <v>133274</v>
      </c>
      <c r="B85" s="62">
        <v>24048</v>
      </c>
      <c r="C85" s="63" t="s">
        <v>247</v>
      </c>
      <c r="D85" s="63" t="s">
        <v>1155</v>
      </c>
      <c r="E85" s="63" t="s">
        <v>1121</v>
      </c>
      <c r="F85" s="63"/>
      <c r="G85" s="63" t="s">
        <v>3</v>
      </c>
      <c r="H85" s="64">
        <v>850</v>
      </c>
      <c r="I85" s="64">
        <v>1290</v>
      </c>
      <c r="J85" s="63"/>
      <c r="K85" s="63" t="s">
        <v>4</v>
      </c>
      <c r="L85" s="63"/>
      <c r="M85" s="63"/>
      <c r="N85" s="8" t="str">
        <f t="shared" si="1"/>
        <v>1</v>
      </c>
      <c r="O85" s="8" t="str">
        <f>INDEX(Кат!$H:$H,MATCH($A85,Кат!$A:$A,0))</f>
        <v>Китай БЕСТ ПАРТНЕР</v>
      </c>
    </row>
    <row r="86" spans="1:15" ht="45" x14ac:dyDescent="0.25">
      <c r="A86" s="62">
        <v>133275</v>
      </c>
      <c r="B86" s="62">
        <v>23950</v>
      </c>
      <c r="C86" s="63" t="s">
        <v>206</v>
      </c>
      <c r="D86" s="63" t="s">
        <v>1155</v>
      </c>
      <c r="E86" s="63" t="s">
        <v>1080</v>
      </c>
      <c r="F86" s="63"/>
      <c r="G86" s="63" t="s">
        <v>3</v>
      </c>
      <c r="H86" s="64">
        <v>400</v>
      </c>
      <c r="I86" s="64">
        <v>699</v>
      </c>
      <c r="J86" s="63"/>
      <c r="K86" s="63" t="s">
        <v>4</v>
      </c>
      <c r="L86" s="63"/>
      <c r="M86" s="63"/>
      <c r="N86" s="8" t="str">
        <f t="shared" si="1"/>
        <v>1</v>
      </c>
      <c r="O86" s="8" t="str">
        <f>INDEX(Кат!$H:$H,MATCH($A86,Кат!$A:$A,0))</f>
        <v>Китай БЕСТ ПАРТНЕР</v>
      </c>
    </row>
    <row r="87" spans="1:15" ht="30" x14ac:dyDescent="0.25">
      <c r="A87" s="62">
        <v>133276</v>
      </c>
      <c r="B87" s="62">
        <v>24051</v>
      </c>
      <c r="C87" s="63" t="s">
        <v>248</v>
      </c>
      <c r="D87" s="63" t="s">
        <v>1155</v>
      </c>
      <c r="E87" s="63" t="s">
        <v>1122</v>
      </c>
      <c r="F87" s="63"/>
      <c r="G87" s="63" t="s">
        <v>3</v>
      </c>
      <c r="H87" s="64">
        <v>3000</v>
      </c>
      <c r="I87" s="64">
        <v>3890</v>
      </c>
      <c r="J87" s="63"/>
      <c r="K87" s="63" t="s">
        <v>4</v>
      </c>
      <c r="L87" s="63"/>
      <c r="M87" s="63"/>
      <c r="N87" s="8" t="str">
        <f t="shared" si="1"/>
        <v>1</v>
      </c>
      <c r="O87" s="8" t="str">
        <f>INDEX(Кат!$H:$H,MATCH($A87,Кат!$A:$A,0))</f>
        <v>Китай БЕСТ ПАРТНЕР</v>
      </c>
    </row>
    <row r="88" spans="1:15" ht="30" x14ac:dyDescent="0.25">
      <c r="A88" s="62">
        <v>133277</v>
      </c>
      <c r="B88" s="62">
        <v>24023</v>
      </c>
      <c r="C88" s="63" t="s">
        <v>229</v>
      </c>
      <c r="D88" s="63" t="s">
        <v>1155</v>
      </c>
      <c r="E88" s="63" t="s">
        <v>1103</v>
      </c>
      <c r="F88" s="63"/>
      <c r="G88" s="63" t="s">
        <v>3</v>
      </c>
      <c r="H88" s="64">
        <v>400</v>
      </c>
      <c r="I88" s="64">
        <v>699</v>
      </c>
      <c r="J88" s="63"/>
      <c r="K88" s="63" t="s">
        <v>4</v>
      </c>
      <c r="L88" s="63"/>
      <c r="M88" s="63"/>
      <c r="N88" s="8" t="str">
        <f t="shared" si="1"/>
        <v>1</v>
      </c>
      <c r="O88" s="8" t="str">
        <f>INDEX(Кат!$H:$H,MATCH($A88,Кат!$A:$A,0))</f>
        <v>Китай БЕСТ ПАРТНЕР</v>
      </c>
    </row>
    <row r="89" spans="1:15" ht="30" x14ac:dyDescent="0.25">
      <c r="A89" s="62">
        <v>133278</v>
      </c>
      <c r="B89" s="62">
        <v>24042</v>
      </c>
      <c r="C89" s="63" t="s">
        <v>241</v>
      </c>
      <c r="D89" s="63" t="s">
        <v>1155</v>
      </c>
      <c r="E89" s="63" t="s">
        <v>1115</v>
      </c>
      <c r="F89" s="63"/>
      <c r="G89" s="63" t="s">
        <v>3</v>
      </c>
      <c r="H89" s="64">
        <v>1900</v>
      </c>
      <c r="I89" s="64">
        <v>2490</v>
      </c>
      <c r="J89" s="63"/>
      <c r="K89" s="63" t="s">
        <v>4</v>
      </c>
      <c r="L89" s="63"/>
      <c r="M89" s="63"/>
      <c r="N89" s="8" t="str">
        <f t="shared" si="1"/>
        <v>1</v>
      </c>
      <c r="O89" s="8" t="str">
        <f>INDEX(Кат!$H:$H,MATCH($A89,Кат!$A:$A,0))</f>
        <v>Китай БЕСТ ПАРТНЕР</v>
      </c>
    </row>
    <row r="90" spans="1:15" ht="30" x14ac:dyDescent="0.25">
      <c r="A90" s="62">
        <v>133279</v>
      </c>
      <c r="B90" s="62">
        <v>24043</v>
      </c>
      <c r="C90" s="63" t="s">
        <v>242</v>
      </c>
      <c r="D90" s="63" t="s">
        <v>1155</v>
      </c>
      <c r="E90" s="63" t="s">
        <v>1116</v>
      </c>
      <c r="F90" s="63"/>
      <c r="G90" s="63" t="s">
        <v>3</v>
      </c>
      <c r="H90" s="64">
        <v>3200</v>
      </c>
      <c r="I90" s="64">
        <v>4190</v>
      </c>
      <c r="J90" s="63"/>
      <c r="K90" s="63" t="s">
        <v>4</v>
      </c>
      <c r="L90" s="63"/>
      <c r="M90" s="63"/>
      <c r="N90" s="8" t="str">
        <f t="shared" si="1"/>
        <v>1</v>
      </c>
      <c r="O90" s="8" t="str">
        <f>INDEX(Кат!$H:$H,MATCH($A90,Кат!$A:$A,0))</f>
        <v>Китай БЕСТ ПАРТНЕР</v>
      </c>
    </row>
    <row r="91" spans="1:15" ht="30" x14ac:dyDescent="0.25">
      <c r="A91" s="62">
        <v>133280</v>
      </c>
      <c r="B91" s="62">
        <v>24044</v>
      </c>
      <c r="C91" s="63" t="s">
        <v>243</v>
      </c>
      <c r="D91" s="63" t="s">
        <v>1155</v>
      </c>
      <c r="E91" s="63" t="s">
        <v>1117</v>
      </c>
      <c r="F91" s="63"/>
      <c r="G91" s="63" t="s">
        <v>3</v>
      </c>
      <c r="H91" s="64">
        <v>4500</v>
      </c>
      <c r="I91" s="64">
        <v>5790</v>
      </c>
      <c r="J91" s="63"/>
      <c r="K91" s="63" t="s">
        <v>4</v>
      </c>
      <c r="L91" s="63"/>
      <c r="M91" s="63"/>
      <c r="N91" s="8" t="str">
        <f t="shared" si="1"/>
        <v>1</v>
      </c>
      <c r="O91" s="8" t="str">
        <f>INDEX(Кат!$H:$H,MATCH($A91,Кат!$A:$A,0))</f>
        <v>Китай БЕСТ ПАРТНЕР</v>
      </c>
    </row>
    <row r="92" spans="1:15" ht="30" x14ac:dyDescent="0.25">
      <c r="A92" s="62">
        <v>133281</v>
      </c>
      <c r="B92" s="62">
        <v>24045</v>
      </c>
      <c r="C92" s="63" t="s">
        <v>244</v>
      </c>
      <c r="D92" s="63" t="s">
        <v>1155</v>
      </c>
      <c r="E92" s="63" t="s">
        <v>1118</v>
      </c>
      <c r="F92" s="63"/>
      <c r="G92" s="63" t="s">
        <v>3</v>
      </c>
      <c r="H92" s="64">
        <v>6100</v>
      </c>
      <c r="I92" s="64">
        <v>7990</v>
      </c>
      <c r="J92" s="63"/>
      <c r="K92" s="63" t="s">
        <v>4</v>
      </c>
      <c r="L92" s="63"/>
      <c r="M92" s="63"/>
      <c r="N92" s="8" t="str">
        <f t="shared" si="1"/>
        <v>1</v>
      </c>
      <c r="O92" s="8" t="str">
        <f>INDEX(Кат!$H:$H,MATCH($A92,Кат!$A:$A,0))</f>
        <v>Китай БЕСТ ПАРТНЕР</v>
      </c>
    </row>
    <row r="93" spans="1:15" ht="30" x14ac:dyDescent="0.25">
      <c r="A93" s="62">
        <v>133282</v>
      </c>
      <c r="B93" s="62">
        <v>24046</v>
      </c>
      <c r="C93" s="63" t="s">
        <v>245</v>
      </c>
      <c r="D93" s="63" t="s">
        <v>1155</v>
      </c>
      <c r="E93" s="63" t="s">
        <v>1119</v>
      </c>
      <c r="F93" s="63"/>
      <c r="G93" s="63" t="s">
        <v>3</v>
      </c>
      <c r="H93" s="64">
        <v>7500</v>
      </c>
      <c r="I93" s="64">
        <v>9890</v>
      </c>
      <c r="J93" s="63"/>
      <c r="K93" s="63" t="s">
        <v>4</v>
      </c>
      <c r="L93" s="63"/>
      <c r="M93" s="63"/>
      <c r="N93" s="8" t="str">
        <f t="shared" si="1"/>
        <v>1</v>
      </c>
      <c r="O93" s="8" t="str">
        <f>INDEX(Кат!$H:$H,MATCH($A93,Кат!$A:$A,0))</f>
        <v>Китай БЕСТ ПАРТНЕР</v>
      </c>
    </row>
    <row r="94" spans="1:15" ht="30" x14ac:dyDescent="0.25">
      <c r="A94" s="62">
        <v>133283</v>
      </c>
      <c r="B94" s="62">
        <v>24053</v>
      </c>
      <c r="C94" s="63" t="s">
        <v>249</v>
      </c>
      <c r="D94" s="63" t="s">
        <v>1155</v>
      </c>
      <c r="E94" s="63" t="s">
        <v>1123</v>
      </c>
      <c r="F94" s="63"/>
      <c r="G94" s="63" t="s">
        <v>3</v>
      </c>
      <c r="H94" s="64">
        <v>600</v>
      </c>
      <c r="I94" s="64">
        <v>989</v>
      </c>
      <c r="J94" s="63" t="s">
        <v>1450</v>
      </c>
      <c r="K94" s="63" t="s">
        <v>4</v>
      </c>
      <c r="L94" s="63"/>
      <c r="M94" s="63"/>
      <c r="N94" s="8" t="str">
        <f t="shared" si="1"/>
        <v>1</v>
      </c>
      <c r="O94" s="8" t="str">
        <f>INDEX(Кат!$H:$H,MATCH($A94,Кат!$A:$A,0))</f>
        <v>Китай БЕСТ ПАРТНЕР</v>
      </c>
    </row>
    <row r="95" spans="1:15" ht="30" x14ac:dyDescent="0.25">
      <c r="A95" s="62">
        <v>133284</v>
      </c>
      <c r="B95" s="62">
        <v>24054</v>
      </c>
      <c r="C95" s="63" t="s">
        <v>250</v>
      </c>
      <c r="D95" s="63" t="s">
        <v>1155</v>
      </c>
      <c r="E95" s="63" t="s">
        <v>1124</v>
      </c>
      <c r="F95" s="63"/>
      <c r="G95" s="63" t="s">
        <v>3</v>
      </c>
      <c r="H95" s="64">
        <v>450</v>
      </c>
      <c r="I95" s="64">
        <v>899</v>
      </c>
      <c r="J95" s="63" t="s">
        <v>1469</v>
      </c>
      <c r="K95" s="63" t="s">
        <v>4</v>
      </c>
      <c r="L95" s="63"/>
      <c r="M95" s="63"/>
      <c r="N95" s="8" t="str">
        <f t="shared" si="1"/>
        <v>1</v>
      </c>
      <c r="O95" s="8" t="str">
        <f>INDEX(Кат!$H:$H,MATCH($A95,Кат!$A:$A,0))</f>
        <v>Китай БЕСТ ПАРТНЕР</v>
      </c>
    </row>
    <row r="96" spans="1:15" ht="30" x14ac:dyDescent="0.25">
      <c r="A96" s="62">
        <v>133285</v>
      </c>
      <c r="B96" s="62">
        <v>24055</v>
      </c>
      <c r="C96" s="63" t="s">
        <v>251</v>
      </c>
      <c r="D96" s="63" t="s">
        <v>1155</v>
      </c>
      <c r="E96" s="63" t="s">
        <v>1125</v>
      </c>
      <c r="F96" s="63"/>
      <c r="G96" s="63" t="s">
        <v>3</v>
      </c>
      <c r="H96" s="64">
        <v>550</v>
      </c>
      <c r="I96" s="64">
        <v>1290</v>
      </c>
      <c r="J96" s="63" t="s">
        <v>1464</v>
      </c>
      <c r="K96" s="63" t="s">
        <v>4</v>
      </c>
      <c r="L96" s="63"/>
      <c r="M96" s="63"/>
      <c r="N96" s="8" t="str">
        <f t="shared" si="1"/>
        <v>1</v>
      </c>
      <c r="O96" s="8" t="str">
        <f>INDEX(Кат!$H:$H,MATCH($A96,Кат!$A:$A,0))</f>
        <v>Китай БЕСТ ПАРТНЕР</v>
      </c>
    </row>
    <row r="97" spans="1:15" ht="30" x14ac:dyDescent="0.25">
      <c r="A97" s="62">
        <v>133286</v>
      </c>
      <c r="B97" s="62">
        <v>23930</v>
      </c>
      <c r="C97" s="63" t="s">
        <v>193</v>
      </c>
      <c r="D97" s="63" t="s">
        <v>1155</v>
      </c>
      <c r="E97" s="63" t="s">
        <v>1070</v>
      </c>
      <c r="F97" s="63"/>
      <c r="G97" s="63" t="s">
        <v>3</v>
      </c>
      <c r="H97" s="64">
        <v>500</v>
      </c>
      <c r="I97" s="64">
        <v>729</v>
      </c>
      <c r="J97" s="63"/>
      <c r="K97" s="63" t="s">
        <v>4</v>
      </c>
      <c r="L97" s="63"/>
      <c r="M97" s="63"/>
      <c r="N97" s="8" t="str">
        <f t="shared" si="1"/>
        <v>1</v>
      </c>
      <c r="O97" s="8" t="str">
        <f>INDEX(Кат!$H:$H,MATCH($A97,Кат!$A:$A,0))</f>
        <v>Китай БЕСТ ПАРТНЕР</v>
      </c>
    </row>
    <row r="98" spans="1:15" ht="30" x14ac:dyDescent="0.25">
      <c r="A98" s="62">
        <v>133287</v>
      </c>
      <c r="B98" s="62">
        <v>23938</v>
      </c>
      <c r="C98" s="63" t="s">
        <v>198</v>
      </c>
      <c r="D98" s="63" t="s">
        <v>1155</v>
      </c>
      <c r="E98" s="63" t="s">
        <v>1073</v>
      </c>
      <c r="F98" s="63"/>
      <c r="G98" s="63" t="s">
        <v>3</v>
      </c>
      <c r="H98" s="64">
        <v>1000</v>
      </c>
      <c r="I98" s="64">
        <v>1290</v>
      </c>
      <c r="J98" s="63"/>
      <c r="K98" s="63" t="s">
        <v>1156</v>
      </c>
      <c r="L98" s="63"/>
      <c r="M98" s="63"/>
      <c r="N98" s="8" t="str">
        <f t="shared" si="1"/>
        <v>0</v>
      </c>
      <c r="O98" s="8" t="str">
        <f>INDEX(Кат!$H:$H,MATCH($A98,Кат!$A:$A,0))</f>
        <v>Китай БЕСТ ПАРТНЕР</v>
      </c>
    </row>
    <row r="99" spans="1:15" ht="30" x14ac:dyDescent="0.25">
      <c r="A99" s="62">
        <v>133288</v>
      </c>
      <c r="B99" s="62">
        <v>23946</v>
      </c>
      <c r="C99" s="63" t="s">
        <v>202</v>
      </c>
      <c r="D99" s="63" t="s">
        <v>1155</v>
      </c>
      <c r="E99" s="63" t="s">
        <v>1077</v>
      </c>
      <c r="F99" s="63"/>
      <c r="G99" s="63" t="s">
        <v>3</v>
      </c>
      <c r="H99" s="64">
        <v>500</v>
      </c>
      <c r="I99" s="64">
        <v>989</v>
      </c>
      <c r="J99" s="63" t="s">
        <v>1466</v>
      </c>
      <c r="K99" s="63" t="s">
        <v>4</v>
      </c>
      <c r="L99" s="63"/>
      <c r="M99" s="63"/>
      <c r="N99" s="8" t="str">
        <f t="shared" si="1"/>
        <v>1</v>
      </c>
      <c r="O99" s="8" t="str">
        <f>INDEX(Кат!$H:$H,MATCH($A99,Кат!$A:$A,0))</f>
        <v>Китай БЕСТ ПАРТНЕР</v>
      </c>
    </row>
    <row r="100" spans="1:15" ht="45" x14ac:dyDescent="0.25">
      <c r="A100" s="62">
        <v>133307</v>
      </c>
      <c r="B100" s="62">
        <v>8103</v>
      </c>
      <c r="C100" s="63" t="s">
        <v>76</v>
      </c>
      <c r="D100" s="63" t="s">
        <v>1155</v>
      </c>
      <c r="E100" s="63" t="s">
        <v>1025</v>
      </c>
      <c r="F100" s="63"/>
      <c r="G100" s="63" t="s">
        <v>3</v>
      </c>
      <c r="H100" s="64">
        <v>5200</v>
      </c>
      <c r="I100" s="64">
        <v>8690</v>
      </c>
      <c r="J100" s="63" t="s">
        <v>1463</v>
      </c>
      <c r="K100" s="63" t="s">
        <v>4</v>
      </c>
      <c r="L100" s="63"/>
      <c r="M100" s="63"/>
      <c r="N100" s="8" t="str">
        <f t="shared" si="1"/>
        <v>1</v>
      </c>
      <c r="O100" s="8" t="str">
        <f>INDEX(Кат!$H:$H,MATCH($A100,Кат!$A:$A,0))</f>
        <v>Китай БЕСТ ПАРТНЕР</v>
      </c>
    </row>
    <row r="101" spans="1:15" ht="30" x14ac:dyDescent="0.25">
      <c r="A101" s="62">
        <v>133308</v>
      </c>
      <c r="B101" s="62">
        <v>8082</v>
      </c>
      <c r="C101" s="63" t="s">
        <v>67</v>
      </c>
      <c r="D101" s="63" t="s">
        <v>1155</v>
      </c>
      <c r="E101" s="63" t="s">
        <v>1020</v>
      </c>
      <c r="F101" s="63"/>
      <c r="G101" s="63" t="s">
        <v>3</v>
      </c>
      <c r="H101" s="64">
        <v>250</v>
      </c>
      <c r="I101" s="64">
        <v>689</v>
      </c>
      <c r="J101" s="63" t="s">
        <v>1459</v>
      </c>
      <c r="K101" s="63" t="s">
        <v>4</v>
      </c>
      <c r="L101" s="63"/>
      <c r="M101" s="63"/>
      <c r="N101" s="8" t="str">
        <f t="shared" si="1"/>
        <v>1</v>
      </c>
      <c r="O101" s="8" t="str">
        <f>INDEX(Кат!$H:$H,MATCH($A101,Кат!$A:$A,0))</f>
        <v>Китай БЕСТ ПАРТНЕР</v>
      </c>
    </row>
    <row r="102" spans="1:15" ht="30" x14ac:dyDescent="0.25">
      <c r="A102" s="62">
        <v>133309</v>
      </c>
      <c r="B102" s="62">
        <v>8083</v>
      </c>
      <c r="C102" s="63" t="s">
        <v>68</v>
      </c>
      <c r="D102" s="63" t="s">
        <v>1155</v>
      </c>
      <c r="E102" s="63" t="s">
        <v>1021</v>
      </c>
      <c r="F102" s="63"/>
      <c r="G102" s="63" t="s">
        <v>3</v>
      </c>
      <c r="H102" s="64">
        <v>250</v>
      </c>
      <c r="I102" s="64">
        <v>689</v>
      </c>
      <c r="J102" s="63" t="s">
        <v>1460</v>
      </c>
      <c r="K102" s="63" t="s">
        <v>4</v>
      </c>
      <c r="L102" s="63"/>
      <c r="M102" s="63"/>
      <c r="N102" s="8" t="str">
        <f t="shared" si="1"/>
        <v>1</v>
      </c>
      <c r="O102" s="8" t="str">
        <f>INDEX(Кат!$H:$H,MATCH($A102,Кат!$A:$A,0))</f>
        <v>Китай БЕСТ ПАРТНЕР</v>
      </c>
    </row>
    <row r="103" spans="1:15" ht="30" x14ac:dyDescent="0.25">
      <c r="A103" s="62">
        <v>133310</v>
      </c>
      <c r="B103" s="62">
        <v>8096</v>
      </c>
      <c r="C103" s="63" t="s">
        <v>73</v>
      </c>
      <c r="D103" s="63" t="s">
        <v>1155</v>
      </c>
      <c r="E103" s="63" t="s">
        <v>508</v>
      </c>
      <c r="F103" s="63"/>
      <c r="G103" s="63" t="s">
        <v>3</v>
      </c>
      <c r="H103" s="64">
        <v>250</v>
      </c>
      <c r="I103" s="64">
        <v>629</v>
      </c>
      <c r="J103" s="63" t="s">
        <v>943</v>
      </c>
      <c r="K103" s="63" t="s">
        <v>4</v>
      </c>
      <c r="L103" s="63"/>
      <c r="M103" s="63"/>
      <c r="N103" s="8" t="str">
        <f t="shared" si="1"/>
        <v>1</v>
      </c>
      <c r="O103" s="8" t="str">
        <f>INDEX(Кат!$H:$H,MATCH($A103,Кат!$A:$A,0))</f>
        <v>Китай БЕСТ ПАРТНЕР</v>
      </c>
    </row>
    <row r="104" spans="1:15" ht="30" x14ac:dyDescent="0.25">
      <c r="A104" s="62">
        <v>133311</v>
      </c>
      <c r="B104" s="62">
        <v>8097</v>
      </c>
      <c r="C104" s="63" t="s">
        <v>74</v>
      </c>
      <c r="D104" s="63" t="s">
        <v>1155</v>
      </c>
      <c r="E104" s="63" t="s">
        <v>509</v>
      </c>
      <c r="F104" s="63"/>
      <c r="G104" s="63" t="s">
        <v>3</v>
      </c>
      <c r="H104" s="64">
        <v>250</v>
      </c>
      <c r="I104" s="64">
        <v>629</v>
      </c>
      <c r="J104" s="63" t="s">
        <v>943</v>
      </c>
      <c r="K104" s="63" t="s">
        <v>4</v>
      </c>
      <c r="L104" s="63"/>
      <c r="M104" s="63"/>
      <c r="N104" s="8" t="str">
        <f t="shared" si="1"/>
        <v>1</v>
      </c>
      <c r="O104" s="8" t="str">
        <f>INDEX(Кат!$H:$H,MATCH($A104,Кат!$A:$A,0))</f>
        <v>Китай БЕСТ ПАРТНЕР</v>
      </c>
    </row>
    <row r="105" spans="1:15" ht="30" x14ac:dyDescent="0.25">
      <c r="A105" s="62">
        <v>133312</v>
      </c>
      <c r="B105" s="62">
        <v>8085</v>
      </c>
      <c r="C105" s="63" t="s">
        <v>69</v>
      </c>
      <c r="D105" s="63" t="s">
        <v>1155</v>
      </c>
      <c r="E105" s="63" t="s">
        <v>506</v>
      </c>
      <c r="F105" s="63"/>
      <c r="G105" s="63" t="s">
        <v>3</v>
      </c>
      <c r="H105" s="64">
        <v>500</v>
      </c>
      <c r="I105" s="64">
        <v>989</v>
      </c>
      <c r="J105" s="63" t="s">
        <v>1468</v>
      </c>
      <c r="K105" s="63" t="s">
        <v>4</v>
      </c>
      <c r="L105" s="63"/>
      <c r="M105" s="63"/>
      <c r="N105" s="8" t="str">
        <f t="shared" si="1"/>
        <v>1</v>
      </c>
      <c r="O105" s="8" t="str">
        <f>INDEX(Кат!$H:$H,MATCH($A105,Кат!$A:$A,0))</f>
        <v>Китай БЕСТ ПАРТНЕР</v>
      </c>
    </row>
    <row r="106" spans="1:15" ht="30" x14ac:dyDescent="0.25">
      <c r="A106" s="62">
        <v>133313</v>
      </c>
      <c r="B106" s="62">
        <v>8087</v>
      </c>
      <c r="C106" s="63" t="s">
        <v>70</v>
      </c>
      <c r="D106" s="63" t="s">
        <v>1155</v>
      </c>
      <c r="E106" s="63" t="s">
        <v>507</v>
      </c>
      <c r="F106" s="63"/>
      <c r="G106" s="63" t="s">
        <v>3</v>
      </c>
      <c r="H106" s="64">
        <v>350</v>
      </c>
      <c r="I106" s="64">
        <v>899</v>
      </c>
      <c r="J106" s="63" t="s">
        <v>1456</v>
      </c>
      <c r="K106" s="63" t="s">
        <v>4</v>
      </c>
      <c r="L106" s="63"/>
      <c r="M106" s="63"/>
      <c r="N106" s="8" t="str">
        <f t="shared" si="1"/>
        <v>1</v>
      </c>
      <c r="O106" s="8" t="str">
        <f>INDEX(Кат!$H:$H,MATCH($A106,Кат!$A:$A,0))</f>
        <v>Китай БЕСТ ПАРТНЕР</v>
      </c>
    </row>
    <row r="107" spans="1:15" ht="30" x14ac:dyDescent="0.25">
      <c r="A107" s="62">
        <v>133314</v>
      </c>
      <c r="B107" s="62">
        <v>8099</v>
      </c>
      <c r="C107" s="63" t="s">
        <v>75</v>
      </c>
      <c r="D107" s="63" t="s">
        <v>1155</v>
      </c>
      <c r="E107" s="63" t="s">
        <v>1024</v>
      </c>
      <c r="F107" s="63"/>
      <c r="G107" s="63" t="s">
        <v>3</v>
      </c>
      <c r="H107" s="64">
        <v>450</v>
      </c>
      <c r="I107" s="64">
        <v>989</v>
      </c>
      <c r="J107" s="63" t="s">
        <v>1455</v>
      </c>
      <c r="K107" s="63" t="s">
        <v>4</v>
      </c>
      <c r="L107" s="63"/>
      <c r="M107" s="63"/>
      <c r="N107" s="8" t="str">
        <f t="shared" si="1"/>
        <v>1</v>
      </c>
      <c r="O107" s="8" t="str">
        <f>INDEX(Кат!$H:$H,MATCH($A107,Кат!$A:$A,0))</f>
        <v>Китай БЕСТ ПАРТНЕР</v>
      </c>
    </row>
    <row r="108" spans="1:15" ht="30" x14ac:dyDescent="0.25">
      <c r="A108" s="62">
        <v>133315</v>
      </c>
      <c r="B108" s="62">
        <v>8093</v>
      </c>
      <c r="C108" s="63" t="s">
        <v>72</v>
      </c>
      <c r="D108" s="63" t="s">
        <v>1157</v>
      </c>
      <c r="E108" s="63" t="s">
        <v>1023</v>
      </c>
      <c r="F108" s="63"/>
      <c r="G108" s="63" t="s">
        <v>3</v>
      </c>
      <c r="H108" s="64">
        <v>250</v>
      </c>
      <c r="I108" s="64">
        <v>689</v>
      </c>
      <c r="J108" s="63" t="s">
        <v>911</v>
      </c>
      <c r="K108" s="63" t="s">
        <v>4</v>
      </c>
      <c r="L108" s="63"/>
      <c r="M108" s="63"/>
      <c r="N108" s="8" t="str">
        <f t="shared" si="1"/>
        <v>1</v>
      </c>
      <c r="O108" s="8" t="str">
        <f>INDEX(Кат!$H:$H,MATCH($A108,Кат!$A:$A,0))</f>
        <v>Китай БЕСТ ПАРТНЕР</v>
      </c>
    </row>
    <row r="109" spans="1:15" ht="30" x14ac:dyDescent="0.25">
      <c r="A109" s="62">
        <v>133316</v>
      </c>
      <c r="B109" s="62">
        <v>8091</v>
      </c>
      <c r="C109" s="63" t="s">
        <v>71</v>
      </c>
      <c r="D109" s="63" t="s">
        <v>1157</v>
      </c>
      <c r="E109" s="63" t="s">
        <v>1022</v>
      </c>
      <c r="F109" s="63"/>
      <c r="G109" s="63" t="s">
        <v>3</v>
      </c>
      <c r="H109" s="64">
        <v>640</v>
      </c>
      <c r="I109" s="64">
        <v>809</v>
      </c>
      <c r="J109" s="63" t="s">
        <v>919</v>
      </c>
      <c r="K109" s="63" t="s">
        <v>4</v>
      </c>
      <c r="L109" s="63"/>
      <c r="M109" s="63"/>
      <c r="N109" s="8" t="str">
        <f t="shared" si="1"/>
        <v>1</v>
      </c>
      <c r="O109" s="8" t="str">
        <f>INDEX(Кат!$H:$H,MATCH($A109,Кат!$A:$A,0))</f>
        <v>Китай БЕСТ ПАРТНЕР</v>
      </c>
    </row>
    <row r="110" spans="1:15" ht="30" x14ac:dyDescent="0.25">
      <c r="A110" s="62">
        <v>133317</v>
      </c>
      <c r="B110" s="62">
        <v>8110</v>
      </c>
      <c r="C110" s="63" t="s">
        <v>77</v>
      </c>
      <c r="D110" s="63" t="s">
        <v>1155</v>
      </c>
      <c r="E110" s="63" t="s">
        <v>1026</v>
      </c>
      <c r="F110" s="63"/>
      <c r="G110" s="63" t="s">
        <v>3</v>
      </c>
      <c r="H110" s="64">
        <v>1600</v>
      </c>
      <c r="I110" s="64">
        <v>2590</v>
      </c>
      <c r="J110" s="63" t="s">
        <v>931</v>
      </c>
      <c r="K110" s="63" t="s">
        <v>4</v>
      </c>
      <c r="L110" s="63"/>
      <c r="M110" s="63"/>
      <c r="N110" s="8" t="str">
        <f t="shared" si="1"/>
        <v>1</v>
      </c>
      <c r="O110" s="8" t="str">
        <f>INDEX(Кат!$H:$H,MATCH($A110,Кат!$A:$A,0))</f>
        <v>Китай БЕСТ ПАРТНЕР</v>
      </c>
    </row>
    <row r="111" spans="1:15" ht="30" x14ac:dyDescent="0.25">
      <c r="A111" s="62">
        <v>133318</v>
      </c>
      <c r="B111" s="62">
        <v>8123</v>
      </c>
      <c r="C111" s="63" t="s">
        <v>81</v>
      </c>
      <c r="D111" s="63" t="s">
        <v>1155</v>
      </c>
      <c r="E111" s="63" t="s">
        <v>1030</v>
      </c>
      <c r="F111" s="63"/>
      <c r="G111" s="63" t="s">
        <v>3</v>
      </c>
      <c r="H111" s="64">
        <v>3500</v>
      </c>
      <c r="I111" s="64">
        <v>5090</v>
      </c>
      <c r="J111" s="63" t="s">
        <v>779</v>
      </c>
      <c r="K111" s="63" t="s">
        <v>4</v>
      </c>
      <c r="L111" s="63"/>
      <c r="M111" s="63"/>
      <c r="N111" s="8" t="str">
        <f t="shared" si="1"/>
        <v>1</v>
      </c>
      <c r="O111" s="8" t="str">
        <f>INDEX(Кат!$H:$H,MATCH($A111,Кат!$A:$A,0))</f>
        <v>Китай БЕСТ ПАРТНЕР</v>
      </c>
    </row>
    <row r="112" spans="1:15" ht="30" x14ac:dyDescent="0.25">
      <c r="A112" s="62">
        <v>133319</v>
      </c>
      <c r="B112" s="62">
        <v>8116</v>
      </c>
      <c r="C112" s="63" t="s">
        <v>79</v>
      </c>
      <c r="D112" s="63" t="s">
        <v>1155</v>
      </c>
      <c r="E112" s="63" t="s">
        <v>1028</v>
      </c>
      <c r="F112" s="63"/>
      <c r="G112" s="63" t="s">
        <v>3</v>
      </c>
      <c r="H112" s="64">
        <v>2300</v>
      </c>
      <c r="I112" s="64">
        <v>2990</v>
      </c>
      <c r="J112" s="63"/>
      <c r="K112" s="63" t="s">
        <v>4</v>
      </c>
      <c r="L112" s="63"/>
      <c r="M112" s="63"/>
      <c r="N112" s="8" t="str">
        <f t="shared" si="1"/>
        <v>1</v>
      </c>
      <c r="O112" s="8" t="str">
        <f>INDEX(Кат!$H:$H,MATCH($A112,Кат!$A:$A,0))</f>
        <v>Китай БЕСТ ПАРТНЕР</v>
      </c>
    </row>
    <row r="113" spans="1:15" ht="30" x14ac:dyDescent="0.25">
      <c r="A113" s="62">
        <v>133320</v>
      </c>
      <c r="B113" s="62">
        <v>8118</v>
      </c>
      <c r="C113" s="63" t="s">
        <v>80</v>
      </c>
      <c r="D113" s="63" t="s">
        <v>1155</v>
      </c>
      <c r="E113" s="63" t="s">
        <v>1029</v>
      </c>
      <c r="F113" s="63"/>
      <c r="G113" s="63" t="s">
        <v>3</v>
      </c>
      <c r="H113" s="64">
        <v>3000</v>
      </c>
      <c r="I113" s="64">
        <v>5390</v>
      </c>
      <c r="J113" s="63" t="s">
        <v>934</v>
      </c>
      <c r="K113" s="63" t="s">
        <v>4</v>
      </c>
      <c r="L113" s="63"/>
      <c r="M113" s="63"/>
      <c r="N113" s="8" t="str">
        <f t="shared" si="1"/>
        <v>1</v>
      </c>
      <c r="O113" s="8" t="str">
        <f>INDEX(Кат!$H:$H,MATCH($A113,Кат!$A:$A,0))</f>
        <v>Китай БЕСТ ПАРТНЕР</v>
      </c>
    </row>
    <row r="114" spans="1:15" ht="30" x14ac:dyDescent="0.25">
      <c r="A114" s="62">
        <v>133321</v>
      </c>
      <c r="B114" s="62">
        <v>8124</v>
      </c>
      <c r="C114" s="63" t="s">
        <v>82</v>
      </c>
      <c r="D114" s="63" t="s">
        <v>1155</v>
      </c>
      <c r="E114" s="63" t="s">
        <v>1031</v>
      </c>
      <c r="F114" s="63"/>
      <c r="G114" s="63" t="s">
        <v>3</v>
      </c>
      <c r="H114" s="64">
        <v>3000</v>
      </c>
      <c r="I114" s="64">
        <v>4090</v>
      </c>
      <c r="J114" s="63" t="s">
        <v>935</v>
      </c>
      <c r="K114" s="63" t="s">
        <v>4</v>
      </c>
      <c r="L114" s="63"/>
      <c r="M114" s="63"/>
      <c r="N114" s="8" t="str">
        <f t="shared" si="1"/>
        <v>1</v>
      </c>
      <c r="O114" s="8" t="str">
        <f>INDEX(Кат!$H:$H,MATCH($A114,Кат!$A:$A,0))</f>
        <v>Китай БЕСТ ПАРТНЕР</v>
      </c>
    </row>
    <row r="115" spans="1:15" ht="30" x14ac:dyDescent="0.25">
      <c r="A115" s="62">
        <v>133322</v>
      </c>
      <c r="B115" s="62">
        <v>8111</v>
      </c>
      <c r="C115" s="63" t="s">
        <v>78</v>
      </c>
      <c r="D115" s="63" t="s">
        <v>1155</v>
      </c>
      <c r="E115" s="63" t="s">
        <v>1027</v>
      </c>
      <c r="F115" s="63"/>
      <c r="G115" s="63" t="s">
        <v>3</v>
      </c>
      <c r="H115" s="64">
        <v>2200</v>
      </c>
      <c r="I115" s="64">
        <v>3590</v>
      </c>
      <c r="J115" s="63" t="s">
        <v>932</v>
      </c>
      <c r="K115" s="63" t="s">
        <v>4</v>
      </c>
      <c r="L115" s="63"/>
      <c r="M115" s="63"/>
      <c r="N115" s="8" t="str">
        <f t="shared" si="1"/>
        <v>1</v>
      </c>
      <c r="O115" s="8" t="str">
        <f>INDEX(Кат!$H:$H,MATCH($A115,Кат!$A:$A,0))</f>
        <v>Китай БЕСТ ПАРТНЕР</v>
      </c>
    </row>
    <row r="116" spans="1:15" ht="30" x14ac:dyDescent="0.25">
      <c r="A116" s="62">
        <v>133323</v>
      </c>
      <c r="B116" s="62">
        <v>18224</v>
      </c>
      <c r="C116" s="63" t="s">
        <v>162</v>
      </c>
      <c r="D116" s="63" t="s">
        <v>1155</v>
      </c>
      <c r="E116" s="63" t="s">
        <v>1058</v>
      </c>
      <c r="F116" s="63"/>
      <c r="G116" s="63" t="s">
        <v>3</v>
      </c>
      <c r="H116" s="64">
        <v>1700</v>
      </c>
      <c r="I116" s="64">
        <v>2290</v>
      </c>
      <c r="J116" s="63"/>
      <c r="K116" s="63" t="s">
        <v>4</v>
      </c>
      <c r="L116" s="63"/>
      <c r="M116" s="63"/>
      <c r="N116" s="8" t="str">
        <f t="shared" si="1"/>
        <v>1</v>
      </c>
      <c r="O116" s="8" t="str">
        <f>INDEX(Кат!$H:$H,MATCH($A116,Кат!$A:$A,0))</f>
        <v>Китай БЕСТ ПАРТНЕР</v>
      </c>
    </row>
    <row r="117" spans="1:15" ht="30" x14ac:dyDescent="0.25">
      <c r="A117" s="62">
        <v>133333</v>
      </c>
      <c r="B117" s="62">
        <v>8065</v>
      </c>
      <c r="C117" s="63" t="s">
        <v>59</v>
      </c>
      <c r="D117" s="63" t="s">
        <v>1155</v>
      </c>
      <c r="E117" s="63" t="s">
        <v>1012</v>
      </c>
      <c r="F117" s="63"/>
      <c r="G117" s="63" t="s">
        <v>3</v>
      </c>
      <c r="H117" s="64">
        <v>1600</v>
      </c>
      <c r="I117" s="64">
        <v>3190</v>
      </c>
      <c r="J117" s="63" t="s">
        <v>930</v>
      </c>
      <c r="K117" s="63" t="s">
        <v>4</v>
      </c>
      <c r="L117" s="63"/>
      <c r="M117" s="63"/>
      <c r="N117" s="8" t="str">
        <f t="shared" si="1"/>
        <v>1</v>
      </c>
      <c r="O117" s="8" t="str">
        <f>INDEX(Кат!$H:$H,MATCH($A117,Кат!$A:$A,0))</f>
        <v>Китай БЕСТ ПАРТНЕР</v>
      </c>
    </row>
    <row r="118" spans="1:15" ht="30" x14ac:dyDescent="0.25">
      <c r="A118" s="62">
        <v>133334</v>
      </c>
      <c r="B118" s="62">
        <v>8066</v>
      </c>
      <c r="C118" s="63" t="s">
        <v>60</v>
      </c>
      <c r="D118" s="63" t="s">
        <v>1155</v>
      </c>
      <c r="E118" s="63" t="s">
        <v>1013</v>
      </c>
      <c r="F118" s="63"/>
      <c r="G118" s="63" t="s">
        <v>3</v>
      </c>
      <c r="H118" s="64">
        <v>2400</v>
      </c>
      <c r="I118" s="64">
        <v>3690</v>
      </c>
      <c r="J118" s="63" t="s">
        <v>786</v>
      </c>
      <c r="K118" s="63" t="s">
        <v>4</v>
      </c>
      <c r="L118" s="63"/>
      <c r="M118" s="63"/>
      <c r="N118" s="8" t="str">
        <f t="shared" si="1"/>
        <v>1</v>
      </c>
      <c r="O118" s="8" t="str">
        <f>INDEX(Кат!$H:$H,MATCH($A118,Кат!$A:$A,0))</f>
        <v>Китай БЕСТ ПАРТНЕР</v>
      </c>
    </row>
    <row r="119" spans="1:15" ht="30" x14ac:dyDescent="0.25">
      <c r="A119" s="62">
        <v>133335</v>
      </c>
      <c r="B119" s="62">
        <v>8067</v>
      </c>
      <c r="C119" s="63" t="s">
        <v>61</v>
      </c>
      <c r="D119" s="63" t="s">
        <v>1155</v>
      </c>
      <c r="E119" s="63" t="s">
        <v>1014</v>
      </c>
      <c r="F119" s="63"/>
      <c r="G119" s="63" t="s">
        <v>3</v>
      </c>
      <c r="H119" s="64">
        <v>4800</v>
      </c>
      <c r="I119" s="64">
        <v>6190</v>
      </c>
      <c r="J119" s="63" t="s">
        <v>936</v>
      </c>
      <c r="K119" s="63" t="s">
        <v>4</v>
      </c>
      <c r="L119" s="63"/>
      <c r="M119" s="63"/>
      <c r="N119" s="8" t="str">
        <f t="shared" si="1"/>
        <v>1</v>
      </c>
      <c r="O119" s="8" t="str">
        <f>INDEX(Кат!$H:$H,MATCH($A119,Кат!$A:$A,0))</f>
        <v>Китай БЕСТ ПАРТНЕР</v>
      </c>
    </row>
    <row r="120" spans="1:15" ht="30" x14ac:dyDescent="0.25">
      <c r="A120" s="62">
        <v>133336</v>
      </c>
      <c r="B120" s="62">
        <v>8068</v>
      </c>
      <c r="C120" s="63" t="s">
        <v>62</v>
      </c>
      <c r="D120" s="63" t="s">
        <v>1155</v>
      </c>
      <c r="E120" s="63" t="s">
        <v>1015</v>
      </c>
      <c r="F120" s="63"/>
      <c r="G120" s="63" t="s">
        <v>3</v>
      </c>
      <c r="H120" s="64">
        <v>6400</v>
      </c>
      <c r="I120" s="64">
        <v>8990</v>
      </c>
      <c r="J120" s="63" t="s">
        <v>940</v>
      </c>
      <c r="K120" s="63" t="s">
        <v>4</v>
      </c>
      <c r="L120" s="63"/>
      <c r="M120" s="63"/>
      <c r="N120" s="8" t="str">
        <f t="shared" si="1"/>
        <v>1</v>
      </c>
      <c r="O120" s="8" t="str">
        <f>INDEX(Кат!$H:$H,MATCH($A120,Кат!$A:$A,0))</f>
        <v>Китай БЕСТ ПАРТНЕР</v>
      </c>
    </row>
    <row r="121" spans="1:15" ht="30" x14ac:dyDescent="0.25">
      <c r="A121" s="62">
        <v>133337</v>
      </c>
      <c r="B121" s="62">
        <v>8069</v>
      </c>
      <c r="C121" s="63" t="s">
        <v>63</v>
      </c>
      <c r="D121" s="63" t="s">
        <v>1155</v>
      </c>
      <c r="E121" s="63" t="s">
        <v>1016</v>
      </c>
      <c r="F121" s="63"/>
      <c r="G121" s="63" t="s">
        <v>3</v>
      </c>
      <c r="H121" s="64">
        <v>16100</v>
      </c>
      <c r="I121" s="64">
        <v>21290</v>
      </c>
      <c r="J121" s="63" t="s">
        <v>746</v>
      </c>
      <c r="K121" s="63" t="s">
        <v>4</v>
      </c>
      <c r="L121" s="63"/>
      <c r="M121" s="63" t="s">
        <v>1155</v>
      </c>
      <c r="N121" s="8" t="str">
        <f t="shared" si="1"/>
        <v>1</v>
      </c>
      <c r="O121" s="8" t="str">
        <f>INDEX(Кат!$H:$H,MATCH($A121,Кат!$A:$A,0))</f>
        <v>Китай БЕСТ ПАРТНЕР</v>
      </c>
    </row>
    <row r="122" spans="1:15" ht="30" x14ac:dyDescent="0.25">
      <c r="A122" s="62">
        <v>133338</v>
      </c>
      <c r="B122" s="62">
        <v>8070</v>
      </c>
      <c r="C122" s="63" t="s">
        <v>64</v>
      </c>
      <c r="D122" s="63" t="s">
        <v>1155</v>
      </c>
      <c r="E122" s="63" t="s">
        <v>1017</v>
      </c>
      <c r="F122" s="63"/>
      <c r="G122" s="63" t="s">
        <v>3</v>
      </c>
      <c r="H122" s="64">
        <v>20300</v>
      </c>
      <c r="I122" s="64">
        <v>26790</v>
      </c>
      <c r="J122" s="63" t="s">
        <v>744</v>
      </c>
      <c r="K122" s="63" t="s">
        <v>4</v>
      </c>
      <c r="L122" s="63"/>
      <c r="M122" s="63" t="s">
        <v>1155</v>
      </c>
      <c r="N122" s="8" t="str">
        <f t="shared" si="1"/>
        <v>1</v>
      </c>
      <c r="O122" s="8" t="str">
        <f>INDEX(Кат!$H:$H,MATCH($A122,Кат!$A:$A,0))</f>
        <v>Китай БЕСТ ПАРТНЕР</v>
      </c>
    </row>
    <row r="123" spans="1:15" ht="30" x14ac:dyDescent="0.25">
      <c r="A123" s="62">
        <v>133339</v>
      </c>
      <c r="B123" s="62">
        <v>8074</v>
      </c>
      <c r="C123" s="63" t="s">
        <v>65</v>
      </c>
      <c r="D123" s="63" t="s">
        <v>1155</v>
      </c>
      <c r="E123" s="63" t="s">
        <v>1018</v>
      </c>
      <c r="F123" s="63"/>
      <c r="G123" s="63" t="s">
        <v>3</v>
      </c>
      <c r="H123" s="64">
        <v>4800</v>
      </c>
      <c r="I123" s="64">
        <v>7990</v>
      </c>
      <c r="J123" s="63" t="s">
        <v>937</v>
      </c>
      <c r="K123" s="63" t="s">
        <v>4</v>
      </c>
      <c r="L123" s="63"/>
      <c r="M123" s="63"/>
      <c r="N123" s="8" t="str">
        <f t="shared" si="1"/>
        <v>1</v>
      </c>
      <c r="O123" s="8" t="str">
        <f>INDEX(Кат!$H:$H,MATCH($A123,Кат!$A:$A,0))</f>
        <v>Китай БЕСТ ПАРТНЕР</v>
      </c>
    </row>
    <row r="124" spans="1:15" ht="30" x14ac:dyDescent="0.25">
      <c r="A124" s="62">
        <v>133340</v>
      </c>
      <c r="B124" s="62">
        <v>8075</v>
      </c>
      <c r="C124" s="63" t="s">
        <v>66</v>
      </c>
      <c r="D124" s="63" t="s">
        <v>1155</v>
      </c>
      <c r="E124" s="63" t="s">
        <v>1019</v>
      </c>
      <c r="F124" s="63"/>
      <c r="G124" s="63" t="s">
        <v>3</v>
      </c>
      <c r="H124" s="64">
        <v>6400</v>
      </c>
      <c r="I124" s="64">
        <v>8990</v>
      </c>
      <c r="J124" s="63" t="s">
        <v>941</v>
      </c>
      <c r="K124" s="63" t="s">
        <v>4</v>
      </c>
      <c r="L124" s="63"/>
      <c r="M124" s="63"/>
      <c r="N124" s="8" t="str">
        <f t="shared" si="1"/>
        <v>1</v>
      </c>
      <c r="O124" s="8" t="str">
        <f>INDEX(Кат!$H:$H,MATCH($A124,Кат!$A:$A,0))</f>
        <v>Китай БЕСТ ПАРТНЕР</v>
      </c>
    </row>
    <row r="125" spans="1:15" ht="30" x14ac:dyDescent="0.25">
      <c r="A125" s="62">
        <v>133341</v>
      </c>
      <c r="B125" s="62">
        <v>23955</v>
      </c>
      <c r="C125" s="63" t="s">
        <v>311</v>
      </c>
      <c r="D125" s="63" t="s">
        <v>1155</v>
      </c>
      <c r="E125" s="63" t="s">
        <v>1084</v>
      </c>
      <c r="F125" s="63"/>
      <c r="G125" s="63" t="s">
        <v>3</v>
      </c>
      <c r="H125" s="64">
        <v>500</v>
      </c>
      <c r="I125" s="64">
        <v>839</v>
      </c>
      <c r="J125" s="63" t="s">
        <v>1471</v>
      </c>
      <c r="K125" s="63" t="s">
        <v>4</v>
      </c>
      <c r="L125" s="63"/>
      <c r="M125" s="63"/>
      <c r="N125" s="8" t="str">
        <f t="shared" si="1"/>
        <v>1</v>
      </c>
      <c r="O125" s="8" t="str">
        <f>INDEX(Кат!$H:$H,MATCH($A125,Кат!$A:$A,0))</f>
        <v>Китай БЕСТ ПАРТНЕР</v>
      </c>
    </row>
    <row r="126" spans="1:15" ht="30" x14ac:dyDescent="0.25">
      <c r="A126" s="62">
        <v>133342</v>
      </c>
      <c r="B126" s="62">
        <v>23960</v>
      </c>
      <c r="C126" s="63" t="s">
        <v>310</v>
      </c>
      <c r="D126" s="63" t="s">
        <v>1155</v>
      </c>
      <c r="E126" s="63" t="s">
        <v>1085</v>
      </c>
      <c r="F126" s="63"/>
      <c r="G126" s="63" t="s">
        <v>3</v>
      </c>
      <c r="H126" s="64">
        <v>500</v>
      </c>
      <c r="I126" s="64">
        <v>1190</v>
      </c>
      <c r="J126" s="63" t="s">
        <v>1472</v>
      </c>
      <c r="K126" s="63" t="s">
        <v>4</v>
      </c>
      <c r="L126" s="63"/>
      <c r="M126" s="63"/>
      <c r="N126" s="8" t="str">
        <f t="shared" si="1"/>
        <v>1</v>
      </c>
      <c r="O126" s="8" t="str">
        <f>INDEX(Кат!$H:$H,MATCH($A126,Кат!$A:$A,0))</f>
        <v>Китай БЕСТ ПАРТНЕР</v>
      </c>
    </row>
    <row r="127" spans="1:15" ht="30" x14ac:dyDescent="0.25">
      <c r="A127" s="62">
        <v>133343</v>
      </c>
      <c r="B127" s="62">
        <v>24056</v>
      </c>
      <c r="C127" s="63" t="s">
        <v>309</v>
      </c>
      <c r="D127" s="63" t="s">
        <v>1157</v>
      </c>
      <c r="E127" s="63" t="s">
        <v>599</v>
      </c>
      <c r="F127" s="63"/>
      <c r="G127" s="63" t="s">
        <v>3</v>
      </c>
      <c r="H127" s="64">
        <v>1200</v>
      </c>
      <c r="I127" s="64">
        <v>1790</v>
      </c>
      <c r="J127" s="63" t="s">
        <v>1451</v>
      </c>
      <c r="K127" s="63" t="s">
        <v>4</v>
      </c>
      <c r="L127" s="63"/>
      <c r="M127" s="63"/>
      <c r="N127" s="8" t="str">
        <f t="shared" si="1"/>
        <v>1</v>
      </c>
      <c r="O127" s="8" t="str">
        <f>INDEX(Кат!$H:$H,MATCH($A127,Кат!$A:$A,0))</f>
        <v>Китай БЕСТ ПАРТНЕР</v>
      </c>
    </row>
    <row r="128" spans="1:15" ht="30" x14ac:dyDescent="0.25">
      <c r="A128" s="62">
        <v>133344</v>
      </c>
      <c r="B128" s="62">
        <v>23953</v>
      </c>
      <c r="C128" s="63" t="s">
        <v>312</v>
      </c>
      <c r="D128" s="63" t="s">
        <v>1155</v>
      </c>
      <c r="E128" s="63" t="s">
        <v>1083</v>
      </c>
      <c r="F128" s="63"/>
      <c r="G128" s="63" t="s">
        <v>3</v>
      </c>
      <c r="H128" s="64">
        <v>700</v>
      </c>
      <c r="I128" s="64">
        <v>1090</v>
      </c>
      <c r="J128" s="63"/>
      <c r="K128" s="63" t="s">
        <v>4</v>
      </c>
      <c r="L128" s="63"/>
      <c r="M128" s="63"/>
      <c r="N128" s="8" t="str">
        <f t="shared" si="1"/>
        <v>1</v>
      </c>
      <c r="O128" s="8" t="str">
        <f>INDEX(Кат!$H:$H,MATCH($A128,Кат!$A:$A,0))</f>
        <v>Китай БЕСТ ПАРТНЕР</v>
      </c>
    </row>
    <row r="129" spans="1:15" ht="30" x14ac:dyDescent="0.25">
      <c r="A129" s="62">
        <v>133345</v>
      </c>
      <c r="B129" s="62">
        <v>8052</v>
      </c>
      <c r="C129" s="63" t="s">
        <v>56</v>
      </c>
      <c r="D129" s="63" t="s">
        <v>1155</v>
      </c>
      <c r="E129" s="63" t="s">
        <v>1009</v>
      </c>
      <c r="F129" s="63"/>
      <c r="G129" s="63" t="s">
        <v>3</v>
      </c>
      <c r="H129" s="64">
        <v>0</v>
      </c>
      <c r="I129" s="64">
        <v>5290</v>
      </c>
      <c r="J129" s="63"/>
      <c r="K129" s="63" t="s">
        <v>1156</v>
      </c>
      <c r="L129" s="63"/>
      <c r="M129" s="63"/>
      <c r="N129" s="8" t="str">
        <f t="shared" si="1"/>
        <v>0</v>
      </c>
      <c r="O129" s="8" t="str">
        <f>INDEX(Кат!$H:$H,MATCH($A129,Кат!$A:$A,0))</f>
        <v>Китай БЕСТ ПАРТНЕР</v>
      </c>
    </row>
    <row r="130" spans="1:15" ht="30" x14ac:dyDescent="0.25">
      <c r="A130" s="62">
        <v>133346</v>
      </c>
      <c r="B130" s="62">
        <v>8053</v>
      </c>
      <c r="C130" s="63" t="s">
        <v>57</v>
      </c>
      <c r="D130" s="63" t="s">
        <v>1155</v>
      </c>
      <c r="E130" s="63" t="s">
        <v>1010</v>
      </c>
      <c r="F130" s="63"/>
      <c r="G130" s="63" t="s">
        <v>3</v>
      </c>
      <c r="H130" s="64">
        <v>0</v>
      </c>
      <c r="I130" s="64">
        <v>5290</v>
      </c>
      <c r="J130" s="63"/>
      <c r="K130" s="63" t="s">
        <v>1156</v>
      </c>
      <c r="L130" s="63"/>
      <c r="M130" s="63"/>
      <c r="N130" s="8" t="str">
        <f t="shared" si="1"/>
        <v>0</v>
      </c>
      <c r="O130" s="8" t="str">
        <f>INDEX(Кат!$H:$H,MATCH($A130,Кат!$A:$A,0))</f>
        <v>Китай БЕСТ ПАРТНЕР</v>
      </c>
    </row>
    <row r="131" spans="1:15" ht="30" x14ac:dyDescent="0.25">
      <c r="A131" s="62">
        <v>133347</v>
      </c>
      <c r="B131" s="62">
        <v>8054</v>
      </c>
      <c r="C131" s="63" t="s">
        <v>58</v>
      </c>
      <c r="D131" s="63" t="s">
        <v>1155</v>
      </c>
      <c r="E131" s="63" t="s">
        <v>1011</v>
      </c>
      <c r="F131" s="63"/>
      <c r="G131" s="63" t="s">
        <v>3</v>
      </c>
      <c r="H131" s="64">
        <v>1800</v>
      </c>
      <c r="I131" s="64">
        <v>2890</v>
      </c>
      <c r="J131" s="63" t="s">
        <v>1470</v>
      </c>
      <c r="K131" s="63" t="s">
        <v>4</v>
      </c>
      <c r="L131" s="63"/>
      <c r="M131" s="63"/>
      <c r="N131" s="8" t="str">
        <f t="shared" ref="N131:N194" si="2">_xlfn.CONCAT(K131,IF(L131&lt;&gt;"",_xlfn.CONCAT("ск",L131),""))</f>
        <v>1</v>
      </c>
      <c r="O131" s="8" t="str">
        <f>INDEX(Кат!$H:$H,MATCH($A131,Кат!$A:$A,0))</f>
        <v>Китай БЕСТ ПАРТНЕР</v>
      </c>
    </row>
    <row r="132" spans="1:15" ht="45" x14ac:dyDescent="0.25">
      <c r="A132" s="62">
        <v>137264</v>
      </c>
      <c r="B132" s="62">
        <v>10227</v>
      </c>
      <c r="C132" s="63" t="s">
        <v>379</v>
      </c>
      <c r="D132" s="63" t="s">
        <v>1155</v>
      </c>
      <c r="E132" s="63"/>
      <c r="F132" s="63"/>
      <c r="G132" s="63" t="s">
        <v>3</v>
      </c>
      <c r="H132" s="64">
        <v>2400</v>
      </c>
      <c r="I132" s="64">
        <v>3090</v>
      </c>
      <c r="J132" s="63"/>
      <c r="K132" s="63" t="s">
        <v>1156</v>
      </c>
      <c r="L132" s="63"/>
      <c r="M132" s="63"/>
      <c r="N132" s="8" t="str">
        <f t="shared" si="2"/>
        <v>0</v>
      </c>
      <c r="O132" s="8" t="str">
        <f>INDEX(Кат!$H:$H,MATCH($A132,Кат!$A:$A,0))</f>
        <v>Китай БЕСТ ПАРТНЕР</v>
      </c>
    </row>
    <row r="133" spans="1:15" ht="30" x14ac:dyDescent="0.25">
      <c r="A133" s="62">
        <v>137267</v>
      </c>
      <c r="B133" s="62">
        <v>5285</v>
      </c>
      <c r="C133" s="63" t="s">
        <v>409</v>
      </c>
      <c r="D133" s="63" t="s">
        <v>1155</v>
      </c>
      <c r="E133" s="63"/>
      <c r="F133" s="63"/>
      <c r="G133" s="63" t="s">
        <v>3</v>
      </c>
      <c r="H133" s="64">
        <v>550</v>
      </c>
      <c r="I133" s="64">
        <v>799</v>
      </c>
      <c r="J133" s="63"/>
      <c r="K133" s="63" t="s">
        <v>1156</v>
      </c>
      <c r="L133" s="63"/>
      <c r="M133" s="63"/>
      <c r="N133" s="8" t="str">
        <f t="shared" si="2"/>
        <v>0</v>
      </c>
      <c r="O133" s="8" t="str">
        <f>INDEX(Кат!$H:$H,MATCH($A133,Кат!$A:$A,0))</f>
        <v>Китай БЕСТ ПАРТНЕР</v>
      </c>
    </row>
    <row r="134" spans="1:15" ht="30" x14ac:dyDescent="0.25">
      <c r="A134" s="62">
        <v>137271</v>
      </c>
      <c r="B134" s="62">
        <v>5286</v>
      </c>
      <c r="C134" s="63" t="s">
        <v>408</v>
      </c>
      <c r="D134" s="63" t="s">
        <v>1155</v>
      </c>
      <c r="E134" s="63"/>
      <c r="F134" s="63"/>
      <c r="G134" s="63" t="s">
        <v>3</v>
      </c>
      <c r="H134" s="64">
        <v>950</v>
      </c>
      <c r="I134" s="64">
        <v>1390</v>
      </c>
      <c r="J134" s="63" t="s">
        <v>1438</v>
      </c>
      <c r="K134" s="63" t="s">
        <v>4</v>
      </c>
      <c r="L134" s="63"/>
      <c r="M134" s="63"/>
      <c r="N134" s="8" t="str">
        <f t="shared" si="2"/>
        <v>1</v>
      </c>
      <c r="O134" s="8" t="str">
        <f>INDEX(Кат!$H:$H,MATCH($A134,Кат!$A:$A,0))</f>
        <v>Китай БЕСТ ПАРТНЕР</v>
      </c>
    </row>
    <row r="135" spans="1:15" ht="30" x14ac:dyDescent="0.25">
      <c r="A135" s="62">
        <v>137272</v>
      </c>
      <c r="B135" s="62">
        <v>5287</v>
      </c>
      <c r="C135" s="63" t="s">
        <v>407</v>
      </c>
      <c r="D135" s="63" t="s">
        <v>1155</v>
      </c>
      <c r="E135" s="63"/>
      <c r="F135" s="63"/>
      <c r="G135" s="63" t="s">
        <v>3</v>
      </c>
      <c r="H135" s="64">
        <v>950</v>
      </c>
      <c r="I135" s="64">
        <v>1290</v>
      </c>
      <c r="J135" s="63" t="s">
        <v>1439</v>
      </c>
      <c r="K135" s="63" t="s">
        <v>4</v>
      </c>
      <c r="L135" s="63" t="s">
        <v>4</v>
      </c>
      <c r="M135" s="63"/>
      <c r="N135" s="8" t="str">
        <f t="shared" si="2"/>
        <v>1ск1</v>
      </c>
      <c r="O135" s="8" t="str">
        <f>INDEX(Кат!$H:$H,MATCH($A135,Кат!$A:$A,0))</f>
        <v>Китай БЕСТ ПАРТНЕР</v>
      </c>
    </row>
    <row r="136" spans="1:15" ht="30" x14ac:dyDescent="0.25">
      <c r="A136" s="62">
        <v>137274</v>
      </c>
      <c r="B136" s="62">
        <v>16999</v>
      </c>
      <c r="C136" s="63" t="s">
        <v>344</v>
      </c>
      <c r="D136" s="63" t="s">
        <v>1157</v>
      </c>
      <c r="E136" s="63"/>
      <c r="F136" s="63"/>
      <c r="G136" s="63" t="s">
        <v>3</v>
      </c>
      <c r="H136" s="64">
        <v>950</v>
      </c>
      <c r="I136" s="64">
        <v>1390</v>
      </c>
      <c r="J136" s="63"/>
      <c r="K136" s="63" t="s">
        <v>1156</v>
      </c>
      <c r="L136" s="63"/>
      <c r="M136" s="63"/>
      <c r="N136" s="8" t="str">
        <f t="shared" si="2"/>
        <v>0</v>
      </c>
      <c r="O136" s="8" t="str">
        <f>INDEX(Кат!$H:$H,MATCH($A136,Кат!$A:$A,0))</f>
        <v>Китай БЕСТ ПАРТНЕР</v>
      </c>
    </row>
    <row r="137" spans="1:15" ht="45" x14ac:dyDescent="0.25">
      <c r="A137" s="62">
        <v>138406</v>
      </c>
      <c r="B137" s="62">
        <v>6407</v>
      </c>
      <c r="C137" s="63" t="s">
        <v>401</v>
      </c>
      <c r="D137" s="63" t="s">
        <v>1155</v>
      </c>
      <c r="E137" s="63"/>
      <c r="F137" s="63"/>
      <c r="G137" s="63" t="s">
        <v>3</v>
      </c>
      <c r="H137" s="64">
        <v>1900</v>
      </c>
      <c r="I137" s="64">
        <v>2490</v>
      </c>
      <c r="J137" s="63" t="s">
        <v>865</v>
      </c>
      <c r="K137" s="63" t="s">
        <v>4</v>
      </c>
      <c r="L137" s="63" t="s">
        <v>1509</v>
      </c>
      <c r="M137" s="63"/>
      <c r="N137" s="8" t="str">
        <f t="shared" si="2"/>
        <v>1ск2</v>
      </c>
      <c r="O137" s="8" t="str">
        <f>INDEX(Кат!$H:$H,MATCH($A137,Кат!$A:$A,0))</f>
        <v>Китай БЕСТ ПАРТНЕР</v>
      </c>
    </row>
    <row r="138" spans="1:15" ht="30" x14ac:dyDescent="0.25">
      <c r="A138" s="62">
        <v>138407</v>
      </c>
      <c r="B138" s="62">
        <v>6408</v>
      </c>
      <c r="C138" s="63" t="s">
        <v>400</v>
      </c>
      <c r="D138" s="63" t="s">
        <v>1155</v>
      </c>
      <c r="E138" s="63"/>
      <c r="F138" s="63"/>
      <c r="G138" s="63" t="s">
        <v>3</v>
      </c>
      <c r="H138" s="64">
        <v>1500</v>
      </c>
      <c r="I138" s="64">
        <v>1990</v>
      </c>
      <c r="J138" s="63"/>
      <c r="K138" s="63" t="s">
        <v>1156</v>
      </c>
      <c r="L138" s="63"/>
      <c r="M138" s="63" t="s">
        <v>1155</v>
      </c>
      <c r="N138" s="8" t="str">
        <f t="shared" si="2"/>
        <v>0</v>
      </c>
      <c r="O138" s="8" t="str">
        <f>INDEX(Кат!$H:$H,MATCH($A138,Кат!$A:$A,0))</f>
        <v>Китай БЕСТ ПАРТНЕР</v>
      </c>
    </row>
    <row r="139" spans="1:15" ht="45" x14ac:dyDescent="0.25">
      <c r="A139" s="62">
        <v>138408</v>
      </c>
      <c r="B139" s="62">
        <v>6403</v>
      </c>
      <c r="C139" s="63" t="s">
        <v>405</v>
      </c>
      <c r="D139" s="63" t="s">
        <v>1155</v>
      </c>
      <c r="E139" s="63"/>
      <c r="F139" s="63"/>
      <c r="G139" s="63" t="s">
        <v>3</v>
      </c>
      <c r="H139" s="64">
        <v>1600</v>
      </c>
      <c r="I139" s="64">
        <v>2290</v>
      </c>
      <c r="J139" s="63" t="s">
        <v>853</v>
      </c>
      <c r="K139" s="63" t="s">
        <v>4</v>
      </c>
      <c r="L139" s="63"/>
      <c r="M139" s="63"/>
      <c r="N139" s="8" t="str">
        <f t="shared" si="2"/>
        <v>1</v>
      </c>
      <c r="O139" s="8" t="str">
        <f>INDEX(Кат!$H:$H,MATCH($A139,Кат!$A:$A,0))</f>
        <v>Китай БЕСТ ПАРТНЕР</v>
      </c>
    </row>
    <row r="140" spans="1:15" ht="45" x14ac:dyDescent="0.25">
      <c r="A140" s="62">
        <v>138409</v>
      </c>
      <c r="B140" s="62">
        <v>6406</v>
      </c>
      <c r="C140" s="63" t="s">
        <v>402</v>
      </c>
      <c r="D140" s="63" t="s">
        <v>1155</v>
      </c>
      <c r="E140" s="63"/>
      <c r="F140" s="63"/>
      <c r="G140" s="63" t="s">
        <v>3</v>
      </c>
      <c r="H140" s="64">
        <v>1600</v>
      </c>
      <c r="I140" s="64">
        <v>2090</v>
      </c>
      <c r="J140" s="63" t="s">
        <v>852</v>
      </c>
      <c r="K140" s="63" t="s">
        <v>1156</v>
      </c>
      <c r="L140" s="63"/>
      <c r="M140" s="63"/>
      <c r="N140" s="8" t="str">
        <f t="shared" si="2"/>
        <v>0</v>
      </c>
      <c r="O140" s="8" t="str">
        <f>INDEX(Кат!$H:$H,MATCH($A140,Кат!$A:$A,0))</f>
        <v>Китай БЕСТ ПАРТНЕР</v>
      </c>
    </row>
    <row r="141" spans="1:15" ht="30" x14ac:dyDescent="0.25">
      <c r="A141" s="62">
        <v>138410</v>
      </c>
      <c r="B141" s="62">
        <v>6404</v>
      </c>
      <c r="C141" s="63" t="s">
        <v>404</v>
      </c>
      <c r="D141" s="63" t="s">
        <v>1155</v>
      </c>
      <c r="E141" s="63"/>
      <c r="F141" s="63"/>
      <c r="G141" s="63" t="s">
        <v>3</v>
      </c>
      <c r="H141" s="64">
        <v>1200</v>
      </c>
      <c r="I141" s="64">
        <v>1590</v>
      </c>
      <c r="J141" s="63"/>
      <c r="K141" s="63" t="s">
        <v>1156</v>
      </c>
      <c r="L141" s="63"/>
      <c r="M141" s="63"/>
      <c r="N141" s="8" t="str">
        <f t="shared" si="2"/>
        <v>0</v>
      </c>
      <c r="O141" s="8" t="str">
        <f>INDEX(Кат!$H:$H,MATCH($A141,Кат!$A:$A,0))</f>
        <v>Китай БЕСТ ПАРТНЕР</v>
      </c>
    </row>
    <row r="142" spans="1:15" ht="45" x14ac:dyDescent="0.25">
      <c r="A142" s="62">
        <v>138411</v>
      </c>
      <c r="B142" s="62">
        <v>6405</v>
      </c>
      <c r="C142" s="63" t="s">
        <v>403</v>
      </c>
      <c r="D142" s="63" t="s">
        <v>1155</v>
      </c>
      <c r="E142" s="63"/>
      <c r="F142" s="63"/>
      <c r="G142" s="63" t="s">
        <v>3</v>
      </c>
      <c r="H142" s="64">
        <v>1000</v>
      </c>
      <c r="I142" s="64">
        <v>2090</v>
      </c>
      <c r="J142" s="63" t="s">
        <v>1437</v>
      </c>
      <c r="K142" s="63" t="s">
        <v>1156</v>
      </c>
      <c r="L142" s="63"/>
      <c r="M142" s="63"/>
      <c r="N142" s="8" t="str">
        <f t="shared" si="2"/>
        <v>0</v>
      </c>
      <c r="O142" s="8" t="str">
        <f>INDEX(Кат!$H:$H,MATCH($A142,Кат!$A:$A,0))</f>
        <v>Китай БЕСТ ПАРТНЕР</v>
      </c>
    </row>
    <row r="143" spans="1:15" ht="45" x14ac:dyDescent="0.25">
      <c r="A143" s="62">
        <v>138412</v>
      </c>
      <c r="B143" s="62">
        <v>7453</v>
      </c>
      <c r="C143" s="63" t="s">
        <v>497</v>
      </c>
      <c r="D143" s="63" t="s">
        <v>1155</v>
      </c>
      <c r="E143" s="63"/>
      <c r="F143" s="63"/>
      <c r="G143" s="63" t="s">
        <v>3</v>
      </c>
      <c r="H143" s="64">
        <v>1500</v>
      </c>
      <c r="I143" s="64">
        <v>2390</v>
      </c>
      <c r="J143" s="63" t="s">
        <v>925</v>
      </c>
      <c r="K143" s="63" t="s">
        <v>4</v>
      </c>
      <c r="L143" s="63"/>
      <c r="M143" s="63"/>
      <c r="N143" s="8" t="str">
        <f t="shared" si="2"/>
        <v>1</v>
      </c>
      <c r="O143" s="8" t="str">
        <f>INDEX(Кат!$H:$H,MATCH($A143,Кат!$A:$A,0))</f>
        <v>Китай БЕСТ ПАРТНЕР</v>
      </c>
    </row>
    <row r="144" spans="1:15" ht="45" x14ac:dyDescent="0.25">
      <c r="A144" s="62">
        <v>138413</v>
      </c>
      <c r="B144" s="62">
        <v>7452</v>
      </c>
      <c r="C144" s="63" t="s">
        <v>390</v>
      </c>
      <c r="D144" s="63" t="s">
        <v>1155</v>
      </c>
      <c r="E144" s="63"/>
      <c r="F144" s="63"/>
      <c r="G144" s="63" t="s">
        <v>3</v>
      </c>
      <c r="H144" s="64">
        <v>1400</v>
      </c>
      <c r="I144" s="64">
        <v>1890</v>
      </c>
      <c r="J144" s="63" t="s">
        <v>922</v>
      </c>
      <c r="K144" s="63" t="s">
        <v>4</v>
      </c>
      <c r="L144" s="63"/>
      <c r="M144" s="63"/>
      <c r="N144" s="8" t="str">
        <f t="shared" si="2"/>
        <v>1</v>
      </c>
      <c r="O144" s="8" t="str">
        <f>INDEX(Кат!$H:$H,MATCH($A144,Кат!$A:$A,0))</f>
        <v>Китай БЕСТ ПАРТНЕР</v>
      </c>
    </row>
    <row r="145" spans="1:15" ht="45" x14ac:dyDescent="0.25">
      <c r="A145" s="62">
        <v>138414</v>
      </c>
      <c r="B145" s="62">
        <v>7451</v>
      </c>
      <c r="C145" s="63" t="s">
        <v>391</v>
      </c>
      <c r="D145" s="63" t="s">
        <v>1155</v>
      </c>
      <c r="E145" s="63"/>
      <c r="F145" s="63"/>
      <c r="G145" s="63" t="s">
        <v>3</v>
      </c>
      <c r="H145" s="64">
        <v>1700</v>
      </c>
      <c r="I145" s="64">
        <v>2190</v>
      </c>
      <c r="J145" s="63" t="s">
        <v>858</v>
      </c>
      <c r="K145" s="63" t="s">
        <v>4</v>
      </c>
      <c r="L145" s="63"/>
      <c r="M145" s="63"/>
      <c r="N145" s="8" t="str">
        <f t="shared" si="2"/>
        <v>1</v>
      </c>
      <c r="O145" s="8" t="str">
        <f>INDEX(Кат!$H:$H,MATCH($A145,Кат!$A:$A,0))</f>
        <v>Китай БЕСТ ПАРТНЕР</v>
      </c>
    </row>
    <row r="146" spans="1:15" ht="45" x14ac:dyDescent="0.25">
      <c r="A146" s="62">
        <v>138415</v>
      </c>
      <c r="B146" s="62">
        <v>7450</v>
      </c>
      <c r="C146" s="63" t="s">
        <v>392</v>
      </c>
      <c r="D146" s="63" t="s">
        <v>1155</v>
      </c>
      <c r="E146" s="63"/>
      <c r="F146" s="63"/>
      <c r="G146" s="63" t="s">
        <v>3</v>
      </c>
      <c r="H146" s="64">
        <v>1500</v>
      </c>
      <c r="I146" s="64">
        <v>2090</v>
      </c>
      <c r="J146" s="63" t="s">
        <v>926</v>
      </c>
      <c r="K146" s="63" t="s">
        <v>4</v>
      </c>
      <c r="L146" s="63"/>
      <c r="M146" s="63"/>
      <c r="N146" s="8" t="str">
        <f t="shared" si="2"/>
        <v>1</v>
      </c>
      <c r="O146" s="8" t="str">
        <f>INDEX(Кат!$H:$H,MATCH($A146,Кат!$A:$A,0))</f>
        <v>Китай БЕСТ ПАРТНЕР</v>
      </c>
    </row>
    <row r="147" spans="1:15" ht="45" x14ac:dyDescent="0.25">
      <c r="A147" s="62">
        <v>138431</v>
      </c>
      <c r="B147" s="62">
        <v>11449</v>
      </c>
      <c r="C147" s="63" t="s">
        <v>369</v>
      </c>
      <c r="D147" s="63" t="s">
        <v>1155</v>
      </c>
      <c r="E147" s="63" t="s">
        <v>1038</v>
      </c>
      <c r="F147" s="63"/>
      <c r="G147" s="63" t="s">
        <v>3</v>
      </c>
      <c r="H147" s="64">
        <v>1500</v>
      </c>
      <c r="I147" s="64">
        <v>2090</v>
      </c>
      <c r="J147" s="63" t="s">
        <v>928</v>
      </c>
      <c r="K147" s="63" t="s">
        <v>4</v>
      </c>
      <c r="L147" s="63"/>
      <c r="M147" s="63"/>
      <c r="N147" s="8" t="str">
        <f t="shared" si="2"/>
        <v>1</v>
      </c>
      <c r="O147" s="8" t="str">
        <f>INDEX(Кат!$H:$H,MATCH($A147,Кат!$A:$A,0))</f>
        <v>Китай БЕСТ ПАРТНЕР</v>
      </c>
    </row>
    <row r="148" spans="1:15" ht="45" x14ac:dyDescent="0.25">
      <c r="A148" s="62">
        <v>138432</v>
      </c>
      <c r="B148" s="62">
        <v>11451</v>
      </c>
      <c r="C148" s="63" t="s">
        <v>367</v>
      </c>
      <c r="D148" s="63" t="s">
        <v>1155</v>
      </c>
      <c r="E148" s="63"/>
      <c r="F148" s="63"/>
      <c r="G148" s="63" t="s">
        <v>3</v>
      </c>
      <c r="H148" s="64">
        <v>1500</v>
      </c>
      <c r="I148" s="64">
        <v>2090</v>
      </c>
      <c r="J148" s="63" t="s">
        <v>929</v>
      </c>
      <c r="K148" s="63" t="s">
        <v>4</v>
      </c>
      <c r="L148" s="63"/>
      <c r="M148" s="63"/>
      <c r="N148" s="8" t="str">
        <f t="shared" si="2"/>
        <v>1</v>
      </c>
      <c r="O148" s="8" t="str">
        <f>INDEX(Кат!$H:$H,MATCH($A148,Кат!$A:$A,0))</f>
        <v>Китай БЕСТ ПАРТНЕР</v>
      </c>
    </row>
    <row r="149" spans="1:15" ht="45" x14ac:dyDescent="0.25">
      <c r="A149" s="62">
        <v>138433</v>
      </c>
      <c r="B149" s="62">
        <v>7456</v>
      </c>
      <c r="C149" s="63" t="s">
        <v>387</v>
      </c>
      <c r="D149" s="63" t="s">
        <v>1155</v>
      </c>
      <c r="E149" s="63"/>
      <c r="F149" s="63"/>
      <c r="G149" s="63" t="s">
        <v>3</v>
      </c>
      <c r="H149" s="64">
        <v>1400</v>
      </c>
      <c r="I149" s="64">
        <v>2090</v>
      </c>
      <c r="J149" s="63" t="s">
        <v>923</v>
      </c>
      <c r="K149" s="63" t="s">
        <v>4</v>
      </c>
      <c r="L149" s="63"/>
      <c r="M149" s="63"/>
      <c r="N149" s="8" t="str">
        <f t="shared" si="2"/>
        <v>1</v>
      </c>
      <c r="O149" s="8" t="str">
        <f>INDEX(Кат!$H:$H,MATCH($A149,Кат!$A:$A,0))</f>
        <v>Китай БЕСТ ПАРТНЕР</v>
      </c>
    </row>
    <row r="150" spans="1:15" ht="45" x14ac:dyDescent="0.25">
      <c r="A150" s="62">
        <v>138434</v>
      </c>
      <c r="B150" s="62">
        <v>6413</v>
      </c>
      <c r="C150" s="63" t="s">
        <v>396</v>
      </c>
      <c r="D150" s="63" t="s">
        <v>1155</v>
      </c>
      <c r="E150" s="63"/>
      <c r="F150" s="63"/>
      <c r="G150" s="63" t="s">
        <v>3</v>
      </c>
      <c r="H150" s="64">
        <v>1600</v>
      </c>
      <c r="I150" s="64">
        <v>2290</v>
      </c>
      <c r="J150" s="63" t="s">
        <v>854</v>
      </c>
      <c r="K150" s="63" t="s">
        <v>4</v>
      </c>
      <c r="L150" s="63"/>
      <c r="M150" s="63" t="s">
        <v>1155</v>
      </c>
      <c r="N150" s="8" t="str">
        <f t="shared" si="2"/>
        <v>1</v>
      </c>
      <c r="O150" s="8" t="str">
        <f>INDEX(Кат!$H:$H,MATCH($A150,Кат!$A:$A,0))</f>
        <v>Китай БЕСТ ПАРТНЕР</v>
      </c>
    </row>
    <row r="151" spans="1:15" ht="30" x14ac:dyDescent="0.25">
      <c r="A151" s="62">
        <v>138435</v>
      </c>
      <c r="B151" s="62">
        <v>6409</v>
      </c>
      <c r="C151" s="63" t="s">
        <v>399</v>
      </c>
      <c r="D151" s="63" t="s">
        <v>1155</v>
      </c>
      <c r="E151" s="63" t="s">
        <v>1007</v>
      </c>
      <c r="F151" s="63" t="s">
        <v>1007</v>
      </c>
      <c r="G151" s="63" t="s">
        <v>3</v>
      </c>
      <c r="H151" s="64">
        <v>1500</v>
      </c>
      <c r="I151" s="64">
        <v>1990</v>
      </c>
      <c r="J151" s="63"/>
      <c r="K151" s="63" t="s">
        <v>1156</v>
      </c>
      <c r="L151" s="63"/>
      <c r="M151" s="63"/>
      <c r="N151" s="8" t="str">
        <f t="shared" si="2"/>
        <v>0</v>
      </c>
      <c r="O151" s="8" t="str">
        <f>INDEX(Кат!$H:$H,MATCH($A151,Кат!$A:$A,0))</f>
        <v>Китай БЕСТ ПАРТНЕР</v>
      </c>
    </row>
    <row r="152" spans="1:15" ht="45" x14ac:dyDescent="0.25">
      <c r="A152" s="62">
        <v>138436</v>
      </c>
      <c r="B152" s="62">
        <v>6410</v>
      </c>
      <c r="C152" s="63" t="s">
        <v>398</v>
      </c>
      <c r="D152" s="63" t="s">
        <v>1155</v>
      </c>
      <c r="E152" s="63"/>
      <c r="F152" s="63"/>
      <c r="G152" s="63" t="s">
        <v>3</v>
      </c>
      <c r="H152" s="64">
        <v>1600</v>
      </c>
      <c r="I152" s="64">
        <v>2090</v>
      </c>
      <c r="J152" s="63" t="s">
        <v>1431</v>
      </c>
      <c r="K152" s="63" t="s">
        <v>4</v>
      </c>
      <c r="L152" s="63"/>
      <c r="M152" s="63"/>
      <c r="N152" s="8" t="str">
        <f t="shared" si="2"/>
        <v>1</v>
      </c>
      <c r="O152" s="8" t="str">
        <f>INDEX(Кат!$H:$H,MATCH($A152,Кат!$A:$A,0))</f>
        <v>Китай БЕСТ ПАРТНЕР</v>
      </c>
    </row>
    <row r="153" spans="1:15" ht="45" x14ac:dyDescent="0.25">
      <c r="A153" s="62">
        <v>138437</v>
      </c>
      <c r="B153" s="62">
        <v>6411</v>
      </c>
      <c r="C153" s="63" t="s">
        <v>397</v>
      </c>
      <c r="D153" s="63" t="s">
        <v>1155</v>
      </c>
      <c r="E153" s="63" t="s">
        <v>496</v>
      </c>
      <c r="F153" s="63" t="s">
        <v>496</v>
      </c>
      <c r="G153" s="63" t="s">
        <v>3</v>
      </c>
      <c r="H153" s="64">
        <v>1400</v>
      </c>
      <c r="I153" s="64">
        <v>2090</v>
      </c>
      <c r="J153" s="63" t="s">
        <v>921</v>
      </c>
      <c r="K153" s="63" t="s">
        <v>1156</v>
      </c>
      <c r="L153" s="63"/>
      <c r="M153" s="63"/>
      <c r="N153" s="8" t="str">
        <f t="shared" si="2"/>
        <v>0</v>
      </c>
      <c r="O153" s="8" t="str">
        <f>INDEX(Кат!$H:$H,MATCH($A153,Кат!$A:$A,0))</f>
        <v>Китай БЕСТ ПАРТНЕР</v>
      </c>
    </row>
    <row r="154" spans="1:15" ht="45" x14ac:dyDescent="0.25">
      <c r="A154" s="62">
        <v>138438</v>
      </c>
      <c r="B154" s="62">
        <v>11450</v>
      </c>
      <c r="C154" s="63" t="s">
        <v>368</v>
      </c>
      <c r="D154" s="63" t="s">
        <v>1155</v>
      </c>
      <c r="E154" s="63"/>
      <c r="F154" s="63"/>
      <c r="G154" s="63" t="s">
        <v>3</v>
      </c>
      <c r="H154" s="64">
        <v>1600</v>
      </c>
      <c r="I154" s="64">
        <v>2090</v>
      </c>
      <c r="J154" s="63" t="s">
        <v>855</v>
      </c>
      <c r="K154" s="63" t="s">
        <v>4</v>
      </c>
      <c r="L154" s="63"/>
      <c r="M154" s="63"/>
      <c r="N154" s="8" t="str">
        <f t="shared" si="2"/>
        <v>1</v>
      </c>
      <c r="O154" s="8" t="str">
        <f>INDEX(Кат!$H:$H,MATCH($A154,Кат!$A:$A,0))</f>
        <v>Китай БЕСТ ПАРТНЕР</v>
      </c>
    </row>
    <row r="155" spans="1:15" ht="45" x14ac:dyDescent="0.25">
      <c r="A155" s="62">
        <v>138439</v>
      </c>
      <c r="B155" s="62">
        <v>7455</v>
      </c>
      <c r="C155" s="63" t="s">
        <v>388</v>
      </c>
      <c r="D155" s="63" t="s">
        <v>1155</v>
      </c>
      <c r="E155" s="63"/>
      <c r="F155" s="63"/>
      <c r="G155" s="63" t="s">
        <v>3</v>
      </c>
      <c r="H155" s="64">
        <v>1500</v>
      </c>
      <c r="I155" s="64">
        <v>2090</v>
      </c>
      <c r="J155" s="63" t="s">
        <v>927</v>
      </c>
      <c r="K155" s="63" t="s">
        <v>4</v>
      </c>
      <c r="L155" s="63"/>
      <c r="M155" s="63"/>
      <c r="N155" s="8" t="str">
        <f t="shared" si="2"/>
        <v>1</v>
      </c>
      <c r="O155" s="8" t="str">
        <f>INDEX(Кат!$H:$H,MATCH($A155,Кат!$A:$A,0))</f>
        <v>Китай БЕСТ ПАРТНЕР</v>
      </c>
    </row>
    <row r="156" spans="1:15" ht="45" x14ac:dyDescent="0.25">
      <c r="A156" s="62">
        <v>138440</v>
      </c>
      <c r="B156" s="62">
        <v>7454</v>
      </c>
      <c r="C156" s="63" t="s">
        <v>389</v>
      </c>
      <c r="D156" s="63" t="s">
        <v>1155</v>
      </c>
      <c r="E156" s="63"/>
      <c r="F156" s="63"/>
      <c r="G156" s="63" t="s">
        <v>3</v>
      </c>
      <c r="H156" s="64">
        <v>1300</v>
      </c>
      <c r="I156" s="64">
        <v>1690</v>
      </c>
      <c r="J156" s="63" t="s">
        <v>920</v>
      </c>
      <c r="K156" s="63" t="s">
        <v>4</v>
      </c>
      <c r="L156" s="63"/>
      <c r="M156" s="63"/>
      <c r="N156" s="8" t="str">
        <f t="shared" si="2"/>
        <v>1</v>
      </c>
      <c r="O156" s="8" t="str">
        <f>INDEX(Кат!$H:$H,MATCH($A156,Кат!$A:$A,0))</f>
        <v>Китай БЕСТ ПАРТНЕР</v>
      </c>
    </row>
    <row r="157" spans="1:15" ht="30" x14ac:dyDescent="0.25">
      <c r="A157" s="62">
        <v>138441</v>
      </c>
      <c r="B157" s="62">
        <v>19175</v>
      </c>
      <c r="C157" s="63" t="s">
        <v>322</v>
      </c>
      <c r="D157" s="63" t="s">
        <v>1155</v>
      </c>
      <c r="E157" s="63"/>
      <c r="F157" s="63"/>
      <c r="G157" s="63" t="s">
        <v>3</v>
      </c>
      <c r="H157" s="64">
        <v>1500</v>
      </c>
      <c r="I157" s="64">
        <v>1990</v>
      </c>
      <c r="J157" s="63" t="s">
        <v>851</v>
      </c>
      <c r="K157" s="63" t="s">
        <v>4</v>
      </c>
      <c r="L157" s="63"/>
      <c r="M157" s="63"/>
      <c r="N157" s="8" t="str">
        <f t="shared" si="2"/>
        <v>1</v>
      </c>
      <c r="O157" s="8" t="str">
        <f>INDEX(Кат!$H:$H,MATCH($A157,Кат!$A:$A,0))</f>
        <v>Китай БЕСТ ПАРТНЕР</v>
      </c>
    </row>
    <row r="158" spans="1:15" ht="45" x14ac:dyDescent="0.25">
      <c r="A158" s="62">
        <v>138442</v>
      </c>
      <c r="B158" s="62">
        <v>19177</v>
      </c>
      <c r="C158" s="63" t="s">
        <v>321</v>
      </c>
      <c r="D158" s="63" t="s">
        <v>1155</v>
      </c>
      <c r="E158" s="63"/>
      <c r="F158" s="63"/>
      <c r="G158" s="63" t="s">
        <v>3</v>
      </c>
      <c r="H158" s="64">
        <v>1400</v>
      </c>
      <c r="I158" s="64">
        <v>1990</v>
      </c>
      <c r="J158" s="63" t="s">
        <v>924</v>
      </c>
      <c r="K158" s="63" t="s">
        <v>4</v>
      </c>
      <c r="L158" s="63"/>
      <c r="M158" s="63"/>
      <c r="N158" s="8" t="str">
        <f t="shared" si="2"/>
        <v>1</v>
      </c>
      <c r="O158" s="8" t="str">
        <f>INDEX(Кат!$H:$H,MATCH($A158,Кат!$A:$A,0))</f>
        <v>Китай БЕСТ ПАРТНЕР</v>
      </c>
    </row>
    <row r="159" spans="1:15" ht="30" x14ac:dyDescent="0.25">
      <c r="A159" s="62">
        <v>138485</v>
      </c>
      <c r="B159" s="62">
        <v>7458</v>
      </c>
      <c r="C159" s="63" t="s">
        <v>499</v>
      </c>
      <c r="D159" s="63" t="s">
        <v>1155</v>
      </c>
      <c r="E159" s="63"/>
      <c r="F159" s="63"/>
      <c r="G159" s="63" t="s">
        <v>3</v>
      </c>
      <c r="H159" s="64">
        <v>0</v>
      </c>
      <c r="I159" s="64">
        <v>1490</v>
      </c>
      <c r="J159" s="63"/>
      <c r="K159" s="63" t="s">
        <v>1156</v>
      </c>
      <c r="L159" s="63"/>
      <c r="M159" s="63"/>
      <c r="N159" s="8" t="str">
        <f t="shared" si="2"/>
        <v>0</v>
      </c>
      <c r="O159" s="8" t="str">
        <f>INDEX(Кат!$H:$H,MATCH($A159,Кат!$A:$A,0))</f>
        <v>Китай БЕСТ ПАРТНЕР</v>
      </c>
    </row>
    <row r="160" spans="1:15" ht="45" x14ac:dyDescent="0.25">
      <c r="A160" s="62">
        <v>138486</v>
      </c>
      <c r="B160" s="62">
        <v>7459</v>
      </c>
      <c r="C160" s="63" t="s">
        <v>500</v>
      </c>
      <c r="D160" s="63" t="s">
        <v>1155</v>
      </c>
      <c r="E160" s="63"/>
      <c r="F160" s="63"/>
      <c r="G160" s="63" t="s">
        <v>3</v>
      </c>
      <c r="H160" s="64">
        <v>750</v>
      </c>
      <c r="I160" s="64">
        <v>1490</v>
      </c>
      <c r="J160" s="63" t="s">
        <v>1442</v>
      </c>
      <c r="K160" s="63" t="s">
        <v>4</v>
      </c>
      <c r="L160" s="63"/>
      <c r="M160" s="63"/>
      <c r="N160" s="8" t="str">
        <f t="shared" si="2"/>
        <v>1</v>
      </c>
      <c r="O160" s="8" t="str">
        <f>INDEX(Кат!$H:$H,MATCH($A160,Кат!$A:$A,0))</f>
        <v>Китай БЕСТ ПАРТНЕР</v>
      </c>
    </row>
    <row r="161" spans="1:15" ht="45" x14ac:dyDescent="0.25">
      <c r="A161" s="62">
        <v>138487</v>
      </c>
      <c r="B161" s="62">
        <v>7457</v>
      </c>
      <c r="C161" s="63" t="s">
        <v>498</v>
      </c>
      <c r="D161" s="63" t="s">
        <v>1155</v>
      </c>
      <c r="E161" s="63"/>
      <c r="F161" s="63"/>
      <c r="G161" s="63" t="s">
        <v>3</v>
      </c>
      <c r="H161" s="64">
        <v>900</v>
      </c>
      <c r="I161" s="64">
        <v>1490</v>
      </c>
      <c r="J161" s="63" t="s">
        <v>1441</v>
      </c>
      <c r="K161" s="63" t="s">
        <v>4</v>
      </c>
      <c r="L161" s="63"/>
      <c r="M161" s="63"/>
      <c r="N161" s="8" t="str">
        <f t="shared" si="2"/>
        <v>1</v>
      </c>
      <c r="O161" s="8" t="str">
        <f>INDEX(Кат!$H:$H,MATCH($A161,Кат!$A:$A,0))</f>
        <v>Китай БЕСТ ПАРТНЕР</v>
      </c>
    </row>
    <row r="162" spans="1:15" ht="30" x14ac:dyDescent="0.25">
      <c r="A162" s="62">
        <v>138488</v>
      </c>
      <c r="B162" s="62">
        <v>7462</v>
      </c>
      <c r="C162" s="63" t="s">
        <v>503</v>
      </c>
      <c r="D162" s="63" t="s">
        <v>1155</v>
      </c>
      <c r="E162" s="63"/>
      <c r="F162" s="63"/>
      <c r="G162" s="63" t="s">
        <v>3</v>
      </c>
      <c r="H162" s="64">
        <v>0</v>
      </c>
      <c r="I162" s="64">
        <v>1490</v>
      </c>
      <c r="J162" s="63"/>
      <c r="K162" s="63" t="s">
        <v>1156</v>
      </c>
      <c r="L162" s="63"/>
      <c r="M162" s="63"/>
      <c r="N162" s="8" t="str">
        <f t="shared" si="2"/>
        <v>0</v>
      </c>
      <c r="O162" s="8" t="str">
        <f>INDEX(Кат!$H:$H,MATCH($A162,Кат!$A:$A,0))</f>
        <v>Китай БЕСТ ПАРТНЕР</v>
      </c>
    </row>
    <row r="163" spans="1:15" ht="30" x14ac:dyDescent="0.25">
      <c r="A163" s="62">
        <v>138489</v>
      </c>
      <c r="B163" s="62">
        <v>7460</v>
      </c>
      <c r="C163" s="63" t="s">
        <v>501</v>
      </c>
      <c r="D163" s="63" t="s">
        <v>1155</v>
      </c>
      <c r="E163" s="63"/>
      <c r="F163" s="63"/>
      <c r="G163" s="63" t="s">
        <v>3</v>
      </c>
      <c r="H163" s="64">
        <v>0</v>
      </c>
      <c r="I163" s="64">
        <v>1490</v>
      </c>
      <c r="J163" s="63"/>
      <c r="K163" s="63" t="s">
        <v>1156</v>
      </c>
      <c r="L163" s="63"/>
      <c r="M163" s="63"/>
      <c r="N163" s="8" t="str">
        <f t="shared" si="2"/>
        <v>0</v>
      </c>
      <c r="O163" s="8" t="str">
        <f>INDEX(Кат!$H:$H,MATCH($A163,Кат!$A:$A,0))</f>
        <v>Китай БЕСТ ПАРТНЕР</v>
      </c>
    </row>
    <row r="164" spans="1:15" ht="30" x14ac:dyDescent="0.25">
      <c r="A164" s="62">
        <v>138490</v>
      </c>
      <c r="B164" s="62">
        <v>7461</v>
      </c>
      <c r="C164" s="63" t="s">
        <v>502</v>
      </c>
      <c r="D164" s="63" t="s">
        <v>1155</v>
      </c>
      <c r="E164" s="63"/>
      <c r="F164" s="63"/>
      <c r="G164" s="63" t="s">
        <v>3</v>
      </c>
      <c r="H164" s="64">
        <v>600</v>
      </c>
      <c r="I164" s="64">
        <v>869</v>
      </c>
      <c r="J164" s="63"/>
      <c r="K164" s="63" t="s">
        <v>1156</v>
      </c>
      <c r="L164" s="63"/>
      <c r="M164" s="63"/>
      <c r="N164" s="8" t="str">
        <f t="shared" si="2"/>
        <v>0</v>
      </c>
      <c r="O164" s="8" t="str">
        <f>INDEX(Кат!$H:$H,MATCH($A164,Кат!$A:$A,0))</f>
        <v>Китай БЕСТ ПАРТНЕР</v>
      </c>
    </row>
    <row r="165" spans="1:15" ht="30" x14ac:dyDescent="0.25">
      <c r="A165" s="62">
        <v>138491</v>
      </c>
      <c r="B165" s="62">
        <v>7464</v>
      </c>
      <c r="C165" s="63" t="s">
        <v>386</v>
      </c>
      <c r="D165" s="63" t="s">
        <v>1155</v>
      </c>
      <c r="E165" s="63"/>
      <c r="F165" s="63"/>
      <c r="G165" s="63" t="s">
        <v>3</v>
      </c>
      <c r="H165" s="64">
        <v>0</v>
      </c>
      <c r="I165" s="64">
        <v>1790</v>
      </c>
      <c r="J165" s="63"/>
      <c r="K165" s="63" t="s">
        <v>1156</v>
      </c>
      <c r="L165" s="63"/>
      <c r="M165" s="63"/>
      <c r="N165" s="8" t="str">
        <f t="shared" si="2"/>
        <v>0</v>
      </c>
      <c r="O165" s="8" t="str">
        <f>INDEX(Кат!$H:$H,MATCH($A165,Кат!$A:$A,0))</f>
        <v>Китай БЕСТ ПАРТНЕР</v>
      </c>
    </row>
    <row r="166" spans="1:15" ht="30" x14ac:dyDescent="0.25">
      <c r="A166" s="62">
        <v>138537</v>
      </c>
      <c r="B166" s="62">
        <v>7449</v>
      </c>
      <c r="C166" s="63" t="s">
        <v>393</v>
      </c>
      <c r="D166" s="63" t="s">
        <v>1155</v>
      </c>
      <c r="E166" s="63"/>
      <c r="F166" s="63"/>
      <c r="G166" s="63" t="s">
        <v>3</v>
      </c>
      <c r="H166" s="64">
        <v>0</v>
      </c>
      <c r="I166" s="64">
        <v>1490</v>
      </c>
      <c r="J166" s="63"/>
      <c r="K166" s="63" t="s">
        <v>1156</v>
      </c>
      <c r="L166" s="63"/>
      <c r="M166" s="63"/>
      <c r="N166" s="8" t="str">
        <f t="shared" si="2"/>
        <v>0</v>
      </c>
      <c r="O166" s="8" t="str">
        <f>INDEX(Кат!$H:$H,MATCH($A166,Кат!$A:$A,0))</f>
        <v>Китай БЕСТ ПАРТНЕР</v>
      </c>
    </row>
    <row r="167" spans="1:15" ht="45" x14ac:dyDescent="0.25">
      <c r="A167" s="62">
        <v>138538</v>
      </c>
      <c r="B167" s="62">
        <v>7448</v>
      </c>
      <c r="C167" s="63" t="s">
        <v>394</v>
      </c>
      <c r="D167" s="63" t="s">
        <v>1155</v>
      </c>
      <c r="E167" s="63"/>
      <c r="F167" s="63"/>
      <c r="G167" s="63" t="s">
        <v>3</v>
      </c>
      <c r="H167" s="64">
        <v>900</v>
      </c>
      <c r="I167" s="64">
        <v>1390</v>
      </c>
      <c r="J167" s="63" t="s">
        <v>1440</v>
      </c>
      <c r="K167" s="63" t="s">
        <v>4</v>
      </c>
      <c r="L167" s="63"/>
      <c r="M167" s="63"/>
      <c r="N167" s="8" t="str">
        <f t="shared" si="2"/>
        <v>1</v>
      </c>
      <c r="O167" s="8" t="str">
        <f>INDEX(Кат!$H:$H,MATCH($A167,Кат!$A:$A,0))</f>
        <v>Китай БЕСТ ПАРТНЕР</v>
      </c>
    </row>
    <row r="168" spans="1:15" ht="45" x14ac:dyDescent="0.25">
      <c r="A168" s="62">
        <v>138543</v>
      </c>
      <c r="B168" s="62">
        <v>10223</v>
      </c>
      <c r="C168" s="63" t="s">
        <v>570</v>
      </c>
      <c r="D168" s="63" t="s">
        <v>1155</v>
      </c>
      <c r="E168" s="63" t="s">
        <v>569</v>
      </c>
      <c r="F168" s="63"/>
      <c r="G168" s="63" t="s">
        <v>3</v>
      </c>
      <c r="H168" s="64">
        <v>2000</v>
      </c>
      <c r="I168" s="64">
        <v>2590</v>
      </c>
      <c r="J168" s="63" t="s">
        <v>1475</v>
      </c>
      <c r="K168" s="63" t="s">
        <v>4</v>
      </c>
      <c r="L168" s="63"/>
      <c r="M168" s="63"/>
      <c r="N168" s="8" t="str">
        <f t="shared" si="2"/>
        <v>1</v>
      </c>
      <c r="O168" s="8" t="str">
        <f>INDEX(Кат!$H:$H,MATCH($A168,Кат!$A:$A,0))</f>
        <v>Китай БЕСТ ПАРТНЕР</v>
      </c>
    </row>
    <row r="169" spans="1:15" ht="30" x14ac:dyDescent="0.25">
      <c r="A169" s="62">
        <v>138545</v>
      </c>
      <c r="B169" s="62">
        <v>11423</v>
      </c>
      <c r="C169" s="63" t="s">
        <v>376</v>
      </c>
      <c r="D169" s="63" t="s">
        <v>1155</v>
      </c>
      <c r="E169" s="63"/>
      <c r="F169" s="63"/>
      <c r="G169" s="63" t="s">
        <v>3</v>
      </c>
      <c r="H169" s="64">
        <v>950</v>
      </c>
      <c r="I169" s="64">
        <v>1390</v>
      </c>
      <c r="J169" s="63"/>
      <c r="K169" s="63" t="s">
        <v>4</v>
      </c>
      <c r="L169" s="63"/>
      <c r="M169" s="63"/>
      <c r="N169" s="8" t="str">
        <f t="shared" si="2"/>
        <v>1</v>
      </c>
      <c r="O169" s="8" t="str">
        <f>INDEX(Кат!$H:$H,MATCH($A169,Кат!$A:$A,0))</f>
        <v>Китай БЕСТ ПАРТНЕР</v>
      </c>
    </row>
    <row r="170" spans="1:15" ht="30" x14ac:dyDescent="0.25">
      <c r="A170" s="62">
        <v>138546</v>
      </c>
      <c r="B170" s="62">
        <v>6416</v>
      </c>
      <c r="C170" s="63" t="s">
        <v>395</v>
      </c>
      <c r="D170" s="63" t="s">
        <v>1155</v>
      </c>
      <c r="E170" s="63"/>
      <c r="F170" s="63"/>
      <c r="G170" s="63" t="s">
        <v>3</v>
      </c>
      <c r="H170" s="64">
        <v>950</v>
      </c>
      <c r="I170" s="64">
        <v>1390</v>
      </c>
      <c r="J170" s="63"/>
      <c r="K170" s="63" t="s">
        <v>1156</v>
      </c>
      <c r="L170" s="63"/>
      <c r="M170" s="63"/>
      <c r="N170" s="8" t="str">
        <f t="shared" si="2"/>
        <v>0</v>
      </c>
      <c r="O170" s="8" t="str">
        <f>INDEX(Кат!$H:$H,MATCH($A170,Кат!$A:$A,0))</f>
        <v>Китай БЕСТ ПАРТНЕР</v>
      </c>
    </row>
    <row r="171" spans="1:15" ht="30" x14ac:dyDescent="0.25">
      <c r="A171" s="62">
        <v>138548</v>
      </c>
      <c r="B171" s="62">
        <v>7466</v>
      </c>
      <c r="C171" s="63" t="s">
        <v>505</v>
      </c>
      <c r="D171" s="63" t="s">
        <v>1155</v>
      </c>
      <c r="E171" s="63"/>
      <c r="F171" s="63"/>
      <c r="G171" s="63" t="s">
        <v>3</v>
      </c>
      <c r="H171" s="64">
        <v>1800</v>
      </c>
      <c r="I171" s="64">
        <v>2390</v>
      </c>
      <c r="J171" s="63"/>
      <c r="K171" s="63" t="s">
        <v>1156</v>
      </c>
      <c r="L171" s="63"/>
      <c r="M171" s="63"/>
      <c r="N171" s="8" t="str">
        <f t="shared" si="2"/>
        <v>0</v>
      </c>
      <c r="O171" s="8" t="str">
        <f>INDEX(Кат!$H:$H,MATCH($A171,Кат!$A:$A,0))</f>
        <v>Китай БЕСТ ПАРТНЕР</v>
      </c>
    </row>
    <row r="172" spans="1:15" ht="45" x14ac:dyDescent="0.25">
      <c r="A172" s="62">
        <v>138550</v>
      </c>
      <c r="B172" s="62">
        <v>7465</v>
      </c>
      <c r="C172" s="63" t="s">
        <v>504</v>
      </c>
      <c r="D172" s="63" t="s">
        <v>1155</v>
      </c>
      <c r="E172" s="63"/>
      <c r="F172" s="63"/>
      <c r="G172" s="63" t="s">
        <v>3</v>
      </c>
      <c r="H172" s="64">
        <v>1800</v>
      </c>
      <c r="I172" s="64">
        <v>2390</v>
      </c>
      <c r="J172" s="63" t="s">
        <v>864</v>
      </c>
      <c r="K172" s="63" t="s">
        <v>4</v>
      </c>
      <c r="L172" s="63"/>
      <c r="M172" s="63"/>
      <c r="N172" s="8" t="str">
        <f t="shared" si="2"/>
        <v>1</v>
      </c>
      <c r="O172" s="8" t="str">
        <f>INDEX(Кат!$H:$H,MATCH($A172,Кат!$A:$A,0))</f>
        <v>Китай БЕСТ ПАРТНЕР</v>
      </c>
    </row>
    <row r="173" spans="1:15" ht="30" x14ac:dyDescent="0.25">
      <c r="A173" s="62">
        <v>139538</v>
      </c>
      <c r="B173" s="62">
        <v>23572</v>
      </c>
      <c r="C173" s="63" t="s">
        <v>822</v>
      </c>
      <c r="D173" s="63" t="s">
        <v>1155</v>
      </c>
      <c r="E173" s="63" t="s">
        <v>823</v>
      </c>
      <c r="F173" s="63"/>
      <c r="G173" s="63" t="s">
        <v>3</v>
      </c>
      <c r="H173" s="64">
        <v>300</v>
      </c>
      <c r="I173" s="64">
        <v>629</v>
      </c>
      <c r="J173" s="63" t="s">
        <v>751</v>
      </c>
      <c r="K173" s="63" t="s">
        <v>4</v>
      </c>
      <c r="L173" s="63"/>
      <c r="M173" s="63"/>
      <c r="N173" s="8" t="str">
        <f t="shared" si="2"/>
        <v>1</v>
      </c>
      <c r="O173" s="8" t="str">
        <f>INDEX(Кат!$H:$H,MATCH($A173,Кат!$A:$A,0))</f>
        <v>Китай БЕСТ ПАРТНЕР</v>
      </c>
    </row>
    <row r="174" spans="1:15" ht="30" x14ac:dyDescent="0.25">
      <c r="A174" s="62">
        <v>139539</v>
      </c>
      <c r="B174" s="62">
        <v>18611</v>
      </c>
      <c r="C174" s="63" t="s">
        <v>168</v>
      </c>
      <c r="D174" s="63" t="s">
        <v>1155</v>
      </c>
      <c r="E174" s="63" t="s">
        <v>601</v>
      </c>
      <c r="F174" s="63"/>
      <c r="G174" s="63" t="s">
        <v>3</v>
      </c>
      <c r="H174" s="64">
        <v>300</v>
      </c>
      <c r="I174" s="64">
        <v>689</v>
      </c>
      <c r="J174" s="63" t="s">
        <v>911</v>
      </c>
      <c r="K174" s="63" t="s">
        <v>4</v>
      </c>
      <c r="L174" s="63"/>
      <c r="M174" s="63"/>
      <c r="N174" s="8" t="str">
        <f t="shared" si="2"/>
        <v>1</v>
      </c>
      <c r="O174" s="8" t="str">
        <f>INDEX(Кат!$H:$H,MATCH($A174,Кат!$A:$A,0))</f>
        <v>Китай БЕСТ ПАРТНЕР</v>
      </c>
    </row>
    <row r="175" spans="1:15" ht="30" x14ac:dyDescent="0.25">
      <c r="A175" s="62">
        <v>139540</v>
      </c>
      <c r="B175" s="62">
        <v>18610</v>
      </c>
      <c r="C175" s="63" t="s">
        <v>167</v>
      </c>
      <c r="D175" s="63" t="s">
        <v>1155</v>
      </c>
      <c r="E175" s="63" t="s">
        <v>600</v>
      </c>
      <c r="F175" s="63"/>
      <c r="G175" s="63" t="s">
        <v>3</v>
      </c>
      <c r="H175" s="64">
        <v>500</v>
      </c>
      <c r="I175" s="64">
        <v>649</v>
      </c>
      <c r="J175" s="63" t="s">
        <v>943</v>
      </c>
      <c r="K175" s="63" t="s">
        <v>4</v>
      </c>
      <c r="L175" s="63"/>
      <c r="M175" s="63"/>
      <c r="N175" s="8" t="str">
        <f t="shared" si="2"/>
        <v>1</v>
      </c>
      <c r="O175" s="8" t="str">
        <f>INDEX(Кат!$H:$H,MATCH($A175,Кат!$A:$A,0))</f>
        <v>Китай БЕСТ ПАРТНЕР</v>
      </c>
    </row>
    <row r="176" spans="1:15" ht="30" x14ac:dyDescent="0.25">
      <c r="A176" s="62">
        <v>141915</v>
      </c>
      <c r="B176" s="62">
        <v>12125</v>
      </c>
      <c r="C176" s="63" t="s">
        <v>359</v>
      </c>
      <c r="D176" s="63" t="s">
        <v>1155</v>
      </c>
      <c r="E176" s="63"/>
      <c r="F176" s="63"/>
      <c r="G176" s="63" t="s">
        <v>3</v>
      </c>
      <c r="H176" s="64">
        <v>0</v>
      </c>
      <c r="I176" s="64">
        <v>1790</v>
      </c>
      <c r="J176" s="63"/>
      <c r="K176" s="63" t="s">
        <v>1156</v>
      </c>
      <c r="L176" s="63"/>
      <c r="M176" s="63"/>
      <c r="N176" s="8" t="str">
        <f t="shared" si="2"/>
        <v>0</v>
      </c>
      <c r="O176" s="8" t="str">
        <f>INDEX(Кат!$H:$H,MATCH($A176,Кат!$A:$A,0))</f>
        <v>Китай БЕСТ ПАРТНЕР</v>
      </c>
    </row>
    <row r="177" spans="1:15" ht="30" x14ac:dyDescent="0.25">
      <c r="A177" s="62">
        <v>143527</v>
      </c>
      <c r="B177" s="62">
        <v>36917</v>
      </c>
      <c r="C177" s="63" t="s">
        <v>293</v>
      </c>
      <c r="D177" s="63" t="s">
        <v>1157</v>
      </c>
      <c r="E177" s="63" t="s">
        <v>656</v>
      </c>
      <c r="F177" s="63"/>
      <c r="G177" s="63" t="s">
        <v>3</v>
      </c>
      <c r="H177" s="64">
        <v>100</v>
      </c>
      <c r="I177" s="64">
        <v>319</v>
      </c>
      <c r="J177" s="63"/>
      <c r="K177" s="63" t="s">
        <v>4</v>
      </c>
      <c r="L177" s="63"/>
      <c r="M177" s="63"/>
      <c r="N177" s="8" t="str">
        <f t="shared" si="2"/>
        <v>1</v>
      </c>
      <c r="O177" s="8" t="str">
        <f>INDEX(Кат!$H:$H,MATCH($A177,Кат!$A:$A,0))</f>
        <v>Китай БЕСТ ПАРТНЕР</v>
      </c>
    </row>
    <row r="178" spans="1:15" ht="45" x14ac:dyDescent="0.25">
      <c r="A178" s="62">
        <v>143741</v>
      </c>
      <c r="B178" s="62">
        <v>23844</v>
      </c>
      <c r="C178" s="63" t="s">
        <v>631</v>
      </c>
      <c r="D178" s="63" t="s">
        <v>1155</v>
      </c>
      <c r="E178" s="63"/>
      <c r="F178" s="63"/>
      <c r="G178" s="63" t="s">
        <v>3</v>
      </c>
      <c r="H178" s="64">
        <v>1800</v>
      </c>
      <c r="I178" s="64">
        <v>2690</v>
      </c>
      <c r="J178" s="63" t="s">
        <v>863</v>
      </c>
      <c r="K178" s="63" t="s">
        <v>1156</v>
      </c>
      <c r="L178" s="63"/>
      <c r="M178" s="63"/>
      <c r="N178" s="8" t="str">
        <f t="shared" si="2"/>
        <v>0</v>
      </c>
      <c r="O178" s="8" t="str">
        <f>INDEX(Кат!$H:$H,MATCH($A178,Кат!$A:$A,0))</f>
        <v>Китай БЕСТ ПАРТНЕР</v>
      </c>
    </row>
    <row r="179" spans="1:15" ht="45" x14ac:dyDescent="0.25">
      <c r="A179" s="62">
        <v>143742</v>
      </c>
      <c r="B179" s="62">
        <v>134750</v>
      </c>
      <c r="C179" s="63" t="s">
        <v>683</v>
      </c>
      <c r="D179" s="63" t="s">
        <v>1155</v>
      </c>
      <c r="E179" s="63" t="s">
        <v>1502</v>
      </c>
      <c r="F179" s="63"/>
      <c r="G179" s="63" t="s">
        <v>3</v>
      </c>
      <c r="H179" s="64">
        <v>3100</v>
      </c>
      <c r="I179" s="64">
        <v>4190</v>
      </c>
      <c r="J179" s="63" t="s">
        <v>1423</v>
      </c>
      <c r="K179" s="63" t="s">
        <v>4</v>
      </c>
      <c r="L179" s="63"/>
      <c r="M179" s="63"/>
      <c r="N179" s="8" t="str">
        <f t="shared" si="2"/>
        <v>1</v>
      </c>
      <c r="O179" s="8" t="str">
        <f>INDEX(Кат!$H:$H,MATCH($A179,Кат!$A:$A,0))</f>
        <v>Китай БЕСТ ПАРТНЕР</v>
      </c>
    </row>
    <row r="180" spans="1:15" ht="45" x14ac:dyDescent="0.25">
      <c r="A180" s="62">
        <v>143760</v>
      </c>
      <c r="B180" s="62">
        <v>21866</v>
      </c>
      <c r="C180" s="63" t="s">
        <v>179</v>
      </c>
      <c r="D180" s="63" t="s">
        <v>1157</v>
      </c>
      <c r="E180" s="63" t="s">
        <v>1066</v>
      </c>
      <c r="F180" s="63"/>
      <c r="G180" s="63" t="s">
        <v>3</v>
      </c>
      <c r="H180" s="64">
        <v>2400</v>
      </c>
      <c r="I180" s="64">
        <v>3390</v>
      </c>
      <c r="J180" s="63" t="s">
        <v>740</v>
      </c>
      <c r="K180" s="63" t="s">
        <v>4</v>
      </c>
      <c r="L180" s="63"/>
      <c r="M180" s="63"/>
      <c r="N180" s="8" t="str">
        <f t="shared" si="2"/>
        <v>1</v>
      </c>
      <c r="O180" s="8" t="str">
        <f>INDEX(Кат!$H:$H,MATCH($A180,Кат!$A:$A,0))</f>
        <v>Китай БЕСТ ПАРТНЕР</v>
      </c>
    </row>
    <row r="181" spans="1:15" ht="45" x14ac:dyDescent="0.25">
      <c r="A181" s="62">
        <v>143761</v>
      </c>
      <c r="B181" s="62">
        <v>16834</v>
      </c>
      <c r="C181" s="63" t="s">
        <v>157</v>
      </c>
      <c r="D181" s="63" t="s">
        <v>1155</v>
      </c>
      <c r="E181" s="63" t="s">
        <v>1055</v>
      </c>
      <c r="F181" s="63"/>
      <c r="G181" s="63" t="s">
        <v>3</v>
      </c>
      <c r="H181" s="64">
        <v>2200</v>
      </c>
      <c r="I181" s="64">
        <v>2890</v>
      </c>
      <c r="J181" s="63" t="s">
        <v>871</v>
      </c>
      <c r="K181" s="63" t="s">
        <v>4</v>
      </c>
      <c r="L181" s="63"/>
      <c r="M181" s="63"/>
      <c r="N181" s="8" t="str">
        <f t="shared" si="2"/>
        <v>1</v>
      </c>
      <c r="O181" s="8" t="str">
        <f>INDEX(Кат!$H:$H,MATCH($A181,Кат!$A:$A,0))</f>
        <v>Китай БЕСТ ПАРТНЕР</v>
      </c>
    </row>
    <row r="182" spans="1:15" ht="45" x14ac:dyDescent="0.25">
      <c r="A182" s="62">
        <v>143762</v>
      </c>
      <c r="B182" s="62">
        <v>48122</v>
      </c>
      <c r="C182" s="63" t="s">
        <v>677</v>
      </c>
      <c r="D182" s="63" t="s">
        <v>1155</v>
      </c>
      <c r="E182" s="63" t="s">
        <v>678</v>
      </c>
      <c r="F182" s="63"/>
      <c r="G182" s="63" t="s">
        <v>3</v>
      </c>
      <c r="H182" s="64">
        <v>2400</v>
      </c>
      <c r="I182" s="64">
        <v>3390</v>
      </c>
      <c r="J182" s="63" t="s">
        <v>1473</v>
      </c>
      <c r="K182" s="63" t="s">
        <v>4</v>
      </c>
      <c r="L182" s="63"/>
      <c r="M182" s="63"/>
      <c r="N182" s="8" t="str">
        <f t="shared" si="2"/>
        <v>1</v>
      </c>
      <c r="O182" s="8" t="str">
        <f>INDEX(Кат!$H:$H,MATCH($A182,Кат!$A:$A,0))</f>
        <v>Китай БЕСТ ПАРТНЕР</v>
      </c>
    </row>
    <row r="183" spans="1:15" ht="45" x14ac:dyDescent="0.25">
      <c r="A183" s="62">
        <v>143764</v>
      </c>
      <c r="B183" s="62">
        <v>25048</v>
      </c>
      <c r="C183" s="63" t="s">
        <v>262</v>
      </c>
      <c r="D183" s="63" t="s">
        <v>1155</v>
      </c>
      <c r="E183" s="63" t="s">
        <v>647</v>
      </c>
      <c r="F183" s="63"/>
      <c r="G183" s="63" t="s">
        <v>3</v>
      </c>
      <c r="H183" s="64">
        <v>1700</v>
      </c>
      <c r="I183" s="64">
        <v>2490</v>
      </c>
      <c r="J183" s="63" t="s">
        <v>1420</v>
      </c>
      <c r="K183" s="63" t="s">
        <v>4</v>
      </c>
      <c r="L183" s="63" t="s">
        <v>4</v>
      </c>
      <c r="M183" s="63"/>
      <c r="N183" s="8" t="str">
        <f t="shared" si="2"/>
        <v>1ск1</v>
      </c>
      <c r="O183" s="8" t="str">
        <f>INDEX(Кат!$H:$H,MATCH($A183,Кат!$A:$A,0))</f>
        <v>Китай БЕСТ ПАРТНЕР</v>
      </c>
    </row>
    <row r="184" spans="1:15" ht="45" x14ac:dyDescent="0.25">
      <c r="A184" s="62">
        <v>143806</v>
      </c>
      <c r="B184" s="62">
        <v>25045</v>
      </c>
      <c r="C184" s="63" t="s">
        <v>645</v>
      </c>
      <c r="D184" s="63" t="s">
        <v>1155</v>
      </c>
      <c r="E184" s="63" t="s">
        <v>646</v>
      </c>
      <c r="F184" s="63"/>
      <c r="G184" s="63" t="s">
        <v>3</v>
      </c>
      <c r="H184" s="64">
        <v>1700</v>
      </c>
      <c r="I184" s="64">
        <v>2390</v>
      </c>
      <c r="J184" s="63" t="s">
        <v>1430</v>
      </c>
      <c r="K184" s="63" t="s">
        <v>4</v>
      </c>
      <c r="L184" s="63"/>
      <c r="M184" s="63"/>
      <c r="N184" s="8" t="str">
        <f t="shared" si="2"/>
        <v>1</v>
      </c>
      <c r="O184" s="8" t="str">
        <f>INDEX(Кат!$H:$H,MATCH($A184,Кат!$A:$A,0))</f>
        <v>Китай БЕСТ ПАРТНЕР</v>
      </c>
    </row>
    <row r="185" spans="1:15" ht="30" x14ac:dyDescent="0.25">
      <c r="A185" s="62">
        <v>143807</v>
      </c>
      <c r="B185" s="62">
        <v>27092</v>
      </c>
      <c r="C185" s="63" t="s">
        <v>824</v>
      </c>
      <c r="D185" s="63" t="s">
        <v>1155</v>
      </c>
      <c r="E185" s="63" t="s">
        <v>651</v>
      </c>
      <c r="F185" s="63"/>
      <c r="G185" s="63" t="s">
        <v>3</v>
      </c>
      <c r="H185" s="64">
        <v>1200</v>
      </c>
      <c r="I185" s="64">
        <v>1590</v>
      </c>
      <c r="J185" s="63"/>
      <c r="K185" s="63" t="s">
        <v>4</v>
      </c>
      <c r="L185" s="63"/>
      <c r="M185" s="63"/>
      <c r="N185" s="8" t="str">
        <f t="shared" si="2"/>
        <v>1</v>
      </c>
      <c r="O185" s="8" t="str">
        <f>INDEX(Кат!$H:$H,MATCH($A185,Кат!$A:$A,0))</f>
        <v>Китай БЕСТ ПАРТНЕР</v>
      </c>
    </row>
    <row r="186" spans="1:15" ht="60" x14ac:dyDescent="0.25">
      <c r="A186" s="62">
        <v>143809</v>
      </c>
      <c r="B186" s="62">
        <v>26561</v>
      </c>
      <c r="C186" s="63" t="s">
        <v>265</v>
      </c>
      <c r="D186" s="63" t="s">
        <v>1155</v>
      </c>
      <c r="E186" s="63" t="s">
        <v>643</v>
      </c>
      <c r="F186" s="63"/>
      <c r="G186" s="63" t="s">
        <v>3</v>
      </c>
      <c r="H186" s="64">
        <v>1600</v>
      </c>
      <c r="I186" s="64">
        <v>2690</v>
      </c>
      <c r="J186" s="63" t="s">
        <v>866</v>
      </c>
      <c r="K186" s="63" t="s">
        <v>4</v>
      </c>
      <c r="L186" s="63"/>
      <c r="M186" s="63"/>
      <c r="N186" s="8" t="str">
        <f t="shared" si="2"/>
        <v>1</v>
      </c>
      <c r="O186" s="8" t="str">
        <f>INDEX(Кат!$H:$H,MATCH($A186,Кат!$A:$A,0))</f>
        <v>Китай БЕСТ ПАРТНЕР</v>
      </c>
    </row>
    <row r="187" spans="1:15" ht="30" x14ac:dyDescent="0.25">
      <c r="A187" s="62">
        <v>143810</v>
      </c>
      <c r="B187" s="62">
        <v>134779</v>
      </c>
      <c r="C187" s="63" t="s">
        <v>1162</v>
      </c>
      <c r="D187" s="63" t="s">
        <v>1157</v>
      </c>
      <c r="E187" s="63" t="s">
        <v>1163</v>
      </c>
      <c r="F187" s="63"/>
      <c r="G187" s="63" t="s">
        <v>3</v>
      </c>
      <c r="H187" s="64">
        <v>3000</v>
      </c>
      <c r="I187" s="64">
        <v>3890</v>
      </c>
      <c r="J187" s="63"/>
      <c r="K187" s="63" t="s">
        <v>4</v>
      </c>
      <c r="L187" s="63"/>
      <c r="M187" s="63"/>
      <c r="N187" s="8" t="str">
        <f t="shared" si="2"/>
        <v>1</v>
      </c>
      <c r="O187" s="8" t="str">
        <f>INDEX(Кат!$H:$H,MATCH($A187,Кат!$A:$A,0))</f>
        <v>Китай БЕСТ ПАРТНЕР</v>
      </c>
    </row>
    <row r="188" spans="1:15" ht="30" x14ac:dyDescent="0.25">
      <c r="A188" s="62">
        <v>143818</v>
      </c>
      <c r="B188" s="62">
        <v>8048</v>
      </c>
      <c r="C188" s="63" t="s">
        <v>55</v>
      </c>
      <c r="D188" s="63" t="s">
        <v>1155</v>
      </c>
      <c r="E188" s="63" t="s">
        <v>1008</v>
      </c>
      <c r="F188" s="63"/>
      <c r="G188" s="63" t="s">
        <v>3</v>
      </c>
      <c r="H188" s="64">
        <v>0</v>
      </c>
      <c r="I188" s="64">
        <v>1490</v>
      </c>
      <c r="J188" s="63"/>
      <c r="K188" s="63" t="s">
        <v>1156</v>
      </c>
      <c r="L188" s="63"/>
      <c r="M188" s="63"/>
      <c r="N188" s="8" t="str">
        <f t="shared" si="2"/>
        <v>0</v>
      </c>
      <c r="O188" s="8" t="str">
        <f>INDEX(Кат!$H:$H,MATCH($A188,Кат!$A:$A,0))</f>
        <v>Китай БЕСТ ПАРТНЕР</v>
      </c>
    </row>
    <row r="189" spans="1:15" ht="45" x14ac:dyDescent="0.25">
      <c r="A189" s="62">
        <v>145474</v>
      </c>
      <c r="B189" s="62">
        <v>17113</v>
      </c>
      <c r="C189" s="63" t="s">
        <v>343</v>
      </c>
      <c r="D189" s="63" t="s">
        <v>1155</v>
      </c>
      <c r="E189" s="63"/>
      <c r="F189" s="63"/>
      <c r="G189" s="63" t="s">
        <v>3</v>
      </c>
      <c r="H189" s="64">
        <v>2600</v>
      </c>
      <c r="I189" s="64">
        <v>3590</v>
      </c>
      <c r="J189" s="63" t="s">
        <v>877</v>
      </c>
      <c r="K189" s="63" t="s">
        <v>4</v>
      </c>
      <c r="L189" s="63" t="s">
        <v>4</v>
      </c>
      <c r="M189" s="63"/>
      <c r="N189" s="8" t="str">
        <f t="shared" si="2"/>
        <v>1ск1</v>
      </c>
      <c r="O189" s="8" t="str">
        <f>INDEX(Кат!$H:$H,MATCH($A189,Кат!$A:$A,0))</f>
        <v>Китай БЕСТ ПАРТНЕР</v>
      </c>
    </row>
    <row r="190" spans="1:15" ht="45" x14ac:dyDescent="0.25">
      <c r="A190" s="62">
        <v>145475</v>
      </c>
      <c r="B190" s="62">
        <v>23762</v>
      </c>
      <c r="C190" s="63" t="s">
        <v>184</v>
      </c>
      <c r="D190" s="63" t="s">
        <v>1155</v>
      </c>
      <c r="E190" s="63"/>
      <c r="F190" s="63"/>
      <c r="G190" s="63" t="s">
        <v>3</v>
      </c>
      <c r="H190" s="64">
        <v>3300</v>
      </c>
      <c r="I190" s="64">
        <v>4490</v>
      </c>
      <c r="J190" s="63" t="s">
        <v>796</v>
      </c>
      <c r="K190" s="63" t="s">
        <v>4</v>
      </c>
      <c r="L190" s="63"/>
      <c r="M190" s="63"/>
      <c r="N190" s="8" t="str">
        <f t="shared" si="2"/>
        <v>1</v>
      </c>
      <c r="O190" s="8" t="str">
        <f>INDEX(Кат!$H:$H,MATCH($A190,Кат!$A:$A,0))</f>
        <v>Китай БЕСТ ПАРТНЕР</v>
      </c>
    </row>
    <row r="191" spans="1:15" ht="45" x14ac:dyDescent="0.25">
      <c r="A191" s="62">
        <v>145476</v>
      </c>
      <c r="B191" s="62">
        <v>23764</v>
      </c>
      <c r="C191" s="63" t="s">
        <v>186</v>
      </c>
      <c r="D191" s="63" t="s">
        <v>1155</v>
      </c>
      <c r="E191" s="63" t="s">
        <v>629</v>
      </c>
      <c r="F191" s="63" t="s">
        <v>629</v>
      </c>
      <c r="G191" s="63" t="s">
        <v>3</v>
      </c>
      <c r="H191" s="64">
        <v>2600</v>
      </c>
      <c r="I191" s="64">
        <v>4990</v>
      </c>
      <c r="J191" s="63" t="s">
        <v>742</v>
      </c>
      <c r="K191" s="63" t="s">
        <v>4</v>
      </c>
      <c r="L191" s="63"/>
      <c r="M191" s="63"/>
      <c r="N191" s="8" t="str">
        <f t="shared" si="2"/>
        <v>1</v>
      </c>
      <c r="O191" s="8" t="str">
        <f>INDEX(Кат!$H:$H,MATCH($A191,Кат!$A:$A,0))</f>
        <v>Китай БЕСТ ПАРТНЕР</v>
      </c>
    </row>
    <row r="192" spans="1:15" ht="45" x14ac:dyDescent="0.25">
      <c r="A192" s="62">
        <v>145477</v>
      </c>
      <c r="B192" s="62">
        <v>23761</v>
      </c>
      <c r="C192" s="63" t="s">
        <v>183</v>
      </c>
      <c r="D192" s="63" t="s">
        <v>1155</v>
      </c>
      <c r="E192" s="63"/>
      <c r="F192" s="63"/>
      <c r="G192" s="63" t="s">
        <v>3</v>
      </c>
      <c r="H192" s="64">
        <v>3300</v>
      </c>
      <c r="I192" s="64">
        <v>4290</v>
      </c>
      <c r="J192" s="63" t="s">
        <v>795</v>
      </c>
      <c r="K192" s="63" t="s">
        <v>4</v>
      </c>
      <c r="L192" s="63"/>
      <c r="M192" s="63"/>
      <c r="N192" s="8" t="str">
        <f t="shared" si="2"/>
        <v>1</v>
      </c>
      <c r="O192" s="8" t="str">
        <f>INDEX(Кат!$H:$H,MATCH($A192,Кат!$A:$A,0))</f>
        <v>Китай БЕСТ ПАРТНЕР</v>
      </c>
    </row>
    <row r="193" spans="1:15" ht="30" x14ac:dyDescent="0.25">
      <c r="A193" s="62">
        <v>145481</v>
      </c>
      <c r="B193" s="62">
        <v>14161</v>
      </c>
      <c r="C193" s="63" t="s">
        <v>348</v>
      </c>
      <c r="D193" s="63" t="s">
        <v>1155</v>
      </c>
      <c r="E193" s="63"/>
      <c r="F193" s="63"/>
      <c r="G193" s="63" t="s">
        <v>3</v>
      </c>
      <c r="H193" s="64">
        <v>0</v>
      </c>
      <c r="I193" s="64">
        <v>0</v>
      </c>
      <c r="J193" s="63"/>
      <c r="K193" s="63" t="s">
        <v>1156</v>
      </c>
      <c r="L193" s="63"/>
      <c r="M193" s="63"/>
      <c r="N193" s="8" t="str">
        <f t="shared" si="2"/>
        <v>0</v>
      </c>
      <c r="O193" s="8" t="str">
        <f>INDEX(Кат!$H:$H,MATCH($A193,Кат!$A:$A,0))</f>
        <v>Китай БЕСТ ПАРТНЕР</v>
      </c>
    </row>
    <row r="194" spans="1:15" ht="30" x14ac:dyDescent="0.25">
      <c r="A194" s="62">
        <v>145482</v>
      </c>
      <c r="B194" s="62">
        <v>14162</v>
      </c>
      <c r="C194" s="63" t="s">
        <v>347</v>
      </c>
      <c r="D194" s="63" t="s">
        <v>1155</v>
      </c>
      <c r="E194" s="63"/>
      <c r="F194" s="63"/>
      <c r="G194" s="63" t="s">
        <v>3</v>
      </c>
      <c r="H194" s="64">
        <v>0</v>
      </c>
      <c r="I194" s="64">
        <v>0</v>
      </c>
      <c r="J194" s="63"/>
      <c r="K194" s="63" t="s">
        <v>1156</v>
      </c>
      <c r="L194" s="63"/>
      <c r="M194" s="63"/>
      <c r="N194" s="8" t="str">
        <f t="shared" si="2"/>
        <v>0</v>
      </c>
      <c r="O194" s="8" t="str">
        <f>INDEX(Кат!$H:$H,MATCH($A194,Кат!$A:$A,0))</f>
        <v>Китай БЕСТ ПАРТНЕР</v>
      </c>
    </row>
    <row r="195" spans="1:15" ht="45" x14ac:dyDescent="0.25">
      <c r="A195" s="62">
        <v>145483</v>
      </c>
      <c r="B195" s="62">
        <v>23763</v>
      </c>
      <c r="C195" s="63" t="s">
        <v>185</v>
      </c>
      <c r="D195" s="63" t="s">
        <v>1155</v>
      </c>
      <c r="E195" s="63"/>
      <c r="F195" s="63"/>
      <c r="G195" s="63" t="s">
        <v>3</v>
      </c>
      <c r="H195" s="64">
        <v>3300</v>
      </c>
      <c r="I195" s="64">
        <v>4490</v>
      </c>
      <c r="J195" s="63" t="s">
        <v>887</v>
      </c>
      <c r="K195" s="63" t="s">
        <v>4</v>
      </c>
      <c r="L195" s="63"/>
      <c r="M195" s="63"/>
      <c r="N195" s="8" t="str">
        <f t="shared" ref="N195:N258" si="3">_xlfn.CONCAT(K195,IF(L195&lt;&gt;"",_xlfn.CONCAT("ск",L195),""))</f>
        <v>1</v>
      </c>
      <c r="O195" s="8" t="str">
        <f>INDEX(Кат!$H:$H,MATCH($A195,Кат!$A:$A,0))</f>
        <v>Китай БЕСТ ПАРТНЕР</v>
      </c>
    </row>
    <row r="196" spans="1:15" ht="45" x14ac:dyDescent="0.25">
      <c r="A196" s="62">
        <v>145484</v>
      </c>
      <c r="B196" s="62">
        <v>38449</v>
      </c>
      <c r="C196" s="63" t="s">
        <v>674</v>
      </c>
      <c r="D196" s="63" t="s">
        <v>1155</v>
      </c>
      <c r="E196" s="63"/>
      <c r="F196" s="63"/>
      <c r="G196" s="63" t="s">
        <v>3</v>
      </c>
      <c r="H196" s="64">
        <v>5500</v>
      </c>
      <c r="I196" s="64">
        <v>7690</v>
      </c>
      <c r="J196" s="63" t="s">
        <v>891</v>
      </c>
      <c r="K196" s="63" t="s">
        <v>4</v>
      </c>
      <c r="L196" s="63"/>
      <c r="M196" s="63"/>
      <c r="N196" s="8" t="str">
        <f t="shared" si="3"/>
        <v>1</v>
      </c>
      <c r="O196" s="8" t="str">
        <f>INDEX(Кат!$H:$H,MATCH($A196,Кат!$A:$A,0))</f>
        <v>Китай БЕСТ ПАРТНЕР</v>
      </c>
    </row>
    <row r="197" spans="1:15" ht="45" x14ac:dyDescent="0.25">
      <c r="A197" s="62">
        <v>145485</v>
      </c>
      <c r="B197" s="62">
        <v>115797</v>
      </c>
      <c r="C197" s="63" t="s">
        <v>681</v>
      </c>
      <c r="D197" s="63" t="s">
        <v>1155</v>
      </c>
      <c r="E197" s="63" t="s">
        <v>1503</v>
      </c>
      <c r="F197" s="63"/>
      <c r="G197" s="63" t="s">
        <v>3</v>
      </c>
      <c r="H197" s="64">
        <v>5500</v>
      </c>
      <c r="I197" s="64">
        <v>7690</v>
      </c>
      <c r="J197" s="63" t="s">
        <v>1427</v>
      </c>
      <c r="K197" s="63" t="s">
        <v>4</v>
      </c>
      <c r="L197" s="63"/>
      <c r="M197" s="63"/>
      <c r="N197" s="8" t="str">
        <f t="shared" si="3"/>
        <v>1</v>
      </c>
      <c r="O197" s="8" t="str">
        <f>INDEX(Кат!$H:$H,MATCH($A197,Кат!$A:$A,0))</f>
        <v>Китай БЕСТ ПАРТНЕР</v>
      </c>
    </row>
    <row r="198" spans="1:15" ht="30" x14ac:dyDescent="0.25">
      <c r="A198" s="62">
        <v>145487</v>
      </c>
      <c r="B198" s="62">
        <v>23298</v>
      </c>
      <c r="C198" s="63" t="s">
        <v>181</v>
      </c>
      <c r="D198" s="63" t="s">
        <v>1155</v>
      </c>
      <c r="E198" s="63" t="s">
        <v>627</v>
      </c>
      <c r="F198" s="63"/>
      <c r="G198" s="63" t="s">
        <v>3</v>
      </c>
      <c r="H198" s="64">
        <v>3000</v>
      </c>
      <c r="I198" s="64">
        <v>3890</v>
      </c>
      <c r="J198" s="63" t="s">
        <v>879</v>
      </c>
      <c r="K198" s="63" t="s">
        <v>4</v>
      </c>
      <c r="L198" s="63"/>
      <c r="M198" s="63"/>
      <c r="N198" s="8" t="str">
        <f t="shared" si="3"/>
        <v>1</v>
      </c>
      <c r="O198" s="8" t="str">
        <f>INDEX(Кат!$H:$H,MATCH($A198,Кат!$A:$A,0))</f>
        <v>Китай БЕСТ ПАРТНЕР</v>
      </c>
    </row>
    <row r="199" spans="1:15" ht="45" x14ac:dyDescent="0.25">
      <c r="A199" s="62">
        <v>145488</v>
      </c>
      <c r="B199" s="62">
        <v>61559</v>
      </c>
      <c r="C199" s="63" t="s">
        <v>680</v>
      </c>
      <c r="D199" s="63" t="s">
        <v>1155</v>
      </c>
      <c r="E199" s="63"/>
      <c r="F199" s="63"/>
      <c r="G199" s="63" t="s">
        <v>3</v>
      </c>
      <c r="H199" s="64">
        <v>4500</v>
      </c>
      <c r="I199" s="64">
        <v>6290</v>
      </c>
      <c r="J199" s="63" t="s">
        <v>754</v>
      </c>
      <c r="K199" s="63" t="s">
        <v>4</v>
      </c>
      <c r="L199" s="63" t="s">
        <v>4</v>
      </c>
      <c r="M199" s="63"/>
      <c r="N199" s="8" t="str">
        <f t="shared" si="3"/>
        <v>1ск1</v>
      </c>
      <c r="O199" s="8" t="str">
        <f>INDEX(Кат!$H:$H,MATCH($A199,Кат!$A:$A,0))</f>
        <v>Китай БЕСТ ПАРТНЕР</v>
      </c>
    </row>
    <row r="200" spans="1:15" ht="45" x14ac:dyDescent="0.25">
      <c r="A200" s="62">
        <v>145490</v>
      </c>
      <c r="B200" s="62">
        <v>35597</v>
      </c>
      <c r="C200" s="63" t="s">
        <v>275</v>
      </c>
      <c r="D200" s="63" t="s">
        <v>1155</v>
      </c>
      <c r="E200" s="63" t="s">
        <v>653</v>
      </c>
      <c r="F200" s="63"/>
      <c r="G200" s="63" t="s">
        <v>3</v>
      </c>
      <c r="H200" s="64">
        <v>3200</v>
      </c>
      <c r="I200" s="64">
        <v>4190</v>
      </c>
      <c r="J200" s="63" t="s">
        <v>760</v>
      </c>
      <c r="K200" s="63" t="s">
        <v>4</v>
      </c>
      <c r="L200" s="63"/>
      <c r="M200" s="63"/>
      <c r="N200" s="8" t="str">
        <f t="shared" si="3"/>
        <v>1</v>
      </c>
      <c r="O200" s="8" t="str">
        <f>INDEX(Кат!$H:$H,MATCH($A200,Кат!$A:$A,0))</f>
        <v>Китай БЕСТ ПАРТНЕР</v>
      </c>
    </row>
    <row r="201" spans="1:15" ht="45" x14ac:dyDescent="0.25">
      <c r="A201" s="62">
        <v>145491</v>
      </c>
      <c r="B201" s="62">
        <v>17114</v>
      </c>
      <c r="C201" s="63" t="s">
        <v>342</v>
      </c>
      <c r="D201" s="63" t="s">
        <v>1155</v>
      </c>
      <c r="E201" s="63" t="s">
        <v>592</v>
      </c>
      <c r="F201" s="63"/>
      <c r="G201" s="63" t="s">
        <v>3</v>
      </c>
      <c r="H201" s="64">
        <v>2600</v>
      </c>
      <c r="I201" s="64">
        <v>3590</v>
      </c>
      <c r="J201" s="63" t="s">
        <v>878</v>
      </c>
      <c r="K201" s="63" t="s">
        <v>4</v>
      </c>
      <c r="L201" s="63"/>
      <c r="M201" s="63"/>
      <c r="N201" s="8" t="str">
        <f t="shared" si="3"/>
        <v>1</v>
      </c>
      <c r="O201" s="8" t="str">
        <f>INDEX(Кат!$H:$H,MATCH($A201,Кат!$A:$A,0))</f>
        <v>Китай БЕСТ ПАРТНЕР</v>
      </c>
    </row>
    <row r="202" spans="1:15" ht="45" x14ac:dyDescent="0.25">
      <c r="A202" s="62">
        <v>145492</v>
      </c>
      <c r="B202" s="62">
        <v>21755</v>
      </c>
      <c r="C202" s="63" t="s">
        <v>178</v>
      </c>
      <c r="D202" s="63" t="s">
        <v>1155</v>
      </c>
      <c r="E202" s="63" t="s">
        <v>626</v>
      </c>
      <c r="F202" s="63"/>
      <c r="G202" s="63" t="s">
        <v>3</v>
      </c>
      <c r="H202" s="64">
        <v>2800</v>
      </c>
      <c r="I202" s="64">
        <v>3790</v>
      </c>
      <c r="J202" s="63" t="s">
        <v>783</v>
      </c>
      <c r="K202" s="63" t="s">
        <v>4</v>
      </c>
      <c r="L202" s="63"/>
      <c r="M202" s="63"/>
      <c r="N202" s="8" t="str">
        <f t="shared" si="3"/>
        <v>1</v>
      </c>
      <c r="O202" s="8" t="str">
        <f>INDEX(Кат!$H:$H,MATCH($A202,Кат!$A:$A,0))</f>
        <v>Китай БЕСТ ПАРТНЕР</v>
      </c>
    </row>
    <row r="203" spans="1:15" ht="45" x14ac:dyDescent="0.25">
      <c r="A203" s="62">
        <v>145493</v>
      </c>
      <c r="B203" s="62">
        <v>35596</v>
      </c>
      <c r="C203" s="63" t="s">
        <v>274</v>
      </c>
      <c r="D203" s="63" t="s">
        <v>1155</v>
      </c>
      <c r="E203" s="63"/>
      <c r="F203" s="63"/>
      <c r="G203" s="63" t="s">
        <v>3</v>
      </c>
      <c r="H203" s="64">
        <v>2600</v>
      </c>
      <c r="I203" s="64">
        <v>3690</v>
      </c>
      <c r="J203" s="63" t="s">
        <v>745</v>
      </c>
      <c r="K203" s="63" t="s">
        <v>4</v>
      </c>
      <c r="L203" s="63"/>
      <c r="M203" s="63"/>
      <c r="N203" s="8" t="str">
        <f t="shared" si="3"/>
        <v>1</v>
      </c>
      <c r="O203" s="8" t="str">
        <f>INDEX(Кат!$H:$H,MATCH($A203,Кат!$A:$A,0))</f>
        <v>Китай БЕСТ ПАРТНЕР</v>
      </c>
    </row>
    <row r="204" spans="1:15" ht="30" x14ac:dyDescent="0.25">
      <c r="A204" s="62">
        <v>145522</v>
      </c>
      <c r="B204" s="62">
        <v>4872</v>
      </c>
      <c r="C204" s="63" t="s">
        <v>430</v>
      </c>
      <c r="D204" s="63" t="s">
        <v>1155</v>
      </c>
      <c r="E204" s="63"/>
      <c r="F204" s="63"/>
      <c r="G204" s="63" t="s">
        <v>3</v>
      </c>
      <c r="H204" s="64">
        <v>0</v>
      </c>
      <c r="I204" s="64">
        <v>5790</v>
      </c>
      <c r="J204" s="63"/>
      <c r="K204" s="63" t="s">
        <v>1156</v>
      </c>
      <c r="L204" s="63"/>
      <c r="M204" s="63"/>
      <c r="N204" s="8" t="str">
        <f t="shared" si="3"/>
        <v>0</v>
      </c>
      <c r="O204" s="8" t="str">
        <f>INDEX(Кат!$H:$H,MATCH($A204,Кат!$A:$A,0))</f>
        <v>Китай БЕСТ ПАРТНЕР</v>
      </c>
    </row>
    <row r="205" spans="1:15" ht="30" x14ac:dyDescent="0.25">
      <c r="A205" s="62">
        <v>145526</v>
      </c>
      <c r="B205" s="62">
        <v>4882</v>
      </c>
      <c r="C205" s="63" t="s">
        <v>429</v>
      </c>
      <c r="D205" s="63" t="s">
        <v>1155</v>
      </c>
      <c r="E205" s="63"/>
      <c r="F205" s="63"/>
      <c r="G205" s="63" t="s">
        <v>3</v>
      </c>
      <c r="H205" s="64">
        <v>1800</v>
      </c>
      <c r="I205" s="64">
        <v>2390</v>
      </c>
      <c r="J205" s="63"/>
      <c r="K205" s="63" t="s">
        <v>1156</v>
      </c>
      <c r="L205" s="63"/>
      <c r="M205" s="63"/>
      <c r="N205" s="8" t="str">
        <f t="shared" si="3"/>
        <v>0</v>
      </c>
      <c r="O205" s="8" t="str">
        <f>INDEX(Кат!$H:$H,MATCH($A205,Кат!$A:$A,0))</f>
        <v>Китай БЕСТ ПАРТНЕР</v>
      </c>
    </row>
    <row r="206" spans="1:15" ht="45" x14ac:dyDescent="0.25">
      <c r="A206" s="62">
        <v>145527</v>
      </c>
      <c r="B206" s="62">
        <v>4960</v>
      </c>
      <c r="C206" s="63" t="s">
        <v>41</v>
      </c>
      <c r="D206" s="63" t="s">
        <v>1155</v>
      </c>
      <c r="E206" s="63" t="s">
        <v>489</v>
      </c>
      <c r="F206" s="63"/>
      <c r="G206" s="63" t="s">
        <v>3</v>
      </c>
      <c r="H206" s="64">
        <v>1500</v>
      </c>
      <c r="I206" s="64">
        <v>2090</v>
      </c>
      <c r="J206" s="63" t="s">
        <v>849</v>
      </c>
      <c r="K206" s="63" t="s">
        <v>4</v>
      </c>
      <c r="L206" s="63"/>
      <c r="M206" s="63"/>
      <c r="N206" s="8" t="str">
        <f t="shared" si="3"/>
        <v>1</v>
      </c>
      <c r="O206" s="8" t="str">
        <f>INDEX(Кат!$H:$H,MATCH($A206,Кат!$A:$A,0))</f>
        <v>Китай БЕСТ ПАРТНЕР</v>
      </c>
    </row>
    <row r="207" spans="1:15" ht="30" x14ac:dyDescent="0.25">
      <c r="A207" s="62">
        <v>145528</v>
      </c>
      <c r="B207" s="62">
        <v>4962</v>
      </c>
      <c r="C207" s="63" t="s">
        <v>42</v>
      </c>
      <c r="D207" s="63" t="s">
        <v>1155</v>
      </c>
      <c r="E207" s="63" t="s">
        <v>489</v>
      </c>
      <c r="F207" s="63"/>
      <c r="G207" s="63" t="s">
        <v>3</v>
      </c>
      <c r="H207" s="64">
        <v>0</v>
      </c>
      <c r="I207" s="64">
        <v>2290</v>
      </c>
      <c r="J207" s="63"/>
      <c r="K207" s="63" t="s">
        <v>1156</v>
      </c>
      <c r="L207" s="63"/>
      <c r="M207" s="63"/>
      <c r="N207" s="8" t="str">
        <f t="shared" si="3"/>
        <v>0</v>
      </c>
      <c r="O207" s="8" t="str">
        <f>INDEX(Кат!$H:$H,MATCH($A207,Кат!$A:$A,0))</f>
        <v>Китай БЕСТ ПАРТНЕР</v>
      </c>
    </row>
    <row r="208" spans="1:15" ht="30" x14ac:dyDescent="0.25">
      <c r="A208" s="62">
        <v>145529</v>
      </c>
      <c r="B208" s="62">
        <v>4943</v>
      </c>
      <c r="C208" s="63" t="s">
        <v>35</v>
      </c>
      <c r="D208" s="63" t="s">
        <v>1155</v>
      </c>
      <c r="E208" s="63" t="s">
        <v>488</v>
      </c>
      <c r="F208" s="63"/>
      <c r="G208" s="63" t="s">
        <v>3</v>
      </c>
      <c r="H208" s="64">
        <v>3300</v>
      </c>
      <c r="I208" s="64">
        <v>4290</v>
      </c>
      <c r="J208" s="63"/>
      <c r="K208" s="63" t="s">
        <v>4</v>
      </c>
      <c r="L208" s="63"/>
      <c r="M208" s="63"/>
      <c r="N208" s="8" t="str">
        <f t="shared" si="3"/>
        <v>1</v>
      </c>
      <c r="O208" s="8" t="str">
        <f>INDEX(Кат!$H:$H,MATCH($A208,Кат!$A:$A,0))</f>
        <v>Китай БЕСТ ПАРТНЕР</v>
      </c>
    </row>
    <row r="209" spans="1:15" ht="30" x14ac:dyDescent="0.25">
      <c r="A209" s="62">
        <v>145530</v>
      </c>
      <c r="B209" s="62">
        <v>11432</v>
      </c>
      <c r="C209" s="63" t="s">
        <v>375</v>
      </c>
      <c r="D209" s="63" t="s">
        <v>1155</v>
      </c>
      <c r="E209" s="63"/>
      <c r="F209" s="63"/>
      <c r="G209" s="63" t="s">
        <v>3</v>
      </c>
      <c r="H209" s="64">
        <v>0</v>
      </c>
      <c r="I209" s="64">
        <v>3790</v>
      </c>
      <c r="J209" s="63"/>
      <c r="K209" s="63" t="s">
        <v>1156</v>
      </c>
      <c r="L209" s="63"/>
      <c r="M209" s="63"/>
      <c r="N209" s="8" t="str">
        <f t="shared" si="3"/>
        <v>0</v>
      </c>
      <c r="O209" s="8" t="str">
        <f>INDEX(Кат!$H:$H,MATCH($A209,Кат!$A:$A,0))</f>
        <v>Китай БЕСТ ПАРТНЕР</v>
      </c>
    </row>
    <row r="210" spans="1:15" ht="30" x14ac:dyDescent="0.25">
      <c r="A210" s="62">
        <v>145531</v>
      </c>
      <c r="B210" s="62">
        <v>4948</v>
      </c>
      <c r="C210" s="63" t="s">
        <v>36</v>
      </c>
      <c r="D210" s="63" t="s">
        <v>1155</v>
      </c>
      <c r="E210" s="63" t="s">
        <v>484</v>
      </c>
      <c r="F210" s="63"/>
      <c r="G210" s="63" t="s">
        <v>3</v>
      </c>
      <c r="H210" s="64">
        <v>0</v>
      </c>
      <c r="I210" s="64">
        <v>5690</v>
      </c>
      <c r="J210" s="63"/>
      <c r="K210" s="63" t="s">
        <v>1156</v>
      </c>
      <c r="L210" s="63"/>
      <c r="M210" s="63"/>
      <c r="N210" s="8" t="str">
        <f t="shared" si="3"/>
        <v>0</v>
      </c>
      <c r="O210" s="8" t="str">
        <f>INDEX(Кат!$H:$H,MATCH($A210,Кат!$A:$A,0))</f>
        <v>Китай БЕСТ ПАРТНЕР</v>
      </c>
    </row>
    <row r="211" spans="1:15" ht="30" x14ac:dyDescent="0.25">
      <c r="A211" s="62">
        <v>145532</v>
      </c>
      <c r="B211" s="62">
        <v>4955</v>
      </c>
      <c r="C211" s="63" t="s">
        <v>39</v>
      </c>
      <c r="D211" s="63" t="s">
        <v>1155</v>
      </c>
      <c r="E211" s="63" t="s">
        <v>487</v>
      </c>
      <c r="F211" s="63"/>
      <c r="G211" s="63" t="s">
        <v>3</v>
      </c>
      <c r="H211" s="64">
        <v>2800</v>
      </c>
      <c r="I211" s="64">
        <v>3590</v>
      </c>
      <c r="J211" s="63"/>
      <c r="K211" s="63" t="s">
        <v>1156</v>
      </c>
      <c r="L211" s="63"/>
      <c r="M211" s="63"/>
      <c r="N211" s="8" t="str">
        <f t="shared" si="3"/>
        <v>0</v>
      </c>
      <c r="O211" s="8" t="str">
        <f>INDEX(Кат!$H:$H,MATCH($A211,Кат!$A:$A,0))</f>
        <v>Китай БЕСТ ПАРТНЕР</v>
      </c>
    </row>
    <row r="212" spans="1:15" ht="30" x14ac:dyDescent="0.25">
      <c r="A212" s="62">
        <v>145533</v>
      </c>
      <c r="B212" s="62">
        <v>4949</v>
      </c>
      <c r="C212" s="63" t="s">
        <v>37</v>
      </c>
      <c r="D212" s="63" t="s">
        <v>1155</v>
      </c>
      <c r="E212" s="63" t="s">
        <v>485</v>
      </c>
      <c r="F212" s="63"/>
      <c r="G212" s="63" t="s">
        <v>3</v>
      </c>
      <c r="H212" s="64">
        <v>0</v>
      </c>
      <c r="I212" s="64">
        <v>5490</v>
      </c>
      <c r="J212" s="63"/>
      <c r="K212" s="63" t="s">
        <v>1156</v>
      </c>
      <c r="L212" s="63"/>
      <c r="M212" s="63"/>
      <c r="N212" s="8" t="str">
        <f t="shared" si="3"/>
        <v>0</v>
      </c>
      <c r="O212" s="8" t="str">
        <f>INDEX(Кат!$H:$H,MATCH($A212,Кат!$A:$A,0))</f>
        <v>Китай БЕСТ ПАРТНЕР</v>
      </c>
    </row>
    <row r="213" spans="1:15" ht="45" x14ac:dyDescent="0.25">
      <c r="A213" s="62">
        <v>145534</v>
      </c>
      <c r="B213" s="62">
        <v>4952</v>
      </c>
      <c r="C213" s="63" t="s">
        <v>38</v>
      </c>
      <c r="D213" s="63" t="s">
        <v>1155</v>
      </c>
      <c r="E213" s="63" t="s">
        <v>486</v>
      </c>
      <c r="F213" s="63"/>
      <c r="G213" s="63" t="s">
        <v>3</v>
      </c>
      <c r="H213" s="64">
        <v>3300</v>
      </c>
      <c r="I213" s="64">
        <v>4490</v>
      </c>
      <c r="J213" s="63" t="s">
        <v>886</v>
      </c>
      <c r="K213" s="63" t="s">
        <v>4</v>
      </c>
      <c r="L213" s="63"/>
      <c r="M213" s="63"/>
      <c r="N213" s="8" t="str">
        <f t="shared" si="3"/>
        <v>1</v>
      </c>
      <c r="O213" s="8" t="str">
        <f>INDEX(Кат!$H:$H,MATCH($A213,Кат!$A:$A,0))</f>
        <v>Китай БЕСТ ПАРТНЕР</v>
      </c>
    </row>
    <row r="214" spans="1:15" ht="30" x14ac:dyDescent="0.25">
      <c r="A214" s="62">
        <v>145535</v>
      </c>
      <c r="B214" s="62">
        <v>140632</v>
      </c>
      <c r="C214" s="63" t="s">
        <v>830</v>
      </c>
      <c r="D214" s="63" t="s">
        <v>1155</v>
      </c>
      <c r="E214" s="63" t="s">
        <v>685</v>
      </c>
      <c r="F214" s="63"/>
      <c r="G214" s="63" t="s">
        <v>3</v>
      </c>
      <c r="H214" s="64"/>
      <c r="I214" s="64">
        <v>3790</v>
      </c>
      <c r="J214" s="63" t="s">
        <v>1271</v>
      </c>
      <c r="K214" s="63" t="s">
        <v>4</v>
      </c>
      <c r="L214" s="63"/>
      <c r="M214" s="63"/>
      <c r="N214" s="8" t="str">
        <f t="shared" si="3"/>
        <v>1</v>
      </c>
      <c r="O214" s="8" t="str">
        <f>INDEX(Кат!$H:$H,MATCH($A214,Кат!$A:$A,0))</f>
        <v>Китай БЕСТ ПАРТНЕР</v>
      </c>
    </row>
    <row r="215" spans="1:15" ht="45" x14ac:dyDescent="0.25">
      <c r="A215" s="62">
        <v>145536</v>
      </c>
      <c r="B215" s="62">
        <v>12565</v>
      </c>
      <c r="C215" s="63" t="s">
        <v>278</v>
      </c>
      <c r="D215" s="63" t="s">
        <v>1155</v>
      </c>
      <c r="E215" s="63" t="s">
        <v>1042</v>
      </c>
      <c r="F215" s="63" t="s">
        <v>279</v>
      </c>
      <c r="G215" s="63" t="s">
        <v>3</v>
      </c>
      <c r="H215" s="64">
        <v>3100</v>
      </c>
      <c r="I215" s="64">
        <v>4390</v>
      </c>
      <c r="J215" s="63" t="s">
        <v>757</v>
      </c>
      <c r="K215" s="63" t="s">
        <v>4</v>
      </c>
      <c r="L215" s="63"/>
      <c r="M215" s="63"/>
      <c r="N215" s="8" t="str">
        <f t="shared" si="3"/>
        <v>1</v>
      </c>
      <c r="O215" s="8" t="str">
        <f>INDEX(Кат!$H:$H,MATCH($A215,Кат!$A:$A,0))</f>
        <v>Китай БЕСТ ПАРТНЕР</v>
      </c>
    </row>
    <row r="216" spans="1:15" ht="30" x14ac:dyDescent="0.25">
      <c r="A216" s="62">
        <v>145537</v>
      </c>
      <c r="B216" s="62">
        <v>31732</v>
      </c>
      <c r="C216" s="63" t="s">
        <v>270</v>
      </c>
      <c r="D216" s="63" t="s">
        <v>1155</v>
      </c>
      <c r="E216" s="63" t="s">
        <v>826</v>
      </c>
      <c r="F216" s="63"/>
      <c r="G216" s="63" t="s">
        <v>3</v>
      </c>
      <c r="H216" s="64">
        <v>2500</v>
      </c>
      <c r="I216" s="64">
        <v>3790</v>
      </c>
      <c r="J216" s="63" t="s">
        <v>758</v>
      </c>
      <c r="K216" s="63" t="s">
        <v>4</v>
      </c>
      <c r="L216" s="63"/>
      <c r="M216" s="63"/>
      <c r="N216" s="8" t="str">
        <f t="shared" si="3"/>
        <v>1</v>
      </c>
      <c r="O216" s="8" t="str">
        <f>INDEX(Кат!$H:$H,MATCH($A216,Кат!$A:$A,0))</f>
        <v>Китай БЕСТ ПАРТНЕР</v>
      </c>
    </row>
    <row r="217" spans="1:15" ht="45" x14ac:dyDescent="0.25">
      <c r="A217" s="62">
        <v>145538</v>
      </c>
      <c r="B217" s="62">
        <v>31731</v>
      </c>
      <c r="C217" s="63" t="s">
        <v>269</v>
      </c>
      <c r="D217" s="63" t="s">
        <v>1155</v>
      </c>
      <c r="E217" s="63" t="s">
        <v>825</v>
      </c>
      <c r="F217" s="63"/>
      <c r="G217" s="63" t="s">
        <v>3</v>
      </c>
      <c r="H217" s="64">
        <v>3100</v>
      </c>
      <c r="I217" s="64">
        <v>4190</v>
      </c>
      <c r="J217" s="63" t="s">
        <v>756</v>
      </c>
      <c r="K217" s="63" t="s">
        <v>4</v>
      </c>
      <c r="L217" s="63"/>
      <c r="M217" s="63"/>
      <c r="N217" s="8" t="str">
        <f t="shared" si="3"/>
        <v>1</v>
      </c>
      <c r="O217" s="8" t="str">
        <f>INDEX(Кат!$H:$H,MATCH($A217,Кат!$A:$A,0))</f>
        <v>Китай БЕСТ ПАРТНЕР</v>
      </c>
    </row>
    <row r="218" spans="1:15" ht="45" x14ac:dyDescent="0.25">
      <c r="A218" s="62">
        <v>145540</v>
      </c>
      <c r="B218" s="62">
        <v>5005</v>
      </c>
      <c r="C218" s="63" t="s">
        <v>47</v>
      </c>
      <c r="D218" s="63" t="s">
        <v>1155</v>
      </c>
      <c r="E218" s="63" t="s">
        <v>491</v>
      </c>
      <c r="F218" s="63"/>
      <c r="G218" s="63" t="s">
        <v>3</v>
      </c>
      <c r="H218" s="64">
        <v>3300</v>
      </c>
      <c r="I218" s="64">
        <v>4290</v>
      </c>
      <c r="J218" s="63" t="s">
        <v>885</v>
      </c>
      <c r="K218" s="63" t="s">
        <v>4</v>
      </c>
      <c r="L218" s="63"/>
      <c r="M218" s="63"/>
      <c r="N218" s="8" t="str">
        <f t="shared" si="3"/>
        <v>1</v>
      </c>
      <c r="O218" s="8" t="str">
        <f>INDEX(Кат!$H:$H,MATCH($A218,Кат!$A:$A,0))</f>
        <v>Китай БЕСТ ПАРТНЕР</v>
      </c>
    </row>
    <row r="219" spans="1:15" ht="45" x14ac:dyDescent="0.25">
      <c r="A219" s="62">
        <v>145544</v>
      </c>
      <c r="B219" s="62">
        <v>4958</v>
      </c>
      <c r="C219" s="63" t="s">
        <v>40</v>
      </c>
      <c r="D219" s="63" t="s">
        <v>1155</v>
      </c>
      <c r="E219" s="63" t="s">
        <v>488</v>
      </c>
      <c r="F219" s="63"/>
      <c r="G219" s="63" t="s">
        <v>3</v>
      </c>
      <c r="H219" s="64">
        <v>3300</v>
      </c>
      <c r="I219" s="64">
        <v>4490</v>
      </c>
      <c r="J219" s="63" t="s">
        <v>747</v>
      </c>
      <c r="K219" s="63" t="s">
        <v>4</v>
      </c>
      <c r="L219" s="63"/>
      <c r="M219" s="63"/>
      <c r="N219" s="8" t="str">
        <f t="shared" si="3"/>
        <v>1</v>
      </c>
      <c r="O219" s="8" t="str">
        <f>INDEX(Кат!$H:$H,MATCH($A219,Кат!$A:$A,0))</f>
        <v>Китай БЕСТ ПАРТНЕР</v>
      </c>
    </row>
    <row r="220" spans="1:15" ht="30" x14ac:dyDescent="0.25">
      <c r="A220" s="62">
        <v>145549</v>
      </c>
      <c r="B220" s="62">
        <v>5117</v>
      </c>
      <c r="C220" s="63" t="s">
        <v>410</v>
      </c>
      <c r="D220" s="63" t="s">
        <v>1155</v>
      </c>
      <c r="E220" s="63"/>
      <c r="F220" s="63"/>
      <c r="G220" s="63" t="s">
        <v>3</v>
      </c>
      <c r="H220" s="64">
        <v>1100</v>
      </c>
      <c r="I220" s="64">
        <v>1490</v>
      </c>
      <c r="J220" s="63"/>
      <c r="K220" s="63" t="s">
        <v>1156</v>
      </c>
      <c r="L220" s="63"/>
      <c r="M220" s="63"/>
      <c r="N220" s="8" t="str">
        <f t="shared" si="3"/>
        <v>0</v>
      </c>
      <c r="O220" s="8" t="str">
        <f>INDEX(Кат!$H:$H,MATCH($A220,Кат!$A:$A,0))</f>
        <v>Китай БЕСТ ПАРТНЕР</v>
      </c>
    </row>
    <row r="221" spans="1:15" ht="30" x14ac:dyDescent="0.25">
      <c r="A221" s="62">
        <v>145553</v>
      </c>
      <c r="B221" s="62">
        <v>5116</v>
      </c>
      <c r="C221" s="63" t="s">
        <v>411</v>
      </c>
      <c r="D221" s="63" t="s">
        <v>1155</v>
      </c>
      <c r="E221" s="63"/>
      <c r="F221" s="63"/>
      <c r="G221" s="63" t="s">
        <v>3</v>
      </c>
      <c r="H221" s="64">
        <v>950</v>
      </c>
      <c r="I221" s="64">
        <v>1890</v>
      </c>
      <c r="J221" s="63" t="s">
        <v>840</v>
      </c>
      <c r="K221" s="63" t="s">
        <v>4</v>
      </c>
      <c r="L221" s="63"/>
      <c r="M221" s="63"/>
      <c r="N221" s="8" t="str">
        <f t="shared" si="3"/>
        <v>1</v>
      </c>
      <c r="O221" s="8" t="str">
        <f>INDEX(Кат!$H:$H,MATCH($A221,Кат!$A:$A,0))</f>
        <v>Китай БЕСТ ПАРТНЕР</v>
      </c>
    </row>
    <row r="222" spans="1:15" ht="45" x14ac:dyDescent="0.25">
      <c r="A222" s="62">
        <v>258087</v>
      </c>
      <c r="B222" s="62">
        <v>203394</v>
      </c>
      <c r="C222" s="63" t="s">
        <v>1137</v>
      </c>
      <c r="D222" s="63" t="s">
        <v>1155</v>
      </c>
      <c r="E222" s="63" t="s">
        <v>1372</v>
      </c>
      <c r="F222" s="63"/>
      <c r="G222" s="63" t="s">
        <v>3</v>
      </c>
      <c r="H222" s="64">
        <v>6500</v>
      </c>
      <c r="I222" s="64">
        <v>9590</v>
      </c>
      <c r="J222" s="63" t="s">
        <v>1166</v>
      </c>
      <c r="K222" s="63" t="s">
        <v>4</v>
      </c>
      <c r="L222" s="63"/>
      <c r="M222" s="63"/>
      <c r="N222" s="8" t="str">
        <f t="shared" si="3"/>
        <v>1</v>
      </c>
      <c r="O222" s="8" t="str">
        <f>INDEX(Кат!$H:$H,MATCH($A222,Кат!$A:$A,0))</f>
        <v>Китай БЕСТ ПАРТНЕР</v>
      </c>
    </row>
    <row r="223" spans="1:15" ht="45" x14ac:dyDescent="0.25">
      <c r="A223" s="62">
        <v>258088</v>
      </c>
      <c r="B223" s="62">
        <v>203396</v>
      </c>
      <c r="C223" s="63" t="s">
        <v>1138</v>
      </c>
      <c r="D223" s="63" t="s">
        <v>1155</v>
      </c>
      <c r="E223" s="63" t="s">
        <v>1373</v>
      </c>
      <c r="F223" s="63"/>
      <c r="G223" s="63" t="s">
        <v>3</v>
      </c>
      <c r="H223" s="64">
        <v>6500</v>
      </c>
      <c r="I223" s="64">
        <v>9590</v>
      </c>
      <c r="J223" s="63" t="s">
        <v>1167</v>
      </c>
      <c r="K223" s="63" t="s">
        <v>4</v>
      </c>
      <c r="L223" s="63"/>
      <c r="M223" s="63"/>
      <c r="N223" s="8" t="str">
        <f t="shared" si="3"/>
        <v>1</v>
      </c>
      <c r="O223" s="8" t="str">
        <f>INDEX(Кат!$H:$H,MATCH($A223,Кат!$A:$A,0))</f>
        <v>Китай БЕСТ ПАРТНЕР</v>
      </c>
    </row>
    <row r="224" spans="1:15" ht="45" x14ac:dyDescent="0.25">
      <c r="A224" s="62">
        <v>145557</v>
      </c>
      <c r="B224" s="62">
        <v>4972</v>
      </c>
      <c r="C224" s="63" t="s">
        <v>1168</v>
      </c>
      <c r="D224" s="63" t="s">
        <v>1155</v>
      </c>
      <c r="E224" s="63"/>
      <c r="F224" s="63"/>
      <c r="G224" s="63" t="s">
        <v>3</v>
      </c>
      <c r="H224" s="64">
        <v>2300</v>
      </c>
      <c r="I224" s="64">
        <v>3590</v>
      </c>
      <c r="J224" s="63" t="s">
        <v>869</v>
      </c>
      <c r="K224" s="63" t="s">
        <v>4</v>
      </c>
      <c r="L224" s="63" t="s">
        <v>4</v>
      </c>
      <c r="M224" s="63"/>
      <c r="N224" s="8" t="str">
        <f t="shared" si="3"/>
        <v>1ск1</v>
      </c>
      <c r="O224" s="8" t="str">
        <f>INDEX(Кат!$H:$H,MATCH($A224,Кат!$A:$A,0))</f>
        <v>Китай БЕСТ ПАРТНЕР</v>
      </c>
    </row>
    <row r="225" spans="1:15" ht="45" x14ac:dyDescent="0.25">
      <c r="A225" s="62">
        <v>145556</v>
      </c>
      <c r="B225" s="62">
        <v>4969</v>
      </c>
      <c r="C225" s="63" t="s">
        <v>1169</v>
      </c>
      <c r="D225" s="63" t="s">
        <v>1155</v>
      </c>
      <c r="E225" s="63"/>
      <c r="F225" s="63"/>
      <c r="G225" s="63" t="s">
        <v>3</v>
      </c>
      <c r="H225" s="64">
        <v>2300</v>
      </c>
      <c r="I225" s="64">
        <v>3590</v>
      </c>
      <c r="J225" s="63" t="s">
        <v>874</v>
      </c>
      <c r="K225" s="63" t="s">
        <v>4</v>
      </c>
      <c r="L225" s="63"/>
      <c r="M225" s="63"/>
      <c r="N225" s="8" t="str">
        <f t="shared" si="3"/>
        <v>1</v>
      </c>
      <c r="O225" s="8" t="str">
        <f>INDEX(Кат!$H:$H,MATCH($A225,Кат!$A:$A,0))</f>
        <v>Китай БЕСТ ПАРТНЕР</v>
      </c>
    </row>
    <row r="226" spans="1:15" ht="45" x14ac:dyDescent="0.25">
      <c r="A226" s="62">
        <v>145559</v>
      </c>
      <c r="B226" s="62">
        <v>4936</v>
      </c>
      <c r="C226" s="63" t="s">
        <v>1170</v>
      </c>
      <c r="D226" s="63" t="s">
        <v>1155</v>
      </c>
      <c r="E226" s="63" t="s">
        <v>483</v>
      </c>
      <c r="F226" s="63" t="s">
        <v>483</v>
      </c>
      <c r="G226" s="63" t="s">
        <v>3</v>
      </c>
      <c r="H226" s="64">
        <v>2300</v>
      </c>
      <c r="I226" s="64">
        <v>3190</v>
      </c>
      <c r="J226" s="63" t="s">
        <v>868</v>
      </c>
      <c r="K226" s="63" t="s">
        <v>4</v>
      </c>
      <c r="L226" s="63"/>
      <c r="M226" s="63"/>
      <c r="N226" s="8" t="str">
        <f t="shared" si="3"/>
        <v>1</v>
      </c>
      <c r="O226" s="8" t="str">
        <f>INDEX(Кат!$H:$H,MATCH($A226,Кат!$A:$A,0))</f>
        <v>Китай БЕСТ ПАРТНЕР</v>
      </c>
    </row>
    <row r="227" spans="1:15" ht="30" x14ac:dyDescent="0.25">
      <c r="A227" s="62">
        <v>145558</v>
      </c>
      <c r="B227" s="62">
        <v>4973</v>
      </c>
      <c r="C227" s="63" t="s">
        <v>44</v>
      </c>
      <c r="D227" s="63" t="s">
        <v>1155</v>
      </c>
      <c r="E227" s="63"/>
      <c r="F227" s="63"/>
      <c r="G227" s="63" t="s">
        <v>3</v>
      </c>
      <c r="H227" s="64">
        <v>1900</v>
      </c>
      <c r="I227" s="64">
        <v>2490</v>
      </c>
      <c r="J227" s="63"/>
      <c r="K227" s="63" t="s">
        <v>1156</v>
      </c>
      <c r="L227" s="63"/>
      <c r="M227" s="63"/>
      <c r="N227" s="8" t="str">
        <f t="shared" si="3"/>
        <v>0</v>
      </c>
      <c r="O227" s="8" t="str">
        <f>INDEX(Кат!$H:$H,MATCH($A227,Кат!$A:$A,0))</f>
        <v>Китай БЕСТ ПАРТНЕР</v>
      </c>
    </row>
    <row r="228" spans="1:15" ht="30" x14ac:dyDescent="0.25">
      <c r="A228" s="62">
        <v>145560</v>
      </c>
      <c r="B228" s="62">
        <v>4932</v>
      </c>
      <c r="C228" s="63" t="s">
        <v>34</v>
      </c>
      <c r="D228" s="63" t="s">
        <v>1155</v>
      </c>
      <c r="E228" s="63"/>
      <c r="F228" s="63"/>
      <c r="G228" s="63" t="s">
        <v>3</v>
      </c>
      <c r="H228" s="64">
        <v>1800</v>
      </c>
      <c r="I228" s="64">
        <v>2390</v>
      </c>
      <c r="J228" s="63"/>
      <c r="K228" s="63" t="s">
        <v>1156</v>
      </c>
      <c r="L228" s="63"/>
      <c r="M228" s="63"/>
      <c r="N228" s="8" t="str">
        <f t="shared" si="3"/>
        <v>0</v>
      </c>
      <c r="O228" s="8" t="str">
        <f>INDEX(Кат!$H:$H,MATCH($A228,Кат!$A:$A,0))</f>
        <v>Китай БЕСТ ПАРТНЕР</v>
      </c>
    </row>
    <row r="229" spans="1:15" ht="30" x14ac:dyDescent="0.25">
      <c r="A229" s="62">
        <v>143811</v>
      </c>
      <c r="B229" s="62">
        <v>4823</v>
      </c>
      <c r="C229" s="63" t="s">
        <v>1171</v>
      </c>
      <c r="D229" s="63" t="s">
        <v>1155</v>
      </c>
      <c r="E229" s="63" t="s">
        <v>1510</v>
      </c>
      <c r="F229" s="63"/>
      <c r="G229" s="63" t="s">
        <v>3</v>
      </c>
      <c r="H229" s="64">
        <v>3100</v>
      </c>
      <c r="I229" s="64">
        <v>3990</v>
      </c>
      <c r="J229" s="63"/>
      <c r="K229" s="63" t="s">
        <v>4</v>
      </c>
      <c r="L229" s="63"/>
      <c r="M229" s="63"/>
      <c r="N229" s="8" t="str">
        <f t="shared" si="3"/>
        <v>1</v>
      </c>
      <c r="O229" s="8" t="str">
        <f>INDEX(Кат!$H:$H,MATCH($A229,Кат!$A:$A,0))</f>
        <v>Китай БЕСТ ПАРТНЕР</v>
      </c>
    </row>
    <row r="230" spans="1:15" ht="30" x14ac:dyDescent="0.25">
      <c r="A230" s="62">
        <v>145561</v>
      </c>
      <c r="B230" s="62">
        <v>4967</v>
      </c>
      <c r="C230" s="63" t="s">
        <v>43</v>
      </c>
      <c r="D230" s="63" t="s">
        <v>1155</v>
      </c>
      <c r="E230" s="63" t="s">
        <v>490</v>
      </c>
      <c r="F230" s="63"/>
      <c r="G230" s="63" t="s">
        <v>3</v>
      </c>
      <c r="H230" s="64">
        <v>0</v>
      </c>
      <c r="I230" s="64">
        <v>5690</v>
      </c>
      <c r="J230" s="63"/>
      <c r="K230" s="63" t="s">
        <v>1156</v>
      </c>
      <c r="L230" s="63"/>
      <c r="M230" s="63"/>
      <c r="N230" s="8" t="str">
        <f t="shared" si="3"/>
        <v>0</v>
      </c>
      <c r="O230" s="8" t="str">
        <f>INDEX(Кат!$H:$H,MATCH($A230,Кат!$A:$A,0))</f>
        <v>Китай БЕСТ ПАРТНЕР</v>
      </c>
    </row>
    <row r="231" spans="1:15" ht="30" x14ac:dyDescent="0.25">
      <c r="A231" s="62">
        <v>145566</v>
      </c>
      <c r="B231" s="62">
        <v>13757</v>
      </c>
      <c r="C231" s="63" t="s">
        <v>354</v>
      </c>
      <c r="D231" s="63" t="s">
        <v>1155</v>
      </c>
      <c r="E231" s="63"/>
      <c r="F231" s="63"/>
      <c r="G231" s="63" t="s">
        <v>3</v>
      </c>
      <c r="H231" s="64">
        <v>2000</v>
      </c>
      <c r="I231" s="64">
        <v>2590</v>
      </c>
      <c r="J231" s="63"/>
      <c r="K231" s="63" t="s">
        <v>1156</v>
      </c>
      <c r="L231" s="63"/>
      <c r="M231" s="63" t="s">
        <v>1155</v>
      </c>
      <c r="N231" s="8" t="str">
        <f t="shared" si="3"/>
        <v>0</v>
      </c>
      <c r="O231" s="8" t="str">
        <f>INDEX(Кат!$H:$H,MATCH($A231,Кат!$A:$A,0))</f>
        <v>Китай БЕСТ ПАРТНЕР</v>
      </c>
    </row>
    <row r="232" spans="1:15" ht="30" x14ac:dyDescent="0.25">
      <c r="A232" s="62">
        <v>145567</v>
      </c>
      <c r="B232" s="62">
        <v>11441</v>
      </c>
      <c r="C232" s="63" t="s">
        <v>373</v>
      </c>
      <c r="D232" s="63" t="s">
        <v>1155</v>
      </c>
      <c r="E232" s="63"/>
      <c r="F232" s="63"/>
      <c r="G232" s="63" t="s">
        <v>3</v>
      </c>
      <c r="H232" s="64">
        <v>1100</v>
      </c>
      <c r="I232" s="64">
        <v>1490</v>
      </c>
      <c r="J232" s="63"/>
      <c r="K232" s="63" t="s">
        <v>1156</v>
      </c>
      <c r="L232" s="63"/>
      <c r="M232" s="63"/>
      <c r="N232" s="8" t="str">
        <f t="shared" si="3"/>
        <v>0</v>
      </c>
      <c r="O232" s="8" t="str">
        <f>INDEX(Кат!$H:$H,MATCH($A232,Кат!$A:$A,0))</f>
        <v>Китай БЕСТ ПАРТНЕР</v>
      </c>
    </row>
    <row r="233" spans="1:15" ht="45" x14ac:dyDescent="0.25">
      <c r="A233" s="62">
        <v>145568</v>
      </c>
      <c r="B233" s="62">
        <v>5104</v>
      </c>
      <c r="C233" s="63" t="s">
        <v>1002</v>
      </c>
      <c r="D233" s="63" t="s">
        <v>1155</v>
      </c>
      <c r="E233" s="63"/>
      <c r="F233" s="63"/>
      <c r="G233" s="63" t="s">
        <v>3</v>
      </c>
      <c r="H233" s="64">
        <v>1600</v>
      </c>
      <c r="I233" s="64">
        <v>2090</v>
      </c>
      <c r="J233" s="63" t="s">
        <v>1424</v>
      </c>
      <c r="K233" s="63" t="s">
        <v>4</v>
      </c>
      <c r="L233" s="63"/>
      <c r="M233" s="63"/>
      <c r="N233" s="8" t="str">
        <f t="shared" si="3"/>
        <v>1</v>
      </c>
      <c r="O233" s="8" t="str">
        <f>INDEX(Кат!$H:$H,MATCH($A233,Кат!$A:$A,0))</f>
        <v>Китай БЕСТ ПАРТНЕР</v>
      </c>
    </row>
    <row r="234" spans="1:15" ht="45" x14ac:dyDescent="0.25">
      <c r="A234" s="62">
        <v>145569</v>
      </c>
      <c r="B234" s="62">
        <v>4929</v>
      </c>
      <c r="C234" s="63" t="s">
        <v>33</v>
      </c>
      <c r="D234" s="63" t="s">
        <v>1155</v>
      </c>
      <c r="E234" s="63"/>
      <c r="F234" s="63"/>
      <c r="G234" s="63" t="s">
        <v>3</v>
      </c>
      <c r="H234" s="64">
        <v>1600</v>
      </c>
      <c r="I234" s="64">
        <v>2090</v>
      </c>
      <c r="J234" s="63" t="s">
        <v>770</v>
      </c>
      <c r="K234" s="63" t="s">
        <v>1156</v>
      </c>
      <c r="L234" s="63"/>
      <c r="M234" s="63"/>
      <c r="N234" s="8" t="str">
        <f t="shared" si="3"/>
        <v>0</v>
      </c>
      <c r="O234" s="8" t="str">
        <f>INDEX(Кат!$H:$H,MATCH($A234,Кат!$A:$A,0))</f>
        <v>Китай БЕСТ ПАРТНЕР</v>
      </c>
    </row>
    <row r="235" spans="1:15" ht="30" x14ac:dyDescent="0.25">
      <c r="A235" s="62">
        <v>145570</v>
      </c>
      <c r="B235" s="62">
        <v>5090</v>
      </c>
      <c r="C235" s="63" t="s">
        <v>48</v>
      </c>
      <c r="D235" s="63" t="s">
        <v>1155</v>
      </c>
      <c r="E235" s="63"/>
      <c r="F235" s="63"/>
      <c r="G235" s="63" t="s">
        <v>3</v>
      </c>
      <c r="H235" s="64">
        <v>1500</v>
      </c>
      <c r="I235" s="64">
        <v>2090</v>
      </c>
      <c r="J235" s="63" t="s">
        <v>843</v>
      </c>
      <c r="K235" s="63" t="s">
        <v>4</v>
      </c>
      <c r="L235" s="63"/>
      <c r="M235" s="63"/>
      <c r="N235" s="8" t="str">
        <f t="shared" si="3"/>
        <v>1</v>
      </c>
      <c r="O235" s="8" t="str">
        <f>INDEX(Кат!$H:$H,MATCH($A235,Кат!$A:$A,0))</f>
        <v>Китай БЕСТ ПАРТНЕР</v>
      </c>
    </row>
    <row r="236" spans="1:15" ht="30" x14ac:dyDescent="0.25">
      <c r="A236" s="62">
        <v>145571</v>
      </c>
      <c r="B236" s="62">
        <v>5105</v>
      </c>
      <c r="C236" s="63" t="s">
        <v>414</v>
      </c>
      <c r="D236" s="63" t="s">
        <v>1155</v>
      </c>
      <c r="E236" s="63"/>
      <c r="F236" s="63"/>
      <c r="G236" s="63" t="s">
        <v>3</v>
      </c>
      <c r="H236" s="64">
        <v>500</v>
      </c>
      <c r="I236" s="64">
        <v>729</v>
      </c>
      <c r="J236" s="63"/>
      <c r="K236" s="63" t="s">
        <v>1156</v>
      </c>
      <c r="L236" s="63"/>
      <c r="M236" s="63"/>
      <c r="N236" s="8" t="str">
        <f t="shared" si="3"/>
        <v>0</v>
      </c>
      <c r="O236" s="8" t="str">
        <f>INDEX(Кат!$H:$H,MATCH($A236,Кат!$A:$A,0))</f>
        <v>Китай БЕСТ ПАРТНЕР</v>
      </c>
    </row>
    <row r="237" spans="1:15" ht="30" x14ac:dyDescent="0.25">
      <c r="A237" s="62">
        <v>145572</v>
      </c>
      <c r="B237" s="62">
        <v>4976</v>
      </c>
      <c r="C237" s="63" t="s">
        <v>45</v>
      </c>
      <c r="D237" s="63" t="s">
        <v>1155</v>
      </c>
      <c r="E237" s="63"/>
      <c r="F237" s="63"/>
      <c r="G237" s="63" t="s">
        <v>3</v>
      </c>
      <c r="H237" s="64">
        <v>1500</v>
      </c>
      <c r="I237" s="64">
        <v>1990</v>
      </c>
      <c r="J237" s="63" t="s">
        <v>845</v>
      </c>
      <c r="K237" s="63" t="s">
        <v>1156</v>
      </c>
      <c r="L237" s="63"/>
      <c r="M237" s="63"/>
      <c r="N237" s="8" t="str">
        <f t="shared" si="3"/>
        <v>0</v>
      </c>
      <c r="O237" s="8" t="str">
        <f>INDEX(Кат!$H:$H,MATCH($A237,Кат!$A:$A,0))</f>
        <v>Китай БЕСТ ПАРТНЕР</v>
      </c>
    </row>
    <row r="238" spans="1:15" ht="30" x14ac:dyDescent="0.25">
      <c r="A238" s="62">
        <v>145574</v>
      </c>
      <c r="B238" s="62">
        <v>4978</v>
      </c>
      <c r="C238" s="63" t="s">
        <v>46</v>
      </c>
      <c r="D238" s="63" t="s">
        <v>1155</v>
      </c>
      <c r="E238" s="63"/>
      <c r="F238" s="63"/>
      <c r="G238" s="63" t="s">
        <v>3</v>
      </c>
      <c r="H238" s="64">
        <v>0</v>
      </c>
      <c r="I238" s="64">
        <v>2290</v>
      </c>
      <c r="J238" s="63"/>
      <c r="K238" s="63" t="s">
        <v>1156</v>
      </c>
      <c r="L238" s="63"/>
      <c r="M238" s="63"/>
      <c r="N238" s="8" t="str">
        <f t="shared" si="3"/>
        <v>0</v>
      </c>
      <c r="O238" s="8" t="str">
        <f>INDEX(Кат!$H:$H,MATCH($A238,Кат!$A:$A,0))</f>
        <v>Китай БЕСТ ПАРТНЕР</v>
      </c>
    </row>
    <row r="239" spans="1:15" ht="30" x14ac:dyDescent="0.25">
      <c r="A239" s="62">
        <v>145576</v>
      </c>
      <c r="B239" s="62">
        <v>5092</v>
      </c>
      <c r="C239" s="63" t="s">
        <v>422</v>
      </c>
      <c r="D239" s="63" t="s">
        <v>1155</v>
      </c>
      <c r="E239" s="63"/>
      <c r="F239" s="63"/>
      <c r="G239" s="63" t="s">
        <v>3</v>
      </c>
      <c r="H239" s="64">
        <v>1600</v>
      </c>
      <c r="I239" s="64">
        <v>2090</v>
      </c>
      <c r="J239" s="63"/>
      <c r="K239" s="63" t="s">
        <v>1156</v>
      </c>
      <c r="L239" s="63"/>
      <c r="M239" s="63"/>
      <c r="N239" s="8" t="str">
        <f t="shared" si="3"/>
        <v>0</v>
      </c>
      <c r="O239" s="8" t="str">
        <f>INDEX(Кат!$H:$H,MATCH($A239,Кат!$A:$A,0))</f>
        <v>Китай БЕСТ ПАРТНЕР</v>
      </c>
    </row>
    <row r="240" spans="1:15" ht="30" x14ac:dyDescent="0.25">
      <c r="A240" s="62">
        <v>145577</v>
      </c>
      <c r="B240" s="62">
        <v>4870</v>
      </c>
      <c r="C240" s="63" t="s">
        <v>431</v>
      </c>
      <c r="D240" s="63" t="s">
        <v>1155</v>
      </c>
      <c r="E240" s="63"/>
      <c r="F240" s="63"/>
      <c r="G240" s="63" t="s">
        <v>3</v>
      </c>
      <c r="H240" s="64">
        <v>0</v>
      </c>
      <c r="I240" s="64">
        <v>3890</v>
      </c>
      <c r="J240" s="63"/>
      <c r="K240" s="63" t="s">
        <v>1156</v>
      </c>
      <c r="L240" s="63"/>
      <c r="M240" s="63"/>
      <c r="N240" s="8" t="str">
        <f t="shared" si="3"/>
        <v>0</v>
      </c>
      <c r="O240" s="8" t="str">
        <f>INDEX(Кат!$H:$H,MATCH($A240,Кат!$A:$A,0))</f>
        <v>Китай БЕСТ ПАРТНЕР</v>
      </c>
    </row>
    <row r="241" spans="1:15" ht="30" x14ac:dyDescent="0.25">
      <c r="A241" s="62">
        <v>145578</v>
      </c>
      <c r="B241" s="62">
        <v>5093</v>
      </c>
      <c r="C241" s="63" t="s">
        <v>421</v>
      </c>
      <c r="D241" s="63" t="s">
        <v>1155</v>
      </c>
      <c r="E241" s="63"/>
      <c r="F241" s="63"/>
      <c r="G241" s="63" t="s">
        <v>3</v>
      </c>
      <c r="H241" s="64">
        <v>1600</v>
      </c>
      <c r="I241" s="64">
        <v>2090</v>
      </c>
      <c r="J241" s="63"/>
      <c r="K241" s="63" t="s">
        <v>1156</v>
      </c>
      <c r="L241" s="63"/>
      <c r="M241" s="63"/>
      <c r="N241" s="8" t="str">
        <f t="shared" si="3"/>
        <v>0</v>
      </c>
      <c r="O241" s="8" t="str">
        <f>INDEX(Кат!$H:$H,MATCH($A241,Кат!$A:$A,0))</f>
        <v>Китай БЕСТ ПАРТНЕР</v>
      </c>
    </row>
    <row r="242" spans="1:15" ht="30" x14ac:dyDescent="0.25">
      <c r="A242" s="62">
        <v>145579</v>
      </c>
      <c r="B242" s="62">
        <v>17748</v>
      </c>
      <c r="C242" s="63" t="s">
        <v>341</v>
      </c>
      <c r="D242" s="63" t="s">
        <v>1155</v>
      </c>
      <c r="E242" s="63"/>
      <c r="F242" s="63"/>
      <c r="G242" s="63" t="s">
        <v>3</v>
      </c>
      <c r="H242" s="64">
        <v>0</v>
      </c>
      <c r="I242" s="64">
        <v>3290</v>
      </c>
      <c r="J242" s="63"/>
      <c r="K242" s="63" t="s">
        <v>1156</v>
      </c>
      <c r="L242" s="63"/>
      <c r="M242" s="63" t="s">
        <v>1155</v>
      </c>
      <c r="N242" s="8" t="str">
        <f t="shared" si="3"/>
        <v>0</v>
      </c>
      <c r="O242" s="8" t="str">
        <f>INDEX(Кат!$H:$H,MATCH($A242,Кат!$A:$A,0))</f>
        <v>Китай БЕСТ ПАРТНЕР</v>
      </c>
    </row>
    <row r="243" spans="1:15" ht="30" x14ac:dyDescent="0.25">
      <c r="A243" s="62">
        <v>145580</v>
      </c>
      <c r="B243" s="62">
        <v>5107</v>
      </c>
      <c r="C243" s="63" t="s">
        <v>413</v>
      </c>
      <c r="D243" s="63" t="s">
        <v>1155</v>
      </c>
      <c r="E243" s="63"/>
      <c r="F243" s="63"/>
      <c r="G243" s="63" t="s">
        <v>3</v>
      </c>
      <c r="H243" s="64">
        <v>0</v>
      </c>
      <c r="I243" s="64">
        <v>3390</v>
      </c>
      <c r="J243" s="63"/>
      <c r="K243" s="63" t="s">
        <v>1156</v>
      </c>
      <c r="L243" s="63"/>
      <c r="M243" s="63"/>
      <c r="N243" s="8" t="str">
        <f t="shared" si="3"/>
        <v>0</v>
      </c>
      <c r="O243" s="8" t="str">
        <f>INDEX(Кат!$H:$H,MATCH($A243,Кат!$A:$A,0))</f>
        <v>Китай БЕСТ ПАРТНЕР</v>
      </c>
    </row>
    <row r="244" spans="1:15" ht="30" x14ac:dyDescent="0.25">
      <c r="A244" s="62">
        <v>158383</v>
      </c>
      <c r="B244" s="62">
        <v>18987</v>
      </c>
      <c r="C244" s="63" t="s">
        <v>287</v>
      </c>
      <c r="D244" s="63" t="s">
        <v>1155</v>
      </c>
      <c r="E244" s="63" t="s">
        <v>614</v>
      </c>
      <c r="F244" s="63"/>
      <c r="G244" s="63" t="s">
        <v>3</v>
      </c>
      <c r="H244" s="64">
        <v>500</v>
      </c>
      <c r="I244" s="64">
        <v>649</v>
      </c>
      <c r="J244" s="63" t="s">
        <v>751</v>
      </c>
      <c r="K244" s="63" t="s">
        <v>4</v>
      </c>
      <c r="L244" s="63" t="s">
        <v>4</v>
      </c>
      <c r="M244" s="63"/>
      <c r="N244" s="8" t="str">
        <f t="shared" si="3"/>
        <v>1ск1</v>
      </c>
      <c r="O244" s="8" t="str">
        <f>INDEX(Кат!$H:$H,MATCH($A244,Кат!$A:$A,0))</f>
        <v>Китай БЕСТ ПАРТНЕР</v>
      </c>
    </row>
    <row r="245" spans="1:15" ht="30" x14ac:dyDescent="0.25">
      <c r="A245" s="62">
        <v>158510</v>
      </c>
      <c r="B245" s="62">
        <v>20202</v>
      </c>
      <c r="C245" s="63" t="s">
        <v>623</v>
      </c>
      <c r="D245" s="63" t="s">
        <v>1155</v>
      </c>
      <c r="E245" s="63" t="s">
        <v>624</v>
      </c>
      <c r="F245" s="63"/>
      <c r="G245" s="63" t="s">
        <v>3</v>
      </c>
      <c r="H245" s="64">
        <v>1300</v>
      </c>
      <c r="I245" s="64">
        <v>1990</v>
      </c>
      <c r="J245" s="63" t="s">
        <v>848</v>
      </c>
      <c r="K245" s="63" t="s">
        <v>4</v>
      </c>
      <c r="L245" s="63"/>
      <c r="M245" s="63"/>
      <c r="N245" s="8" t="str">
        <f t="shared" si="3"/>
        <v>1</v>
      </c>
      <c r="O245" s="8" t="str">
        <f>INDEX(Кат!$H:$H,MATCH($A245,Кат!$A:$A,0))</f>
        <v>Китай БЕСТ ПАРТНЕР</v>
      </c>
    </row>
    <row r="246" spans="1:15" ht="45" x14ac:dyDescent="0.25">
      <c r="A246" s="62">
        <v>158555</v>
      </c>
      <c r="B246" s="62">
        <v>37979</v>
      </c>
      <c r="C246" s="63" t="s">
        <v>670</v>
      </c>
      <c r="D246" s="63" t="s">
        <v>1155</v>
      </c>
      <c r="E246" s="63" t="s">
        <v>671</v>
      </c>
      <c r="F246" s="63"/>
      <c r="G246" s="63" t="s">
        <v>3</v>
      </c>
      <c r="H246" s="64">
        <v>10000</v>
      </c>
      <c r="I246" s="64">
        <v>13290</v>
      </c>
      <c r="J246" s="63" t="s">
        <v>788</v>
      </c>
      <c r="K246" s="63" t="s">
        <v>4</v>
      </c>
      <c r="L246" s="63"/>
      <c r="M246" s="63"/>
      <c r="N246" s="8" t="str">
        <f t="shared" si="3"/>
        <v>1</v>
      </c>
      <c r="O246" s="8" t="str">
        <f>INDEX(Кат!$H:$H,MATCH($A246,Кат!$A:$A,0))</f>
        <v>Китай БЕСТ ПАРТНЕР</v>
      </c>
    </row>
    <row r="247" spans="1:15" ht="45" x14ac:dyDescent="0.25">
      <c r="A247" s="62">
        <v>158556</v>
      </c>
      <c r="B247" s="62">
        <v>37980</v>
      </c>
      <c r="C247" s="63" t="s">
        <v>672</v>
      </c>
      <c r="D247" s="63" t="s">
        <v>1155</v>
      </c>
      <c r="E247" s="63" t="s">
        <v>673</v>
      </c>
      <c r="F247" s="63" t="s">
        <v>673</v>
      </c>
      <c r="G247" s="63" t="s">
        <v>3</v>
      </c>
      <c r="H247" s="64">
        <v>10000</v>
      </c>
      <c r="I247" s="64">
        <v>13290</v>
      </c>
      <c r="J247" s="63" t="s">
        <v>791</v>
      </c>
      <c r="K247" s="63" t="s">
        <v>4</v>
      </c>
      <c r="L247" s="63"/>
      <c r="M247" s="63"/>
      <c r="N247" s="8" t="str">
        <f t="shared" si="3"/>
        <v>1</v>
      </c>
      <c r="O247" s="8" t="str">
        <f>INDEX(Кат!$H:$H,MATCH($A247,Кат!$A:$A,0))</f>
        <v>Китай БЕСТ ПАРТНЕР</v>
      </c>
    </row>
    <row r="248" spans="1:15" ht="45" x14ac:dyDescent="0.25">
      <c r="A248" s="62">
        <v>158557</v>
      </c>
      <c r="B248" s="62">
        <v>37978</v>
      </c>
      <c r="C248" s="63" t="s">
        <v>668</v>
      </c>
      <c r="D248" s="63" t="s">
        <v>1155</v>
      </c>
      <c r="E248" s="63" t="s">
        <v>669</v>
      </c>
      <c r="F248" s="63"/>
      <c r="G248" s="63" t="s">
        <v>3</v>
      </c>
      <c r="H248" s="64">
        <v>10000</v>
      </c>
      <c r="I248" s="64">
        <v>13290</v>
      </c>
      <c r="J248" s="63" t="s">
        <v>789</v>
      </c>
      <c r="K248" s="63" t="s">
        <v>4</v>
      </c>
      <c r="L248" s="63"/>
      <c r="M248" s="63"/>
      <c r="N248" s="8" t="str">
        <f t="shared" si="3"/>
        <v>1</v>
      </c>
      <c r="O248" s="8" t="str">
        <f>INDEX(Кат!$H:$H,MATCH($A248,Кат!$A:$A,0))</f>
        <v>Китай БЕСТ ПАРТНЕР</v>
      </c>
    </row>
    <row r="249" spans="1:15" ht="45" x14ac:dyDescent="0.25">
      <c r="A249" s="62">
        <v>158558</v>
      </c>
      <c r="B249" s="62">
        <v>37973</v>
      </c>
      <c r="C249" s="63" t="s">
        <v>298</v>
      </c>
      <c r="D249" s="63" t="s">
        <v>1155</v>
      </c>
      <c r="E249" s="63" t="s">
        <v>664</v>
      </c>
      <c r="F249" s="63"/>
      <c r="G249" s="63" t="s">
        <v>3</v>
      </c>
      <c r="H249" s="64">
        <v>10000</v>
      </c>
      <c r="I249" s="64">
        <v>13290</v>
      </c>
      <c r="J249" s="63" t="s">
        <v>787</v>
      </c>
      <c r="K249" s="63" t="s">
        <v>4</v>
      </c>
      <c r="L249" s="63"/>
      <c r="M249" s="63"/>
      <c r="N249" s="8" t="str">
        <f t="shared" si="3"/>
        <v>1</v>
      </c>
      <c r="O249" s="8" t="str">
        <f>INDEX(Кат!$H:$H,MATCH($A249,Кат!$A:$A,0))</f>
        <v>Китай БЕСТ ПАРТНЕР</v>
      </c>
    </row>
    <row r="250" spans="1:15" ht="45" x14ac:dyDescent="0.25">
      <c r="A250" s="62">
        <v>158559</v>
      </c>
      <c r="B250" s="62">
        <v>37976</v>
      </c>
      <c r="C250" s="63" t="s">
        <v>297</v>
      </c>
      <c r="D250" s="63" t="s">
        <v>1155</v>
      </c>
      <c r="E250" s="63" t="s">
        <v>665</v>
      </c>
      <c r="F250" s="63"/>
      <c r="G250" s="63" t="s">
        <v>3</v>
      </c>
      <c r="H250" s="64">
        <v>10000</v>
      </c>
      <c r="I250" s="64">
        <v>13290</v>
      </c>
      <c r="J250" s="63"/>
      <c r="K250" s="63" t="s">
        <v>4</v>
      </c>
      <c r="L250" s="63"/>
      <c r="M250" s="63"/>
      <c r="N250" s="8" t="str">
        <f t="shared" si="3"/>
        <v>1</v>
      </c>
      <c r="O250" s="8" t="str">
        <f>INDEX(Кат!$H:$H,MATCH($A250,Кат!$A:$A,0))</f>
        <v>Китай БЕСТ ПАРТНЕР</v>
      </c>
    </row>
    <row r="251" spans="1:15" ht="45" x14ac:dyDescent="0.25">
      <c r="A251" s="62">
        <v>159816</v>
      </c>
      <c r="B251" s="62">
        <v>37977</v>
      </c>
      <c r="C251" s="63" t="s">
        <v>666</v>
      </c>
      <c r="D251" s="63" t="s">
        <v>1155</v>
      </c>
      <c r="E251" s="63" t="s">
        <v>667</v>
      </c>
      <c r="F251" s="63"/>
      <c r="G251" s="63" t="s">
        <v>3</v>
      </c>
      <c r="H251" s="64">
        <v>8500</v>
      </c>
      <c r="I251" s="64">
        <v>13290</v>
      </c>
      <c r="J251" s="63" t="s">
        <v>790</v>
      </c>
      <c r="K251" s="63" t="s">
        <v>4</v>
      </c>
      <c r="L251" s="63"/>
      <c r="M251" s="63"/>
      <c r="N251" s="8" t="str">
        <f t="shared" si="3"/>
        <v>1</v>
      </c>
      <c r="O251" s="8" t="str">
        <f>INDEX(Кат!$H:$H,MATCH($A251,Кат!$A:$A,0))</f>
        <v>Китай БЕСТ ПАРТНЕР</v>
      </c>
    </row>
    <row r="252" spans="1:15" ht="30" x14ac:dyDescent="0.25">
      <c r="A252" s="62">
        <v>162827</v>
      </c>
      <c r="B252" s="62">
        <v>5119</v>
      </c>
      <c r="C252" s="63" t="s">
        <v>49</v>
      </c>
      <c r="D252" s="63" t="s">
        <v>1155</v>
      </c>
      <c r="E252" s="63"/>
      <c r="F252" s="63"/>
      <c r="G252" s="63" t="s">
        <v>3</v>
      </c>
      <c r="H252" s="64">
        <v>0</v>
      </c>
      <c r="I252" s="64">
        <v>2290</v>
      </c>
      <c r="J252" s="63"/>
      <c r="K252" s="63" t="s">
        <v>1156</v>
      </c>
      <c r="L252" s="63"/>
      <c r="M252" s="63"/>
      <c r="N252" s="8" t="str">
        <f t="shared" si="3"/>
        <v>0</v>
      </c>
      <c r="O252" s="8" t="str">
        <f>INDEX(Кат!$H:$H,MATCH($A252,Кат!$A:$A,0))</f>
        <v>Китай БЕСТ ПАРТНЕР</v>
      </c>
    </row>
    <row r="253" spans="1:15" ht="30" x14ac:dyDescent="0.25">
      <c r="A253" s="62">
        <v>164903</v>
      </c>
      <c r="B253" s="62">
        <v>10705</v>
      </c>
      <c r="C253" s="63" t="s">
        <v>141</v>
      </c>
      <c r="D253" s="63" t="s">
        <v>1157</v>
      </c>
      <c r="E253" s="63"/>
      <c r="F253" s="63"/>
      <c r="G253" s="63" t="s">
        <v>3</v>
      </c>
      <c r="H253" s="64">
        <v>6400</v>
      </c>
      <c r="I253" s="64">
        <v>8390</v>
      </c>
      <c r="J253" s="63"/>
      <c r="K253" s="63" t="s">
        <v>1156</v>
      </c>
      <c r="L253" s="63"/>
      <c r="M253" s="63"/>
      <c r="N253" s="8" t="str">
        <f t="shared" si="3"/>
        <v>0</v>
      </c>
      <c r="O253" s="8" t="str">
        <f>INDEX(Кат!$H:$H,MATCH($A253,Кат!$A:$A,0))</f>
        <v>Китай БЕСТ ПАРТНЕР</v>
      </c>
    </row>
    <row r="254" spans="1:15" ht="30" x14ac:dyDescent="0.25">
      <c r="A254" s="62">
        <v>164904</v>
      </c>
      <c r="B254" s="62">
        <v>10704</v>
      </c>
      <c r="C254" s="63" t="s">
        <v>140</v>
      </c>
      <c r="D254" s="63" t="s">
        <v>1157</v>
      </c>
      <c r="E254" s="63"/>
      <c r="F254" s="63"/>
      <c r="G254" s="63" t="s">
        <v>3</v>
      </c>
      <c r="H254" s="64">
        <v>10000</v>
      </c>
      <c r="I254" s="64">
        <v>12790</v>
      </c>
      <c r="J254" s="63" t="s">
        <v>743</v>
      </c>
      <c r="K254" s="63" t="s">
        <v>1156</v>
      </c>
      <c r="L254" s="63"/>
      <c r="M254" s="63" t="s">
        <v>1155</v>
      </c>
      <c r="N254" s="8" t="str">
        <f t="shared" si="3"/>
        <v>0</v>
      </c>
      <c r="O254" s="8" t="str">
        <f>INDEX(Кат!$H:$H,MATCH($A254,Кат!$A:$A,0))</f>
        <v>Китай БЕСТ ПАРТНЕР</v>
      </c>
    </row>
    <row r="255" spans="1:15" ht="30" x14ac:dyDescent="0.25">
      <c r="A255" s="62">
        <v>164905</v>
      </c>
      <c r="B255" s="62">
        <v>10703</v>
      </c>
      <c r="C255" s="63" t="s">
        <v>139</v>
      </c>
      <c r="D255" s="63" t="s">
        <v>1157</v>
      </c>
      <c r="E255" s="63"/>
      <c r="F255" s="63"/>
      <c r="G255" s="63" t="s">
        <v>3</v>
      </c>
      <c r="H255" s="64">
        <v>8000</v>
      </c>
      <c r="I255" s="64">
        <v>10490</v>
      </c>
      <c r="J255" s="63"/>
      <c r="K255" s="63" t="s">
        <v>1156</v>
      </c>
      <c r="L255" s="63"/>
      <c r="M255" s="63"/>
      <c r="N255" s="8" t="str">
        <f t="shared" si="3"/>
        <v>0</v>
      </c>
      <c r="O255" s="8" t="str">
        <f>INDEX(Кат!$H:$H,MATCH($A255,Кат!$A:$A,0))</f>
        <v>Китай БЕСТ ПАРТНЕР</v>
      </c>
    </row>
    <row r="256" spans="1:15" ht="30" x14ac:dyDescent="0.25">
      <c r="A256" s="62">
        <v>164906</v>
      </c>
      <c r="B256" s="62">
        <v>10730</v>
      </c>
      <c r="C256" s="63" t="s">
        <v>148</v>
      </c>
      <c r="D256" s="63" t="s">
        <v>1157</v>
      </c>
      <c r="E256" s="63"/>
      <c r="F256" s="63"/>
      <c r="G256" s="63" t="s">
        <v>3</v>
      </c>
      <c r="H256" s="64">
        <v>5000</v>
      </c>
      <c r="I256" s="64">
        <v>6390</v>
      </c>
      <c r="J256" s="63" t="s">
        <v>752</v>
      </c>
      <c r="K256" s="63" t="s">
        <v>1156</v>
      </c>
      <c r="L256" s="63"/>
      <c r="M256" s="63"/>
      <c r="N256" s="8" t="str">
        <f t="shared" si="3"/>
        <v>0</v>
      </c>
      <c r="O256" s="8" t="str">
        <f>INDEX(Кат!$H:$H,MATCH($A256,Кат!$A:$A,0))</f>
        <v>Китай БЕСТ ПАРТНЕР</v>
      </c>
    </row>
    <row r="257" spans="1:15" ht="30" x14ac:dyDescent="0.25">
      <c r="A257" s="62">
        <v>164907</v>
      </c>
      <c r="B257" s="62">
        <v>10729</v>
      </c>
      <c r="C257" s="63" t="s">
        <v>147</v>
      </c>
      <c r="D257" s="63" t="s">
        <v>1157</v>
      </c>
      <c r="E257" s="63"/>
      <c r="F257" s="63"/>
      <c r="G257" s="63" t="s">
        <v>3</v>
      </c>
      <c r="H257" s="64">
        <v>4400</v>
      </c>
      <c r="I257" s="64">
        <v>5590</v>
      </c>
      <c r="J257" s="63"/>
      <c r="K257" s="63" t="s">
        <v>1156</v>
      </c>
      <c r="L257" s="63"/>
      <c r="M257" s="63"/>
      <c r="N257" s="8" t="str">
        <f t="shared" si="3"/>
        <v>0</v>
      </c>
      <c r="O257" s="8" t="str">
        <f>INDEX(Кат!$H:$H,MATCH($A257,Кат!$A:$A,0))</f>
        <v>Китай БЕСТ ПАРТНЕР</v>
      </c>
    </row>
    <row r="258" spans="1:15" ht="30" x14ac:dyDescent="0.25">
      <c r="A258" s="62">
        <v>164908</v>
      </c>
      <c r="B258" s="62">
        <v>10712</v>
      </c>
      <c r="C258" s="63" t="s">
        <v>146</v>
      </c>
      <c r="D258" s="63" t="s">
        <v>1157</v>
      </c>
      <c r="E258" s="63"/>
      <c r="F258" s="63"/>
      <c r="G258" s="63" t="s">
        <v>3</v>
      </c>
      <c r="H258" s="64">
        <v>4800</v>
      </c>
      <c r="I258" s="64">
        <v>6090</v>
      </c>
      <c r="J258" s="63"/>
      <c r="K258" s="63" t="s">
        <v>1156</v>
      </c>
      <c r="L258" s="63"/>
      <c r="M258" s="63"/>
      <c r="N258" s="8" t="str">
        <f t="shared" si="3"/>
        <v>0</v>
      </c>
      <c r="O258" s="8" t="str">
        <f>INDEX(Кат!$H:$H,MATCH($A258,Кат!$A:$A,0))</f>
        <v>Китай БЕСТ ПАРТНЕР</v>
      </c>
    </row>
    <row r="259" spans="1:15" ht="30" x14ac:dyDescent="0.25">
      <c r="A259" s="62">
        <v>164909</v>
      </c>
      <c r="B259" s="62">
        <v>10709</v>
      </c>
      <c r="C259" s="63" t="s">
        <v>143</v>
      </c>
      <c r="D259" s="63" t="s">
        <v>1157</v>
      </c>
      <c r="E259" s="63"/>
      <c r="F259" s="63"/>
      <c r="G259" s="63" t="s">
        <v>3</v>
      </c>
      <c r="H259" s="64">
        <v>4400</v>
      </c>
      <c r="I259" s="64">
        <v>5590</v>
      </c>
      <c r="J259" s="63"/>
      <c r="K259" s="63" t="s">
        <v>1156</v>
      </c>
      <c r="L259" s="63"/>
      <c r="M259" s="63"/>
      <c r="N259" s="8" t="str">
        <f t="shared" ref="N259:N322" si="4">_xlfn.CONCAT(K259,IF(L259&lt;&gt;"",_xlfn.CONCAT("ск",L259),""))</f>
        <v>0</v>
      </c>
      <c r="O259" s="8" t="str">
        <f>INDEX(Кат!$H:$H,MATCH($A259,Кат!$A:$A,0))</f>
        <v>Китай БЕСТ ПАРТНЕР</v>
      </c>
    </row>
    <row r="260" spans="1:15" ht="30" x14ac:dyDescent="0.25">
      <c r="A260" s="62">
        <v>164910</v>
      </c>
      <c r="B260" s="62">
        <v>10710</v>
      </c>
      <c r="C260" s="63" t="s">
        <v>144</v>
      </c>
      <c r="D260" s="63" t="s">
        <v>1157</v>
      </c>
      <c r="E260" s="63"/>
      <c r="F260" s="63"/>
      <c r="G260" s="63" t="s">
        <v>3</v>
      </c>
      <c r="H260" s="64">
        <v>7000</v>
      </c>
      <c r="I260" s="64">
        <v>10390</v>
      </c>
      <c r="J260" s="63" t="s">
        <v>942</v>
      </c>
      <c r="K260" s="63" t="s">
        <v>4</v>
      </c>
      <c r="L260" s="63"/>
      <c r="M260" s="63"/>
      <c r="N260" s="8" t="str">
        <f t="shared" si="4"/>
        <v>1</v>
      </c>
      <c r="O260" s="8" t="str">
        <f>INDEX(Кат!$H:$H,MATCH($A260,Кат!$A:$A,0))</f>
        <v>Китай БЕСТ ПАРТНЕР</v>
      </c>
    </row>
    <row r="261" spans="1:15" ht="30" x14ac:dyDescent="0.25">
      <c r="A261" s="62">
        <v>164911</v>
      </c>
      <c r="B261" s="62">
        <v>10711</v>
      </c>
      <c r="C261" s="63" t="s">
        <v>145</v>
      </c>
      <c r="D261" s="63" t="s">
        <v>1157</v>
      </c>
      <c r="E261" s="63"/>
      <c r="F261" s="63"/>
      <c r="G261" s="63" t="s">
        <v>3</v>
      </c>
      <c r="H261" s="64">
        <v>0</v>
      </c>
      <c r="I261" s="64">
        <v>5190</v>
      </c>
      <c r="J261" s="63"/>
      <c r="K261" s="63" t="s">
        <v>1156</v>
      </c>
      <c r="L261" s="63"/>
      <c r="M261" s="63"/>
      <c r="N261" s="8" t="str">
        <f t="shared" si="4"/>
        <v>0</v>
      </c>
      <c r="O261" s="8" t="str">
        <f>INDEX(Кат!$H:$H,MATCH($A261,Кат!$A:$A,0))</f>
        <v>Китай БЕСТ ПАРТНЕР</v>
      </c>
    </row>
    <row r="262" spans="1:15" ht="30" x14ac:dyDescent="0.25">
      <c r="A262" s="62">
        <v>164912</v>
      </c>
      <c r="B262" s="62">
        <v>10706</v>
      </c>
      <c r="C262" s="63" t="s">
        <v>142</v>
      </c>
      <c r="D262" s="63" t="s">
        <v>1157</v>
      </c>
      <c r="E262" s="63"/>
      <c r="F262" s="63"/>
      <c r="G262" s="63" t="s">
        <v>3</v>
      </c>
      <c r="H262" s="64">
        <v>6000</v>
      </c>
      <c r="I262" s="64">
        <v>7690</v>
      </c>
      <c r="J262" s="63" t="s">
        <v>753</v>
      </c>
      <c r="K262" s="63" t="s">
        <v>1156</v>
      </c>
      <c r="L262" s="63"/>
      <c r="M262" s="63"/>
      <c r="N262" s="8" t="str">
        <f t="shared" si="4"/>
        <v>0</v>
      </c>
      <c r="O262" s="8" t="str">
        <f>INDEX(Кат!$H:$H,MATCH($A262,Кат!$A:$A,0))</f>
        <v>Китай БЕСТ ПАРТНЕР</v>
      </c>
    </row>
    <row r="263" spans="1:15" ht="30" x14ac:dyDescent="0.25">
      <c r="A263" s="62">
        <v>164913</v>
      </c>
      <c r="B263" s="62">
        <v>10728</v>
      </c>
      <c r="C263" s="63" t="s">
        <v>377</v>
      </c>
      <c r="D263" s="63" t="s">
        <v>1157</v>
      </c>
      <c r="E263" s="63"/>
      <c r="F263" s="63"/>
      <c r="G263" s="63" t="s">
        <v>3</v>
      </c>
      <c r="H263" s="64">
        <v>5500</v>
      </c>
      <c r="I263" s="64">
        <v>8390</v>
      </c>
      <c r="J263" s="63" t="s">
        <v>939</v>
      </c>
      <c r="K263" s="63" t="s">
        <v>4</v>
      </c>
      <c r="L263" s="63"/>
      <c r="M263" s="63"/>
      <c r="N263" s="8" t="str">
        <f t="shared" si="4"/>
        <v>1</v>
      </c>
      <c r="O263" s="8" t="str">
        <f>INDEX(Кат!$H:$H,MATCH($A263,Кат!$A:$A,0))</f>
        <v>Китай БЕСТ ПАРТНЕР</v>
      </c>
    </row>
    <row r="264" spans="1:15" ht="30" x14ac:dyDescent="0.25">
      <c r="A264" s="62">
        <v>164914</v>
      </c>
      <c r="B264" s="62">
        <v>10708</v>
      </c>
      <c r="C264" s="63" t="s">
        <v>378</v>
      </c>
      <c r="D264" s="63" t="s">
        <v>1157</v>
      </c>
      <c r="E264" s="63"/>
      <c r="F264" s="63"/>
      <c r="G264" s="63" t="s">
        <v>3</v>
      </c>
      <c r="H264" s="64">
        <v>5500</v>
      </c>
      <c r="I264" s="64">
        <v>6990</v>
      </c>
      <c r="J264" s="63" t="s">
        <v>938</v>
      </c>
      <c r="K264" s="63" t="s">
        <v>1156</v>
      </c>
      <c r="L264" s="63"/>
      <c r="M264" s="63"/>
      <c r="N264" s="8" t="str">
        <f t="shared" si="4"/>
        <v>0</v>
      </c>
      <c r="O264" s="8" t="str">
        <f>INDEX(Кат!$H:$H,MATCH($A264,Кат!$A:$A,0))</f>
        <v>Китай БЕСТ ПАРТНЕР</v>
      </c>
    </row>
    <row r="265" spans="1:15" ht="30" x14ac:dyDescent="0.25">
      <c r="A265" s="62">
        <v>165550</v>
      </c>
      <c r="B265" s="62">
        <v>18875</v>
      </c>
      <c r="C265" s="63" t="s">
        <v>328</v>
      </c>
      <c r="D265" s="63" t="s">
        <v>1155</v>
      </c>
      <c r="E265" s="63"/>
      <c r="F265" s="63"/>
      <c r="G265" s="63" t="s">
        <v>3</v>
      </c>
      <c r="H265" s="64">
        <v>1800</v>
      </c>
      <c r="I265" s="64">
        <v>2390</v>
      </c>
      <c r="J265" s="63"/>
      <c r="K265" s="63" t="s">
        <v>1156</v>
      </c>
      <c r="L265" s="63"/>
      <c r="M265" s="63"/>
      <c r="N265" s="8" t="str">
        <f t="shared" si="4"/>
        <v>0</v>
      </c>
      <c r="O265" s="8" t="str">
        <f>INDEX(Кат!$H:$H,MATCH($A265,Кат!$A:$A,0))</f>
        <v>Китай БЕСТ ПАРТНЕР</v>
      </c>
    </row>
    <row r="266" spans="1:15" ht="30" x14ac:dyDescent="0.25">
      <c r="A266" s="62">
        <v>165551</v>
      </c>
      <c r="B266" s="62">
        <v>18876</v>
      </c>
      <c r="C266" s="63" t="s">
        <v>327</v>
      </c>
      <c r="D266" s="63" t="s">
        <v>1155</v>
      </c>
      <c r="E266" s="63"/>
      <c r="F266" s="63"/>
      <c r="G266" s="63" t="s">
        <v>3</v>
      </c>
      <c r="H266" s="64">
        <v>0</v>
      </c>
      <c r="I266" s="64">
        <v>2590</v>
      </c>
      <c r="J266" s="63"/>
      <c r="K266" s="63" t="s">
        <v>1156</v>
      </c>
      <c r="L266" s="63"/>
      <c r="M266" s="63"/>
      <c r="N266" s="8" t="str">
        <f t="shared" si="4"/>
        <v>0</v>
      </c>
      <c r="O266" s="8" t="str">
        <f>INDEX(Кат!$H:$H,MATCH($A266,Кат!$A:$A,0))</f>
        <v>Китай БЕСТ ПАРТНЕР</v>
      </c>
    </row>
    <row r="267" spans="1:15" ht="30" x14ac:dyDescent="0.25">
      <c r="A267" s="62">
        <v>166025</v>
      </c>
      <c r="B267" s="62">
        <v>20183</v>
      </c>
      <c r="C267" s="63" t="s">
        <v>176</v>
      </c>
      <c r="D267" s="63" t="s">
        <v>1155</v>
      </c>
      <c r="E267" s="63"/>
      <c r="F267" s="63"/>
      <c r="G267" s="63" t="s">
        <v>3</v>
      </c>
      <c r="H267" s="64">
        <v>1500</v>
      </c>
      <c r="I267" s="64">
        <v>1990</v>
      </c>
      <c r="J267" s="63"/>
      <c r="K267" s="63" t="s">
        <v>4</v>
      </c>
      <c r="L267" s="63"/>
      <c r="M267" s="63"/>
      <c r="N267" s="8" t="str">
        <f t="shared" si="4"/>
        <v>1</v>
      </c>
      <c r="O267" s="8" t="str">
        <f>INDEX(Кат!$H:$H,MATCH($A267,Кат!$A:$A,0))</f>
        <v>Китай БЕСТ ПАРТНЕР</v>
      </c>
    </row>
    <row r="268" spans="1:15" ht="30" x14ac:dyDescent="0.25">
      <c r="A268" s="62">
        <v>169750</v>
      </c>
      <c r="B268" s="62">
        <v>9953</v>
      </c>
      <c r="C268" s="63" t="s">
        <v>561</v>
      </c>
      <c r="D268" s="63" t="s">
        <v>1155</v>
      </c>
      <c r="E268" s="63" t="s">
        <v>562</v>
      </c>
      <c r="F268" s="63"/>
      <c r="G268" s="63" t="s">
        <v>3</v>
      </c>
      <c r="H268" s="64">
        <v>200</v>
      </c>
      <c r="I268" s="64">
        <v>419</v>
      </c>
      <c r="J268" s="63"/>
      <c r="K268" s="63" t="s">
        <v>1156</v>
      </c>
      <c r="L268" s="63"/>
      <c r="M268" s="63"/>
      <c r="N268" s="8" t="str">
        <f t="shared" si="4"/>
        <v>0</v>
      </c>
      <c r="O268" s="8" t="str">
        <f>INDEX(Кат!$H:$H,MATCH($A268,Кат!$A:$A,0))</f>
        <v>Китай БЕСТ ПАРТНЕР</v>
      </c>
    </row>
    <row r="269" spans="1:15" ht="30" x14ac:dyDescent="0.25">
      <c r="A269" s="62">
        <v>169753</v>
      </c>
      <c r="B269" s="62">
        <v>9957</v>
      </c>
      <c r="C269" s="63" t="s">
        <v>563</v>
      </c>
      <c r="D269" s="63" t="s">
        <v>1155</v>
      </c>
      <c r="E269" s="63" t="s">
        <v>564</v>
      </c>
      <c r="F269" s="63"/>
      <c r="G269" s="63" t="s">
        <v>3</v>
      </c>
      <c r="H269" s="64">
        <v>200</v>
      </c>
      <c r="I269" s="64">
        <v>419</v>
      </c>
      <c r="J269" s="63"/>
      <c r="K269" s="63" t="s">
        <v>1156</v>
      </c>
      <c r="L269" s="63"/>
      <c r="M269" s="63"/>
      <c r="N269" s="8" t="str">
        <f t="shared" si="4"/>
        <v>0</v>
      </c>
      <c r="O269" s="8" t="str">
        <f>INDEX(Кат!$H:$H,MATCH($A269,Кат!$A:$A,0))</f>
        <v>Китай БЕСТ ПАРТНЕР</v>
      </c>
    </row>
    <row r="270" spans="1:15" ht="30" x14ac:dyDescent="0.25">
      <c r="A270" s="62">
        <v>169754</v>
      </c>
      <c r="B270" s="62">
        <v>9960</v>
      </c>
      <c r="C270" s="63" t="s">
        <v>563</v>
      </c>
      <c r="D270" s="63" t="s">
        <v>1155</v>
      </c>
      <c r="E270" s="63" t="s">
        <v>566</v>
      </c>
      <c r="F270" s="63"/>
      <c r="G270" s="63" t="s">
        <v>3</v>
      </c>
      <c r="H270" s="64">
        <v>200</v>
      </c>
      <c r="I270" s="64">
        <v>419</v>
      </c>
      <c r="J270" s="63"/>
      <c r="K270" s="63" t="s">
        <v>1156</v>
      </c>
      <c r="L270" s="63"/>
      <c r="M270" s="63"/>
      <c r="N270" s="8" t="str">
        <f t="shared" si="4"/>
        <v>0</v>
      </c>
      <c r="O270" s="8" t="str">
        <f>INDEX(Кат!$H:$H,MATCH($A270,Кат!$A:$A,0))</f>
        <v>Китай БЕСТ ПАРТНЕР</v>
      </c>
    </row>
    <row r="271" spans="1:15" ht="30" x14ac:dyDescent="0.25">
      <c r="A271" s="62">
        <v>169756</v>
      </c>
      <c r="B271" s="62">
        <v>9956</v>
      </c>
      <c r="C271" s="63" t="s">
        <v>559</v>
      </c>
      <c r="D271" s="63" t="s">
        <v>1155</v>
      </c>
      <c r="E271" s="63" t="s">
        <v>564</v>
      </c>
      <c r="F271" s="63"/>
      <c r="G271" s="63" t="s">
        <v>3</v>
      </c>
      <c r="H271" s="64">
        <v>200</v>
      </c>
      <c r="I271" s="64">
        <v>419</v>
      </c>
      <c r="J271" s="63"/>
      <c r="K271" s="63" t="s">
        <v>1156</v>
      </c>
      <c r="L271" s="63"/>
      <c r="M271" s="63"/>
      <c r="N271" s="8" t="str">
        <f t="shared" si="4"/>
        <v>0</v>
      </c>
      <c r="O271" s="8" t="str">
        <f>INDEX(Кат!$H:$H,MATCH($A271,Кат!$A:$A,0))</f>
        <v>Китай БЕСТ ПАРТНЕР</v>
      </c>
    </row>
    <row r="272" spans="1:15" ht="30" x14ac:dyDescent="0.25">
      <c r="A272" s="62">
        <v>169759</v>
      </c>
      <c r="B272" s="62">
        <v>9958</v>
      </c>
      <c r="C272" s="63" t="s">
        <v>565</v>
      </c>
      <c r="D272" s="63" t="s">
        <v>1155</v>
      </c>
      <c r="E272" s="63" t="s">
        <v>564</v>
      </c>
      <c r="F272" s="63"/>
      <c r="G272" s="63" t="s">
        <v>3</v>
      </c>
      <c r="H272" s="64">
        <v>100</v>
      </c>
      <c r="I272" s="64">
        <v>319</v>
      </c>
      <c r="J272" s="63"/>
      <c r="K272" s="63" t="s">
        <v>1156</v>
      </c>
      <c r="L272" s="63"/>
      <c r="M272" s="63"/>
      <c r="N272" s="8" t="str">
        <f t="shared" si="4"/>
        <v>0</v>
      </c>
      <c r="O272" s="8" t="str">
        <f>INDEX(Кат!$H:$H,MATCH($A272,Кат!$A:$A,0))</f>
        <v>Китай БЕСТ ПАРТНЕР</v>
      </c>
    </row>
    <row r="273" spans="1:15" ht="45" x14ac:dyDescent="0.25">
      <c r="A273" s="62">
        <v>170592</v>
      </c>
      <c r="B273" s="62">
        <v>17620</v>
      </c>
      <c r="C273" s="63" t="s">
        <v>158</v>
      </c>
      <c r="D273" s="63" t="s">
        <v>1155</v>
      </c>
      <c r="E273" s="63"/>
      <c r="F273" s="63"/>
      <c r="G273" s="63" t="s">
        <v>3</v>
      </c>
      <c r="H273" s="64">
        <v>1800</v>
      </c>
      <c r="I273" s="64">
        <v>2490</v>
      </c>
      <c r="J273" s="63" t="s">
        <v>861</v>
      </c>
      <c r="K273" s="63" t="s">
        <v>4</v>
      </c>
      <c r="L273" s="63"/>
      <c r="M273" s="63"/>
      <c r="N273" s="8" t="str">
        <f t="shared" si="4"/>
        <v>1</v>
      </c>
      <c r="O273" s="8" t="str">
        <f>INDEX(Кат!$H:$H,MATCH($A273,Кат!$A:$A,0))</f>
        <v>Китай БЕСТ ПАРТНЕР</v>
      </c>
    </row>
    <row r="274" spans="1:15" ht="30" x14ac:dyDescent="0.25">
      <c r="A274" s="62">
        <v>187491</v>
      </c>
      <c r="B274" s="62">
        <v>4982</v>
      </c>
      <c r="C274" s="63" t="s">
        <v>423</v>
      </c>
      <c r="D274" s="63" t="s">
        <v>1155</v>
      </c>
      <c r="E274" s="63"/>
      <c r="F274" s="63"/>
      <c r="G274" s="63" t="s">
        <v>3</v>
      </c>
      <c r="H274" s="64">
        <v>9000</v>
      </c>
      <c r="I274" s="64">
        <v>11790</v>
      </c>
      <c r="J274" s="63"/>
      <c r="K274" s="63" t="s">
        <v>1156</v>
      </c>
      <c r="L274" s="63"/>
      <c r="M274" s="63"/>
      <c r="N274" s="8" t="str">
        <f t="shared" si="4"/>
        <v>0</v>
      </c>
      <c r="O274" s="8" t="str">
        <f>INDEX(Кат!$H:$H,MATCH($A274,Кат!$A:$A,0))</f>
        <v>Китай БЕСТ ПАРТНЕР</v>
      </c>
    </row>
    <row r="275" spans="1:15" ht="30" x14ac:dyDescent="0.25">
      <c r="A275" s="62">
        <v>187492</v>
      </c>
      <c r="B275" s="62">
        <v>4956</v>
      </c>
      <c r="C275" s="63" t="s">
        <v>424</v>
      </c>
      <c r="D275" s="63" t="s">
        <v>1155</v>
      </c>
      <c r="E275" s="63"/>
      <c r="F275" s="63"/>
      <c r="G275" s="63" t="s">
        <v>3</v>
      </c>
      <c r="H275" s="64">
        <v>9000</v>
      </c>
      <c r="I275" s="64">
        <v>11790</v>
      </c>
      <c r="J275" s="63"/>
      <c r="K275" s="63" t="s">
        <v>1156</v>
      </c>
      <c r="L275" s="63"/>
      <c r="M275" s="63"/>
      <c r="N275" s="8" t="str">
        <f t="shared" si="4"/>
        <v>0</v>
      </c>
      <c r="O275" s="8" t="str">
        <f>INDEX(Кат!$H:$H,MATCH($A275,Кат!$A:$A,0))</f>
        <v>Китай БЕСТ ПАРТНЕР</v>
      </c>
    </row>
    <row r="276" spans="1:15" ht="30" x14ac:dyDescent="0.25">
      <c r="A276" s="62">
        <v>187493</v>
      </c>
      <c r="B276" s="62">
        <v>5097</v>
      </c>
      <c r="C276" s="63" t="s">
        <v>419</v>
      </c>
      <c r="D276" s="63" t="s">
        <v>1155</v>
      </c>
      <c r="E276" s="63"/>
      <c r="F276" s="63"/>
      <c r="G276" s="63" t="s">
        <v>3</v>
      </c>
      <c r="H276" s="64">
        <v>0</v>
      </c>
      <c r="I276" s="64">
        <v>5190</v>
      </c>
      <c r="J276" s="63"/>
      <c r="K276" s="63" t="s">
        <v>1156</v>
      </c>
      <c r="L276" s="63"/>
      <c r="M276" s="63"/>
      <c r="N276" s="8" t="str">
        <f t="shared" si="4"/>
        <v>0</v>
      </c>
      <c r="O276" s="8" t="str">
        <f>INDEX(Кат!$H:$H,MATCH($A276,Кат!$A:$A,0))</f>
        <v>Китай БЕСТ ПАРТНЕР</v>
      </c>
    </row>
    <row r="277" spans="1:15" ht="30" x14ac:dyDescent="0.25">
      <c r="A277" s="62">
        <v>117032</v>
      </c>
      <c r="B277" s="62">
        <v>5102</v>
      </c>
      <c r="C277" s="63" t="s">
        <v>416</v>
      </c>
      <c r="D277" s="63" t="s">
        <v>1155</v>
      </c>
      <c r="E277" s="63"/>
      <c r="F277" s="63"/>
      <c r="G277" s="63" t="s">
        <v>3</v>
      </c>
      <c r="H277" s="64">
        <v>3200</v>
      </c>
      <c r="I277" s="64">
        <v>4090</v>
      </c>
      <c r="J277" s="63"/>
      <c r="K277" s="63" t="s">
        <v>1156</v>
      </c>
      <c r="L277" s="63"/>
      <c r="M277" s="63" t="s">
        <v>1155</v>
      </c>
      <c r="N277" s="8" t="str">
        <f t="shared" si="4"/>
        <v>0</v>
      </c>
      <c r="O277" s="8" t="str">
        <f>INDEX(Кат!$H:$H,MATCH($A277,Кат!$A:$A,0))</f>
        <v>Китай БЕСТ ПАРТНЕР</v>
      </c>
    </row>
    <row r="278" spans="1:15" ht="30" x14ac:dyDescent="0.25">
      <c r="A278" s="62">
        <v>187494</v>
      </c>
      <c r="B278" s="62">
        <v>4931</v>
      </c>
      <c r="C278" s="63" t="s">
        <v>427</v>
      </c>
      <c r="D278" s="63" t="s">
        <v>1155</v>
      </c>
      <c r="E278" s="63"/>
      <c r="F278" s="63"/>
      <c r="G278" s="63" t="s">
        <v>3</v>
      </c>
      <c r="H278" s="64">
        <v>0</v>
      </c>
      <c r="I278" s="64">
        <v>4890</v>
      </c>
      <c r="J278" s="63"/>
      <c r="K278" s="63" t="s">
        <v>1156</v>
      </c>
      <c r="L278" s="63"/>
      <c r="M278" s="63"/>
      <c r="N278" s="8" t="str">
        <f t="shared" si="4"/>
        <v>0</v>
      </c>
      <c r="O278" s="8" t="str">
        <f>INDEX(Кат!$H:$H,MATCH($A278,Кат!$A:$A,0))</f>
        <v>Китай БЕСТ ПАРТНЕР</v>
      </c>
    </row>
    <row r="279" spans="1:15" ht="30" x14ac:dyDescent="0.25">
      <c r="A279" s="62">
        <v>187495</v>
      </c>
      <c r="B279" s="62">
        <v>4921</v>
      </c>
      <c r="C279" s="63" t="s">
        <v>428</v>
      </c>
      <c r="D279" s="63" t="s">
        <v>1155</v>
      </c>
      <c r="E279" s="63" t="s">
        <v>1172</v>
      </c>
      <c r="F279" s="63"/>
      <c r="G279" s="63" t="s">
        <v>3</v>
      </c>
      <c r="H279" s="64">
        <v>3500</v>
      </c>
      <c r="I279" s="64">
        <v>4490</v>
      </c>
      <c r="J279" s="63"/>
      <c r="K279" s="63" t="s">
        <v>1156</v>
      </c>
      <c r="L279" s="63"/>
      <c r="M279" s="63"/>
      <c r="N279" s="8" t="str">
        <f t="shared" si="4"/>
        <v>0</v>
      </c>
      <c r="O279" s="8" t="str">
        <f>INDEX(Кат!$H:$H,MATCH($A279,Кат!$A:$A,0))</f>
        <v>Китай БЕСТ ПАРТНЕР</v>
      </c>
    </row>
    <row r="280" spans="1:15" ht="30" x14ac:dyDescent="0.25">
      <c r="A280" s="62">
        <v>187496</v>
      </c>
      <c r="B280" s="62">
        <v>5098</v>
      </c>
      <c r="C280" s="63" t="s">
        <v>418</v>
      </c>
      <c r="D280" s="63" t="s">
        <v>1155</v>
      </c>
      <c r="E280" s="63"/>
      <c r="F280" s="63"/>
      <c r="G280" s="63" t="s">
        <v>3</v>
      </c>
      <c r="H280" s="64">
        <v>1600</v>
      </c>
      <c r="I280" s="64">
        <v>2090</v>
      </c>
      <c r="J280" s="63"/>
      <c r="K280" s="63" t="s">
        <v>1156</v>
      </c>
      <c r="L280" s="63"/>
      <c r="M280" s="63"/>
      <c r="N280" s="8" t="str">
        <f t="shared" si="4"/>
        <v>0</v>
      </c>
      <c r="O280" s="8" t="str">
        <f>INDEX(Кат!$H:$H,MATCH($A280,Кат!$A:$A,0))</f>
        <v>Китай БЕСТ ПАРТНЕР</v>
      </c>
    </row>
    <row r="281" spans="1:15" ht="30" x14ac:dyDescent="0.25">
      <c r="A281" s="62">
        <v>187497</v>
      </c>
      <c r="B281" s="62">
        <v>5099</v>
      </c>
      <c r="C281" s="63" t="s">
        <v>417</v>
      </c>
      <c r="D281" s="63" t="s">
        <v>1155</v>
      </c>
      <c r="E281" s="63" t="s">
        <v>1173</v>
      </c>
      <c r="F281" s="63"/>
      <c r="G281" s="63" t="s">
        <v>3</v>
      </c>
      <c r="H281" s="64">
        <v>4000</v>
      </c>
      <c r="I281" s="64">
        <v>5090</v>
      </c>
      <c r="J281" s="63"/>
      <c r="K281" s="63" t="s">
        <v>1156</v>
      </c>
      <c r="L281" s="63"/>
      <c r="M281" s="63"/>
      <c r="N281" s="8" t="str">
        <f t="shared" si="4"/>
        <v>0</v>
      </c>
      <c r="O281" s="8" t="str">
        <f>INDEX(Кат!$H:$H,MATCH($A281,Кат!$A:$A,0))</f>
        <v>Китай БЕСТ ПАРТНЕР</v>
      </c>
    </row>
    <row r="282" spans="1:15" ht="30" x14ac:dyDescent="0.25">
      <c r="A282" s="62">
        <v>187498</v>
      </c>
      <c r="B282" s="62">
        <v>4941</v>
      </c>
      <c r="C282" s="63" t="s">
        <v>426</v>
      </c>
      <c r="D282" s="63" t="s">
        <v>1155</v>
      </c>
      <c r="E282" s="63"/>
      <c r="F282" s="63"/>
      <c r="G282" s="63" t="s">
        <v>3</v>
      </c>
      <c r="H282" s="64">
        <v>4400</v>
      </c>
      <c r="I282" s="64">
        <v>5590</v>
      </c>
      <c r="J282" s="63"/>
      <c r="K282" s="63" t="s">
        <v>1156</v>
      </c>
      <c r="L282" s="63"/>
      <c r="M282" s="63"/>
      <c r="N282" s="8" t="str">
        <f t="shared" si="4"/>
        <v>0</v>
      </c>
      <c r="O282" s="8" t="str">
        <f>INDEX(Кат!$H:$H,MATCH($A282,Кат!$A:$A,0))</f>
        <v>Китай БЕСТ ПАРТНЕР</v>
      </c>
    </row>
    <row r="283" spans="1:15" ht="30" x14ac:dyDescent="0.25">
      <c r="A283" s="62">
        <v>187499</v>
      </c>
      <c r="B283" s="62">
        <v>4942</v>
      </c>
      <c r="C283" s="63" t="s">
        <v>425</v>
      </c>
      <c r="D283" s="63" t="s">
        <v>1155</v>
      </c>
      <c r="E283" s="63"/>
      <c r="F283" s="63"/>
      <c r="G283" s="63" t="s">
        <v>3</v>
      </c>
      <c r="H283" s="64">
        <v>0</v>
      </c>
      <c r="I283" s="64">
        <v>6390</v>
      </c>
      <c r="J283" s="63"/>
      <c r="K283" s="63" t="s">
        <v>1156</v>
      </c>
      <c r="L283" s="63"/>
      <c r="M283" s="63"/>
      <c r="N283" s="8" t="str">
        <f t="shared" si="4"/>
        <v>0</v>
      </c>
      <c r="O283" s="8" t="str">
        <f>INDEX(Кат!$H:$H,MATCH($A283,Кат!$A:$A,0))</f>
        <v>Китай БЕСТ ПАРТНЕР</v>
      </c>
    </row>
    <row r="284" spans="1:15" ht="30" x14ac:dyDescent="0.25">
      <c r="A284" s="62">
        <v>187500</v>
      </c>
      <c r="B284" s="62">
        <v>11666</v>
      </c>
      <c r="C284" s="63" t="s">
        <v>366</v>
      </c>
      <c r="D284" s="63" t="s">
        <v>1155</v>
      </c>
      <c r="E284" s="63" t="s">
        <v>572</v>
      </c>
      <c r="F284" s="63"/>
      <c r="G284" s="63" t="s">
        <v>3</v>
      </c>
      <c r="H284" s="64">
        <v>0</v>
      </c>
      <c r="I284" s="64">
        <v>6890</v>
      </c>
      <c r="J284" s="63"/>
      <c r="K284" s="63" t="s">
        <v>1156</v>
      </c>
      <c r="L284" s="63"/>
      <c r="M284" s="63"/>
      <c r="N284" s="8" t="str">
        <f t="shared" si="4"/>
        <v>0</v>
      </c>
      <c r="O284" s="8" t="str">
        <f>INDEX(Кат!$H:$H,MATCH($A284,Кат!$A:$A,0))</f>
        <v>Китай БЕСТ ПАРТНЕР</v>
      </c>
    </row>
    <row r="285" spans="1:15" ht="30" x14ac:dyDescent="0.25">
      <c r="A285" s="62">
        <v>187503</v>
      </c>
      <c r="B285" s="62">
        <v>21592</v>
      </c>
      <c r="C285" s="63" t="s">
        <v>177</v>
      </c>
      <c r="D285" s="63" t="s">
        <v>1155</v>
      </c>
      <c r="E285" s="63"/>
      <c r="F285" s="63"/>
      <c r="G285" s="63" t="s">
        <v>3</v>
      </c>
      <c r="H285" s="64">
        <v>0</v>
      </c>
      <c r="I285" s="64">
        <v>4890</v>
      </c>
      <c r="J285" s="63"/>
      <c r="K285" s="63" t="s">
        <v>1156</v>
      </c>
      <c r="L285" s="63"/>
      <c r="M285" s="63"/>
      <c r="N285" s="8" t="str">
        <f t="shared" si="4"/>
        <v>0</v>
      </c>
      <c r="O285" s="8" t="str">
        <f>INDEX(Кат!$H:$H,MATCH($A285,Кат!$A:$A,0))</f>
        <v>Китай БЕСТ ПАРТНЕР</v>
      </c>
    </row>
    <row r="286" spans="1:15" ht="45" x14ac:dyDescent="0.25">
      <c r="A286" s="62">
        <v>193597</v>
      </c>
      <c r="B286" s="62">
        <v>5162</v>
      </c>
      <c r="C286" s="63" t="s">
        <v>51</v>
      </c>
      <c r="D286" s="63" t="s">
        <v>1155</v>
      </c>
      <c r="E286" s="63"/>
      <c r="F286" s="63"/>
      <c r="G286" s="63" t="s">
        <v>3</v>
      </c>
      <c r="H286" s="64">
        <v>650</v>
      </c>
      <c r="I286" s="64">
        <v>989</v>
      </c>
      <c r="J286" s="63" t="s">
        <v>1433</v>
      </c>
      <c r="K286" s="63" t="s">
        <v>4</v>
      </c>
      <c r="L286" s="63"/>
      <c r="M286" s="63"/>
      <c r="N286" s="8" t="str">
        <f t="shared" si="4"/>
        <v>1</v>
      </c>
      <c r="O286" s="8" t="str">
        <f>INDEX(Кат!$H:$H,MATCH($A286,Кат!$A:$A,0))</f>
        <v>Китай БЕСТ ПАРТНЕР</v>
      </c>
    </row>
    <row r="287" spans="1:15" ht="45" x14ac:dyDescent="0.25">
      <c r="A287" s="62">
        <v>193605</v>
      </c>
      <c r="B287" s="62">
        <v>5160</v>
      </c>
      <c r="C287" s="63" t="s">
        <v>50</v>
      </c>
      <c r="D287" s="63" t="s">
        <v>1155</v>
      </c>
      <c r="E287" s="63" t="s">
        <v>493</v>
      </c>
      <c r="F287" s="63"/>
      <c r="G287" s="63" t="s">
        <v>3</v>
      </c>
      <c r="H287" s="64">
        <v>550</v>
      </c>
      <c r="I287" s="64">
        <v>949</v>
      </c>
      <c r="J287" s="63" t="s">
        <v>1363</v>
      </c>
      <c r="K287" s="63" t="s">
        <v>4</v>
      </c>
      <c r="L287" s="63"/>
      <c r="M287" s="63"/>
      <c r="N287" s="8" t="str">
        <f t="shared" si="4"/>
        <v>1</v>
      </c>
      <c r="O287" s="8" t="str">
        <f>INDEX(Кат!$H:$H,MATCH($A287,Кат!$A:$A,0))</f>
        <v>Китай БЕСТ ПАРТНЕР</v>
      </c>
    </row>
    <row r="288" spans="1:15" ht="45" x14ac:dyDescent="0.25">
      <c r="A288" s="62">
        <v>193611</v>
      </c>
      <c r="B288" s="62">
        <v>5161</v>
      </c>
      <c r="C288" s="63" t="s">
        <v>494</v>
      </c>
      <c r="D288" s="63" t="s">
        <v>1155</v>
      </c>
      <c r="E288" s="63" t="s">
        <v>495</v>
      </c>
      <c r="F288" s="63"/>
      <c r="G288" s="63" t="s">
        <v>3</v>
      </c>
      <c r="H288" s="64">
        <v>550</v>
      </c>
      <c r="I288" s="64">
        <v>949</v>
      </c>
      <c r="J288" s="63" t="s">
        <v>1434</v>
      </c>
      <c r="K288" s="63" t="s">
        <v>4</v>
      </c>
      <c r="L288" s="63"/>
      <c r="M288" s="63"/>
      <c r="N288" s="8" t="str">
        <f t="shared" si="4"/>
        <v>1</v>
      </c>
      <c r="O288" s="8" t="str">
        <f>INDEX(Кат!$H:$H,MATCH($A288,Кат!$A:$A,0))</f>
        <v>Китай БЕСТ ПАРТНЕР</v>
      </c>
    </row>
    <row r="289" spans="1:15" ht="45" x14ac:dyDescent="0.25">
      <c r="A289" s="62">
        <v>194056</v>
      </c>
      <c r="B289" s="62">
        <v>18496</v>
      </c>
      <c r="C289" s="63" t="s">
        <v>165</v>
      </c>
      <c r="D289" s="63" t="s">
        <v>1155</v>
      </c>
      <c r="E289" s="63"/>
      <c r="F289" s="63"/>
      <c r="G289" s="63" t="s">
        <v>3</v>
      </c>
      <c r="H289" s="64">
        <v>350</v>
      </c>
      <c r="I289" s="64">
        <v>719</v>
      </c>
      <c r="J289" s="63" t="s">
        <v>913</v>
      </c>
      <c r="K289" s="63" t="s">
        <v>4</v>
      </c>
      <c r="L289" s="63" t="s">
        <v>4</v>
      </c>
      <c r="M289" s="63"/>
      <c r="N289" s="8" t="str">
        <f t="shared" si="4"/>
        <v>1ск1</v>
      </c>
      <c r="O289" s="8" t="str">
        <f>INDEX(Кат!$H:$H,MATCH($A289,Кат!$A:$A,0))</f>
        <v>Китай БЕСТ ПАРТНЕР</v>
      </c>
    </row>
    <row r="290" spans="1:15" ht="45" x14ac:dyDescent="0.25">
      <c r="A290" s="62">
        <v>194061</v>
      </c>
      <c r="B290" s="62">
        <v>24665</v>
      </c>
      <c r="C290" s="63" t="s">
        <v>253</v>
      </c>
      <c r="D290" s="63" t="s">
        <v>1155</v>
      </c>
      <c r="E290" s="63"/>
      <c r="F290" s="63"/>
      <c r="G290" s="63" t="s">
        <v>3</v>
      </c>
      <c r="H290" s="64">
        <v>350</v>
      </c>
      <c r="I290" s="64">
        <v>629</v>
      </c>
      <c r="J290" s="63" t="s">
        <v>916</v>
      </c>
      <c r="K290" s="63" t="s">
        <v>4</v>
      </c>
      <c r="L290" s="63" t="s">
        <v>4</v>
      </c>
      <c r="M290" s="63"/>
      <c r="N290" s="8" t="str">
        <f t="shared" si="4"/>
        <v>1ск1</v>
      </c>
      <c r="O290" s="8" t="str">
        <f>INDEX(Кат!$H:$H,MATCH($A290,Кат!$A:$A,0))</f>
        <v>Китай БЕСТ ПАРТНЕР</v>
      </c>
    </row>
    <row r="291" spans="1:15" ht="45" x14ac:dyDescent="0.25">
      <c r="A291" s="62">
        <v>194063</v>
      </c>
      <c r="B291" s="62">
        <v>18329</v>
      </c>
      <c r="C291" s="63" t="s">
        <v>163</v>
      </c>
      <c r="D291" s="63" t="s">
        <v>1155</v>
      </c>
      <c r="E291" s="63"/>
      <c r="F291" s="63"/>
      <c r="G291" s="63" t="s">
        <v>3</v>
      </c>
      <c r="H291" s="64">
        <v>350</v>
      </c>
      <c r="I291" s="64">
        <v>719</v>
      </c>
      <c r="J291" s="63" t="s">
        <v>912</v>
      </c>
      <c r="K291" s="63" t="s">
        <v>4</v>
      </c>
      <c r="L291" s="63" t="s">
        <v>4</v>
      </c>
      <c r="M291" s="63"/>
      <c r="N291" s="8" t="str">
        <f t="shared" si="4"/>
        <v>1ск1</v>
      </c>
      <c r="O291" s="8" t="str">
        <f>INDEX(Кат!$H:$H,MATCH($A291,Кат!$A:$A,0))</f>
        <v>Китай БЕСТ ПАРТНЕР</v>
      </c>
    </row>
    <row r="292" spans="1:15" ht="45" x14ac:dyDescent="0.25">
      <c r="A292" s="62">
        <v>194064</v>
      </c>
      <c r="B292" s="62">
        <v>33405</v>
      </c>
      <c r="C292" s="63" t="s">
        <v>271</v>
      </c>
      <c r="D292" s="63" t="s">
        <v>1155</v>
      </c>
      <c r="E292" s="63"/>
      <c r="F292" s="63"/>
      <c r="G292" s="63" t="s">
        <v>3</v>
      </c>
      <c r="H292" s="64">
        <v>350</v>
      </c>
      <c r="I292" s="64">
        <v>989</v>
      </c>
      <c r="J292" s="63" t="s">
        <v>917</v>
      </c>
      <c r="K292" s="63" t="s">
        <v>4</v>
      </c>
      <c r="L292" s="63" t="s">
        <v>4</v>
      </c>
      <c r="M292" s="63"/>
      <c r="N292" s="8" t="str">
        <f t="shared" si="4"/>
        <v>1ск1</v>
      </c>
      <c r="O292" s="8" t="str">
        <f>INDEX(Кат!$H:$H,MATCH($A292,Кат!$A:$A,0))</f>
        <v>Китай БЕСТ ПАРТНЕР</v>
      </c>
    </row>
    <row r="293" spans="1:15" ht="60" x14ac:dyDescent="0.25">
      <c r="A293" s="62">
        <v>194073</v>
      </c>
      <c r="B293" s="62">
        <v>18967</v>
      </c>
      <c r="C293" s="63" t="s">
        <v>324</v>
      </c>
      <c r="D293" s="63" t="s">
        <v>1155</v>
      </c>
      <c r="E293" s="63"/>
      <c r="F293" s="63"/>
      <c r="G293" s="63" t="s">
        <v>3</v>
      </c>
      <c r="H293" s="64">
        <v>350</v>
      </c>
      <c r="I293" s="64">
        <v>629</v>
      </c>
      <c r="J293" s="63" t="s">
        <v>914</v>
      </c>
      <c r="K293" s="63" t="s">
        <v>4</v>
      </c>
      <c r="L293" s="63" t="s">
        <v>4</v>
      </c>
      <c r="M293" s="63"/>
      <c r="N293" s="8" t="str">
        <f t="shared" si="4"/>
        <v>1ск1</v>
      </c>
      <c r="O293" s="8" t="str">
        <f>INDEX(Кат!$H:$H,MATCH($A293,Кат!$A:$A,0))</f>
        <v>Китай БЕСТ ПАРТНЕР</v>
      </c>
    </row>
    <row r="294" spans="1:15" ht="60" x14ac:dyDescent="0.25">
      <c r="A294" s="62">
        <v>194074</v>
      </c>
      <c r="B294" s="62">
        <v>18971</v>
      </c>
      <c r="C294" s="63" t="s">
        <v>323</v>
      </c>
      <c r="D294" s="63" t="s">
        <v>1155</v>
      </c>
      <c r="E294" s="63"/>
      <c r="F294" s="63"/>
      <c r="G294" s="63" t="s">
        <v>3</v>
      </c>
      <c r="H294" s="64">
        <v>350</v>
      </c>
      <c r="I294" s="64">
        <v>669</v>
      </c>
      <c r="J294" s="63" t="s">
        <v>915</v>
      </c>
      <c r="K294" s="63" t="s">
        <v>4</v>
      </c>
      <c r="L294" s="63" t="s">
        <v>4</v>
      </c>
      <c r="M294" s="63"/>
      <c r="N294" s="8" t="str">
        <f t="shared" si="4"/>
        <v>1ск1</v>
      </c>
      <c r="O294" s="8" t="str">
        <f>INDEX(Кат!$H:$H,MATCH($A294,Кат!$A:$A,0))</f>
        <v>Китай БЕСТ ПАРТНЕР</v>
      </c>
    </row>
    <row r="295" spans="1:15" ht="45" x14ac:dyDescent="0.25">
      <c r="A295" s="62">
        <v>194077</v>
      </c>
      <c r="B295" s="62">
        <v>19344</v>
      </c>
      <c r="C295" s="63" t="s">
        <v>315</v>
      </c>
      <c r="D295" s="63" t="s">
        <v>1155</v>
      </c>
      <c r="E295" s="63" t="s">
        <v>1062</v>
      </c>
      <c r="F295" s="63" t="s">
        <v>288</v>
      </c>
      <c r="G295" s="63" t="s">
        <v>3</v>
      </c>
      <c r="H295" s="64">
        <v>500</v>
      </c>
      <c r="I295" s="64">
        <v>649</v>
      </c>
      <c r="J295" s="63" t="s">
        <v>1452</v>
      </c>
      <c r="K295" s="63" t="s">
        <v>4</v>
      </c>
      <c r="L295" s="63"/>
      <c r="M295" s="63"/>
      <c r="N295" s="8" t="str">
        <f t="shared" si="4"/>
        <v>1</v>
      </c>
      <c r="O295" s="8" t="str">
        <f>INDEX(Кат!$H:$H,MATCH($A295,Кат!$A:$A,0))</f>
        <v>Китай БЕСТ ПАРТНЕР</v>
      </c>
    </row>
    <row r="296" spans="1:15" ht="45" x14ac:dyDescent="0.25">
      <c r="A296" s="62">
        <v>194091</v>
      </c>
      <c r="B296" s="62">
        <v>18188</v>
      </c>
      <c r="C296" s="63" t="s">
        <v>593</v>
      </c>
      <c r="D296" s="63" t="s">
        <v>1155</v>
      </c>
      <c r="E296" s="63" t="s">
        <v>1057</v>
      </c>
      <c r="F296" s="63"/>
      <c r="G296" s="63" t="s">
        <v>3</v>
      </c>
      <c r="H296" s="64">
        <v>500</v>
      </c>
      <c r="I296" s="64">
        <v>729</v>
      </c>
      <c r="J296" s="63" t="s">
        <v>1445</v>
      </c>
      <c r="K296" s="63" t="s">
        <v>4</v>
      </c>
      <c r="L296" s="63"/>
      <c r="M296" s="63"/>
      <c r="N296" s="8" t="str">
        <f t="shared" si="4"/>
        <v>1</v>
      </c>
      <c r="O296" s="8" t="str">
        <f>INDEX(Кат!$H:$H,MATCH($A296,Кат!$A:$A,0))</f>
        <v>Китай БЕСТ ПАРТНЕР</v>
      </c>
    </row>
    <row r="297" spans="1:15" ht="45" x14ac:dyDescent="0.25">
      <c r="A297" s="62">
        <v>194092</v>
      </c>
      <c r="B297" s="62">
        <v>13668</v>
      </c>
      <c r="C297" s="63" t="s">
        <v>286</v>
      </c>
      <c r="D297" s="63" t="s">
        <v>1155</v>
      </c>
      <c r="E297" s="63"/>
      <c r="F297" s="63"/>
      <c r="G297" s="63" t="s">
        <v>3</v>
      </c>
      <c r="H297" s="64">
        <v>500</v>
      </c>
      <c r="I297" s="64">
        <v>649</v>
      </c>
      <c r="J297" s="63" t="s">
        <v>1448</v>
      </c>
      <c r="K297" s="63" t="s">
        <v>4</v>
      </c>
      <c r="L297" s="63"/>
      <c r="M297" s="63"/>
      <c r="N297" s="8" t="str">
        <f t="shared" si="4"/>
        <v>1</v>
      </c>
      <c r="O297" s="8" t="str">
        <f>INDEX(Кат!$H:$H,MATCH($A297,Кат!$A:$A,0))</f>
        <v>Китай БЕСТ ПАРТНЕР</v>
      </c>
    </row>
    <row r="298" spans="1:15" ht="45" x14ac:dyDescent="0.25">
      <c r="A298" s="62">
        <v>194093</v>
      </c>
      <c r="B298" s="62">
        <v>19618</v>
      </c>
      <c r="C298" s="63" t="s">
        <v>289</v>
      </c>
      <c r="D298" s="63" t="s">
        <v>1155</v>
      </c>
      <c r="E298" s="63"/>
      <c r="F298" s="63" t="s">
        <v>290</v>
      </c>
      <c r="G298" s="63" t="s">
        <v>3</v>
      </c>
      <c r="H298" s="64">
        <v>500</v>
      </c>
      <c r="I298" s="64">
        <v>729</v>
      </c>
      <c r="J298" s="63" t="s">
        <v>1444</v>
      </c>
      <c r="K298" s="63" t="s">
        <v>4</v>
      </c>
      <c r="L298" s="63"/>
      <c r="M298" s="63"/>
      <c r="N298" s="8" t="str">
        <f t="shared" si="4"/>
        <v>1</v>
      </c>
      <c r="O298" s="8" t="str">
        <f>INDEX(Кат!$H:$H,MATCH($A298,Кат!$A:$A,0))</f>
        <v>Китай БЕСТ ПАРТНЕР</v>
      </c>
    </row>
    <row r="299" spans="1:15" ht="30" x14ac:dyDescent="0.25">
      <c r="A299" s="62">
        <v>194416</v>
      </c>
      <c r="B299" s="62">
        <v>12221</v>
      </c>
      <c r="C299" s="63" t="s">
        <v>578</v>
      </c>
      <c r="D299" s="63" t="s">
        <v>1155</v>
      </c>
      <c r="E299" s="63"/>
      <c r="F299" s="63"/>
      <c r="G299" s="63" t="s">
        <v>3</v>
      </c>
      <c r="H299" s="64">
        <v>1000</v>
      </c>
      <c r="I299" s="64">
        <v>1890</v>
      </c>
      <c r="J299" s="63" t="s">
        <v>1436</v>
      </c>
      <c r="K299" s="63" t="s">
        <v>4</v>
      </c>
      <c r="L299" s="63"/>
      <c r="M299" s="63"/>
      <c r="N299" s="8" t="str">
        <f t="shared" si="4"/>
        <v>1</v>
      </c>
      <c r="O299" s="8" t="str">
        <f>INDEX(Кат!$H:$H,MATCH($A299,Кат!$A:$A,0))</f>
        <v>Китай БЕСТ ПАРТНЕР</v>
      </c>
    </row>
    <row r="300" spans="1:15" ht="30" x14ac:dyDescent="0.25">
      <c r="A300" s="62">
        <v>194545</v>
      </c>
      <c r="B300" s="62">
        <v>10069</v>
      </c>
      <c r="C300" s="63" t="s">
        <v>567</v>
      </c>
      <c r="D300" s="63" t="s">
        <v>1155</v>
      </c>
      <c r="E300" s="63" t="s">
        <v>568</v>
      </c>
      <c r="F300" s="63"/>
      <c r="G300" s="63" t="s">
        <v>3</v>
      </c>
      <c r="H300" s="64">
        <v>150</v>
      </c>
      <c r="I300" s="64">
        <v>579</v>
      </c>
      <c r="J300" s="63" t="s">
        <v>907</v>
      </c>
      <c r="K300" s="63" t="s">
        <v>4</v>
      </c>
      <c r="L300" s="63"/>
      <c r="M300" s="63"/>
      <c r="N300" s="8" t="str">
        <f t="shared" si="4"/>
        <v>1</v>
      </c>
      <c r="O300" s="8" t="str">
        <f>INDEX(Кат!$H:$H,MATCH($A300,Кат!$A:$A,0))</f>
        <v>Китай БЕСТ ПАРТНЕР</v>
      </c>
    </row>
    <row r="301" spans="1:15" ht="45" x14ac:dyDescent="0.25">
      <c r="A301" s="62">
        <v>345619</v>
      </c>
      <c r="B301" s="62">
        <v>345619</v>
      </c>
      <c r="C301" s="63" t="s">
        <v>1374</v>
      </c>
      <c r="D301" s="63" t="s">
        <v>1155</v>
      </c>
      <c r="E301" s="63" t="s">
        <v>1375</v>
      </c>
      <c r="F301" s="63"/>
      <c r="G301" s="63" t="s">
        <v>3</v>
      </c>
      <c r="H301" s="64">
        <v>1800</v>
      </c>
      <c r="I301" s="64">
        <v>3090</v>
      </c>
      <c r="J301" s="63" t="s">
        <v>1417</v>
      </c>
      <c r="K301" s="63" t="s">
        <v>4</v>
      </c>
      <c r="L301" s="63" t="s">
        <v>4</v>
      </c>
      <c r="M301" s="63"/>
      <c r="N301" s="8" t="str">
        <f t="shared" si="4"/>
        <v>1ск1</v>
      </c>
      <c r="O301" s="8" t="str">
        <f>INDEX(Кат!$H:$H,MATCH($A301,Кат!$A:$A,0))</f>
        <v>Китай БЕСТ ПАРТНЕР</v>
      </c>
    </row>
    <row r="302" spans="1:15" ht="45" x14ac:dyDescent="0.25">
      <c r="A302" s="62">
        <v>345617</v>
      </c>
      <c r="B302" s="62">
        <v>345617</v>
      </c>
      <c r="C302" s="63" t="s">
        <v>1376</v>
      </c>
      <c r="D302" s="63" t="s">
        <v>1155</v>
      </c>
      <c r="E302" s="63" t="s">
        <v>1377</v>
      </c>
      <c r="F302" s="63"/>
      <c r="G302" s="63" t="s">
        <v>3</v>
      </c>
      <c r="H302" s="64">
        <v>1800</v>
      </c>
      <c r="I302" s="64">
        <v>3090</v>
      </c>
      <c r="J302" s="63" t="s">
        <v>1418</v>
      </c>
      <c r="K302" s="63" t="s">
        <v>4</v>
      </c>
      <c r="L302" s="63"/>
      <c r="M302" s="63"/>
      <c r="N302" s="8" t="str">
        <f t="shared" si="4"/>
        <v>1</v>
      </c>
      <c r="O302" s="8" t="str">
        <f>INDEX(Кат!$H:$H,MATCH($A302,Кат!$A:$A,0))</f>
        <v>Китай БЕСТ ПАРТНЕР</v>
      </c>
    </row>
    <row r="303" spans="1:15" ht="30" x14ac:dyDescent="0.25">
      <c r="A303" s="62">
        <v>201751</v>
      </c>
      <c r="B303" s="62">
        <v>19194</v>
      </c>
      <c r="C303" s="63" t="s">
        <v>174</v>
      </c>
      <c r="D303" s="63" t="s">
        <v>1155</v>
      </c>
      <c r="E303" s="63"/>
      <c r="F303" s="63"/>
      <c r="G303" s="63" t="s">
        <v>3</v>
      </c>
      <c r="H303" s="64">
        <v>600</v>
      </c>
      <c r="I303" s="64">
        <v>869</v>
      </c>
      <c r="J303" s="63"/>
      <c r="K303" s="63" t="s">
        <v>1156</v>
      </c>
      <c r="L303" s="63"/>
      <c r="M303" s="63"/>
      <c r="N303" s="8" t="str">
        <f t="shared" si="4"/>
        <v>0</v>
      </c>
      <c r="O303" s="8" t="str">
        <f>INDEX(Кат!$H:$H,MATCH($A303,Кат!$A:$A,0))</f>
        <v>Китай БЕСТ ПАРТНЕР</v>
      </c>
    </row>
    <row r="304" spans="1:15" ht="30" x14ac:dyDescent="0.25">
      <c r="A304" s="62">
        <v>251651</v>
      </c>
      <c r="B304" s="62">
        <v>176625</v>
      </c>
      <c r="C304" s="63" t="s">
        <v>1130</v>
      </c>
      <c r="D304" s="63" t="s">
        <v>1155</v>
      </c>
      <c r="E304" s="63" t="s">
        <v>1131</v>
      </c>
      <c r="F304" s="63"/>
      <c r="G304" s="63" t="s">
        <v>3</v>
      </c>
      <c r="H304" s="64">
        <v>3000</v>
      </c>
      <c r="I304" s="64">
        <v>3890</v>
      </c>
      <c r="J304" s="63"/>
      <c r="K304" s="63" t="s">
        <v>1156</v>
      </c>
      <c r="L304" s="63"/>
      <c r="M304" s="63"/>
      <c r="N304" s="8" t="str">
        <f t="shared" si="4"/>
        <v>0</v>
      </c>
      <c r="O304" s="8" t="str">
        <f>INDEX(Кат!$H:$H,MATCH($A304,Кат!$A:$A,0))</f>
        <v>Китай БЕСТ ПАРТНЕР</v>
      </c>
    </row>
    <row r="305" spans="1:15" ht="45" x14ac:dyDescent="0.25">
      <c r="A305" s="62">
        <v>376364</v>
      </c>
      <c r="B305" s="62">
        <v>376364</v>
      </c>
      <c r="C305" s="63" t="s">
        <v>1511</v>
      </c>
      <c r="D305" s="63" t="s">
        <v>1155</v>
      </c>
      <c r="E305" s="63" t="s">
        <v>1512</v>
      </c>
      <c r="F305" s="63"/>
      <c r="G305" s="63" t="s">
        <v>3</v>
      </c>
      <c r="H305" s="64">
        <v>2000</v>
      </c>
      <c r="I305" s="64">
        <v>2590</v>
      </c>
      <c r="J305" s="63"/>
      <c r="K305" s="63" t="s">
        <v>4</v>
      </c>
      <c r="L305" s="63" t="s">
        <v>4</v>
      </c>
      <c r="M305" s="63"/>
      <c r="N305" s="8" t="str">
        <f t="shared" si="4"/>
        <v>1ск1</v>
      </c>
      <c r="O305" s="8" t="str">
        <f>INDEX(Кат!$H:$H,MATCH($A305,Кат!$A:$A,0))</f>
        <v>Китай БЕСТ ПАРТНЕР</v>
      </c>
    </row>
    <row r="306" spans="1:15" ht="30" x14ac:dyDescent="0.25">
      <c r="A306" s="62">
        <v>201752</v>
      </c>
      <c r="B306" s="62">
        <v>18908</v>
      </c>
      <c r="C306" s="63" t="s">
        <v>170</v>
      </c>
      <c r="D306" s="63" t="s">
        <v>1155</v>
      </c>
      <c r="E306" s="63"/>
      <c r="F306" s="63"/>
      <c r="G306" s="63" t="s">
        <v>3</v>
      </c>
      <c r="H306" s="64">
        <v>650</v>
      </c>
      <c r="I306" s="64">
        <v>949</v>
      </c>
      <c r="J306" s="63"/>
      <c r="K306" s="63" t="s">
        <v>1156</v>
      </c>
      <c r="L306" s="63"/>
      <c r="M306" s="63"/>
      <c r="N306" s="8" t="str">
        <f t="shared" si="4"/>
        <v>0</v>
      </c>
      <c r="O306" s="8" t="str">
        <f>INDEX(Кат!$H:$H,MATCH($A306,Кат!$A:$A,0))</f>
        <v>Китай БЕСТ ПАРТНЕР</v>
      </c>
    </row>
    <row r="307" spans="1:15" ht="90" x14ac:dyDescent="0.25">
      <c r="A307" s="62">
        <v>201753</v>
      </c>
      <c r="B307" s="62">
        <v>23928</v>
      </c>
      <c r="C307" s="63" t="s">
        <v>192</v>
      </c>
      <c r="D307" s="63" t="s">
        <v>1155</v>
      </c>
      <c r="E307" s="63" t="s">
        <v>1069</v>
      </c>
      <c r="F307" s="63"/>
      <c r="G307" s="63" t="s">
        <v>3</v>
      </c>
      <c r="H307" s="64">
        <v>1200</v>
      </c>
      <c r="I307" s="64">
        <v>1590</v>
      </c>
      <c r="J307" s="63" t="s">
        <v>847</v>
      </c>
      <c r="K307" s="63" t="s">
        <v>4</v>
      </c>
      <c r="L307" s="63"/>
      <c r="M307" s="63"/>
      <c r="N307" s="8" t="str">
        <f t="shared" si="4"/>
        <v>1</v>
      </c>
      <c r="O307" s="8" t="str">
        <f>INDEX(Кат!$H:$H,MATCH($A307,Кат!$A:$A,0))</f>
        <v>Китай БЕСТ ПАРТНЕР</v>
      </c>
    </row>
    <row r="308" spans="1:15" ht="45" x14ac:dyDescent="0.25">
      <c r="A308" s="62">
        <v>201761</v>
      </c>
      <c r="B308" s="62">
        <v>10228</v>
      </c>
      <c r="C308" s="63" t="s">
        <v>571</v>
      </c>
      <c r="D308" s="63" t="s">
        <v>1155</v>
      </c>
      <c r="E308" s="63"/>
      <c r="F308" s="63"/>
      <c r="G308" s="63" t="s">
        <v>3</v>
      </c>
      <c r="H308" s="64">
        <v>1200</v>
      </c>
      <c r="I308" s="64">
        <v>1990</v>
      </c>
      <c r="J308" s="63" t="s">
        <v>844</v>
      </c>
      <c r="K308" s="63" t="s">
        <v>4</v>
      </c>
      <c r="L308" s="63"/>
      <c r="M308" s="63"/>
      <c r="N308" s="8" t="str">
        <f t="shared" si="4"/>
        <v>1</v>
      </c>
      <c r="O308" s="8" t="str">
        <f>INDEX(Кат!$H:$H,MATCH($A308,Кат!$A:$A,0))</f>
        <v>Китай БЕСТ ПАРТНЕР</v>
      </c>
    </row>
    <row r="309" spans="1:15" ht="60" x14ac:dyDescent="0.25">
      <c r="A309" s="62">
        <v>201768</v>
      </c>
      <c r="B309" s="62">
        <v>25034</v>
      </c>
      <c r="C309" s="63" t="s">
        <v>259</v>
      </c>
      <c r="D309" s="63" t="s">
        <v>1157</v>
      </c>
      <c r="E309" s="63" t="s">
        <v>643</v>
      </c>
      <c r="F309" s="63"/>
      <c r="G309" s="63" t="s">
        <v>3</v>
      </c>
      <c r="H309" s="64">
        <v>1950</v>
      </c>
      <c r="I309" s="64">
        <v>2690</v>
      </c>
      <c r="J309" s="63" t="s">
        <v>866</v>
      </c>
      <c r="K309" s="63" t="s">
        <v>4</v>
      </c>
      <c r="L309" s="63"/>
      <c r="M309" s="63"/>
      <c r="N309" s="8" t="str">
        <f t="shared" si="4"/>
        <v>1</v>
      </c>
      <c r="O309" s="8" t="str">
        <f>INDEX(Кат!$H:$H,MATCH($A309,Кат!$A:$A,0))</f>
        <v>Китай БЕСТ ПАРТНЕР</v>
      </c>
    </row>
    <row r="310" spans="1:15" ht="30" x14ac:dyDescent="0.25">
      <c r="A310" s="62">
        <v>201769</v>
      </c>
      <c r="B310" s="62">
        <v>23766</v>
      </c>
      <c r="C310" s="63" t="s">
        <v>630</v>
      </c>
      <c r="D310" s="63" t="s">
        <v>1155</v>
      </c>
      <c r="E310" s="63"/>
      <c r="F310" s="63"/>
      <c r="G310" s="63" t="s">
        <v>3</v>
      </c>
      <c r="H310" s="64">
        <v>1000</v>
      </c>
      <c r="I310" s="64">
        <v>1290</v>
      </c>
      <c r="J310" s="63"/>
      <c r="K310" s="63" t="s">
        <v>1156</v>
      </c>
      <c r="L310" s="63"/>
      <c r="M310" s="63"/>
      <c r="N310" s="8" t="str">
        <f t="shared" si="4"/>
        <v>0</v>
      </c>
      <c r="O310" s="8" t="str">
        <f>INDEX(Кат!$H:$H,MATCH($A310,Кат!$A:$A,0))</f>
        <v>Китай БЕСТ ПАРТНЕР</v>
      </c>
    </row>
    <row r="311" spans="1:15" ht="30" x14ac:dyDescent="0.25">
      <c r="A311" s="62">
        <v>201776</v>
      </c>
      <c r="B311" s="62">
        <v>4339</v>
      </c>
      <c r="C311" s="63" t="s">
        <v>442</v>
      </c>
      <c r="D311" s="63" t="s">
        <v>1155</v>
      </c>
      <c r="E311" s="63" t="s">
        <v>991</v>
      </c>
      <c r="F311" s="63"/>
      <c r="G311" s="63" t="s">
        <v>3</v>
      </c>
      <c r="H311" s="64">
        <v>1350</v>
      </c>
      <c r="I311" s="64">
        <v>1790</v>
      </c>
      <c r="J311" s="63"/>
      <c r="K311" s="63" t="s">
        <v>1156</v>
      </c>
      <c r="L311" s="63"/>
      <c r="M311" s="63"/>
      <c r="N311" s="8" t="str">
        <f t="shared" si="4"/>
        <v>0</v>
      </c>
      <c r="O311" s="8" t="str">
        <f>INDEX(Кат!$H:$H,MATCH($A311,Кат!$A:$A,0))</f>
        <v>Китай БЕСТ ПАРТНЕР</v>
      </c>
    </row>
    <row r="312" spans="1:15" ht="45" x14ac:dyDescent="0.25">
      <c r="A312" s="62">
        <v>201777</v>
      </c>
      <c r="B312" s="62">
        <v>13776</v>
      </c>
      <c r="C312" s="63" t="s">
        <v>582</v>
      </c>
      <c r="D312" s="63" t="s">
        <v>1155</v>
      </c>
      <c r="E312" s="63" t="s">
        <v>583</v>
      </c>
      <c r="F312" s="63"/>
      <c r="G312" s="63" t="s">
        <v>3</v>
      </c>
      <c r="H312" s="64">
        <v>1000</v>
      </c>
      <c r="I312" s="64">
        <v>1690</v>
      </c>
      <c r="J312" s="63" t="s">
        <v>841</v>
      </c>
      <c r="K312" s="63" t="s">
        <v>4</v>
      </c>
      <c r="L312" s="63"/>
      <c r="M312" s="63"/>
      <c r="N312" s="8" t="str">
        <f t="shared" si="4"/>
        <v>1</v>
      </c>
      <c r="O312" s="8" t="str">
        <f>INDEX(Кат!$H:$H,MATCH($A312,Кат!$A:$A,0))</f>
        <v>Китай БЕСТ ПАРТНЕР</v>
      </c>
    </row>
    <row r="313" spans="1:15" ht="45" x14ac:dyDescent="0.25">
      <c r="A313" s="62">
        <v>201778</v>
      </c>
      <c r="B313" s="62">
        <v>4337</v>
      </c>
      <c r="C313" s="63" t="s">
        <v>443</v>
      </c>
      <c r="D313" s="63" t="s">
        <v>1155</v>
      </c>
      <c r="E313" s="63" t="s">
        <v>817</v>
      </c>
      <c r="F313" s="63"/>
      <c r="G313" s="63" t="s">
        <v>3</v>
      </c>
      <c r="H313" s="64">
        <v>1000</v>
      </c>
      <c r="I313" s="64">
        <v>1390</v>
      </c>
      <c r="J313" s="63" t="s">
        <v>836</v>
      </c>
      <c r="K313" s="63" t="s">
        <v>4</v>
      </c>
      <c r="L313" s="63"/>
      <c r="M313" s="63"/>
      <c r="N313" s="8" t="str">
        <f t="shared" si="4"/>
        <v>1</v>
      </c>
      <c r="O313" s="8" t="str">
        <f>INDEX(Кат!$H:$H,MATCH($A313,Кат!$A:$A,0))</f>
        <v>Китай БЕСТ ПАРТНЕР</v>
      </c>
    </row>
    <row r="314" spans="1:15" ht="30" x14ac:dyDescent="0.25">
      <c r="A314" s="62">
        <v>201779</v>
      </c>
      <c r="B314" s="62">
        <v>11771</v>
      </c>
      <c r="C314" s="63" t="s">
        <v>365</v>
      </c>
      <c r="D314" s="63" t="s">
        <v>1155</v>
      </c>
      <c r="E314" s="63" t="s">
        <v>819</v>
      </c>
      <c r="F314" s="63"/>
      <c r="G314" s="63" t="s">
        <v>3</v>
      </c>
      <c r="H314" s="64">
        <v>800</v>
      </c>
      <c r="I314" s="64">
        <v>1190</v>
      </c>
      <c r="J314" s="63"/>
      <c r="K314" s="63" t="s">
        <v>1156</v>
      </c>
      <c r="L314" s="63"/>
      <c r="M314" s="63"/>
      <c r="N314" s="8" t="str">
        <f t="shared" si="4"/>
        <v>0</v>
      </c>
      <c r="O314" s="8" t="str">
        <f>INDEX(Кат!$H:$H,MATCH($A314,Кат!$A:$A,0))</f>
        <v>Китай БЕСТ ПАРТНЕР</v>
      </c>
    </row>
    <row r="315" spans="1:15" ht="45" x14ac:dyDescent="0.25">
      <c r="A315" s="62">
        <v>201780</v>
      </c>
      <c r="B315" s="62">
        <v>4319</v>
      </c>
      <c r="C315" s="63" t="s">
        <v>447</v>
      </c>
      <c r="D315" s="63" t="s">
        <v>1155</v>
      </c>
      <c r="E315" s="63"/>
      <c r="F315" s="63"/>
      <c r="G315" s="63" t="s">
        <v>3</v>
      </c>
      <c r="H315" s="64">
        <v>1000</v>
      </c>
      <c r="I315" s="64">
        <v>1390</v>
      </c>
      <c r="J315" s="63" t="s">
        <v>839</v>
      </c>
      <c r="K315" s="63" t="s">
        <v>4</v>
      </c>
      <c r="L315" s="63"/>
      <c r="M315" s="63"/>
      <c r="N315" s="8" t="str">
        <f t="shared" si="4"/>
        <v>1</v>
      </c>
      <c r="O315" s="8" t="str">
        <f>INDEX(Кат!$H:$H,MATCH($A315,Кат!$A:$A,0))</f>
        <v>Китай БЕСТ ПАРТНЕР</v>
      </c>
    </row>
    <row r="316" spans="1:15" ht="45" x14ac:dyDescent="0.25">
      <c r="A316" s="62">
        <v>201781</v>
      </c>
      <c r="B316" s="62">
        <v>4340</v>
      </c>
      <c r="C316" s="63" t="s">
        <v>441</v>
      </c>
      <c r="D316" s="63" t="s">
        <v>1155</v>
      </c>
      <c r="E316" s="63" t="s">
        <v>996</v>
      </c>
      <c r="F316" s="63"/>
      <c r="G316" s="63" t="s">
        <v>3</v>
      </c>
      <c r="H316" s="64">
        <v>500</v>
      </c>
      <c r="I316" s="64">
        <v>839</v>
      </c>
      <c r="J316" s="63" t="s">
        <v>748</v>
      </c>
      <c r="K316" s="63" t="s">
        <v>4</v>
      </c>
      <c r="L316" s="63"/>
      <c r="M316" s="63"/>
      <c r="N316" s="8" t="str">
        <f t="shared" si="4"/>
        <v>1</v>
      </c>
      <c r="O316" s="8" t="str">
        <f>INDEX(Кат!$H:$H,MATCH($A316,Кат!$A:$A,0))</f>
        <v>Китай БЕСТ ПАРТНЕР</v>
      </c>
    </row>
    <row r="317" spans="1:15" ht="30" x14ac:dyDescent="0.25">
      <c r="A317" s="62">
        <v>201782</v>
      </c>
      <c r="B317" s="62">
        <v>11774</v>
      </c>
      <c r="C317" s="63" t="s">
        <v>364</v>
      </c>
      <c r="D317" s="63" t="s">
        <v>1155</v>
      </c>
      <c r="E317" s="63" t="s">
        <v>997</v>
      </c>
      <c r="F317" s="63"/>
      <c r="G317" s="63" t="s">
        <v>3</v>
      </c>
      <c r="H317" s="64">
        <v>450</v>
      </c>
      <c r="I317" s="64">
        <v>789</v>
      </c>
      <c r="J317" s="63"/>
      <c r="K317" s="63" t="s">
        <v>1156</v>
      </c>
      <c r="L317" s="63"/>
      <c r="M317" s="63"/>
      <c r="N317" s="8" t="str">
        <f t="shared" si="4"/>
        <v>0</v>
      </c>
      <c r="O317" s="8" t="str">
        <f>INDEX(Кат!$H:$H,MATCH($A317,Кат!$A:$A,0))</f>
        <v>Китай БЕСТ ПАРТНЕР</v>
      </c>
    </row>
    <row r="318" spans="1:15" ht="45" x14ac:dyDescent="0.25">
      <c r="A318" s="62">
        <v>201783</v>
      </c>
      <c r="B318" s="62">
        <v>4341</v>
      </c>
      <c r="C318" s="63" t="s">
        <v>440</v>
      </c>
      <c r="D318" s="63" t="s">
        <v>1155</v>
      </c>
      <c r="E318" s="63" t="s">
        <v>997</v>
      </c>
      <c r="F318" s="63"/>
      <c r="G318" s="63" t="s">
        <v>3</v>
      </c>
      <c r="H318" s="64">
        <v>450</v>
      </c>
      <c r="I318" s="64">
        <v>719</v>
      </c>
      <c r="J318" s="63" t="s">
        <v>739</v>
      </c>
      <c r="K318" s="63" t="s">
        <v>4</v>
      </c>
      <c r="L318" s="63"/>
      <c r="M318" s="63"/>
      <c r="N318" s="8" t="str">
        <f t="shared" si="4"/>
        <v>1</v>
      </c>
      <c r="O318" s="8" t="str">
        <f>INDEX(Кат!$H:$H,MATCH($A318,Кат!$A:$A,0))</f>
        <v>Китай БЕСТ ПАРТНЕР</v>
      </c>
    </row>
    <row r="319" spans="1:15" ht="45" x14ac:dyDescent="0.25">
      <c r="A319" s="62">
        <v>201784</v>
      </c>
      <c r="B319" s="62">
        <v>4269</v>
      </c>
      <c r="C319" s="63" t="s">
        <v>5</v>
      </c>
      <c r="D319" s="63" t="s">
        <v>1155</v>
      </c>
      <c r="E319" s="63" t="s">
        <v>818</v>
      </c>
      <c r="F319" s="63"/>
      <c r="G319" s="63" t="s">
        <v>3</v>
      </c>
      <c r="H319" s="64">
        <v>950</v>
      </c>
      <c r="I319" s="64">
        <v>1590</v>
      </c>
      <c r="J319" s="63" t="s">
        <v>838</v>
      </c>
      <c r="K319" s="63" t="s">
        <v>4</v>
      </c>
      <c r="L319" s="63"/>
      <c r="M319" s="63"/>
      <c r="N319" s="8" t="str">
        <f t="shared" si="4"/>
        <v>1</v>
      </c>
      <c r="O319" s="8" t="str">
        <f>INDEX(Кат!$H:$H,MATCH($A319,Кат!$A:$A,0))</f>
        <v>Китай БЕСТ ПАРТНЕР</v>
      </c>
    </row>
    <row r="320" spans="1:15" ht="30" x14ac:dyDescent="0.25">
      <c r="A320" s="62">
        <v>201785</v>
      </c>
      <c r="B320" s="62">
        <v>4323</v>
      </c>
      <c r="C320" s="63" t="s">
        <v>446</v>
      </c>
      <c r="D320" s="63" t="s">
        <v>1155</v>
      </c>
      <c r="E320" s="63" t="s">
        <v>992</v>
      </c>
      <c r="F320" s="63"/>
      <c r="G320" s="63" t="s">
        <v>3</v>
      </c>
      <c r="H320" s="64">
        <v>600</v>
      </c>
      <c r="I320" s="64">
        <v>869</v>
      </c>
      <c r="J320" s="63"/>
      <c r="K320" s="63" t="s">
        <v>1156</v>
      </c>
      <c r="L320" s="63"/>
      <c r="M320" s="63"/>
      <c r="N320" s="8" t="str">
        <f t="shared" si="4"/>
        <v>0</v>
      </c>
      <c r="O320" s="8" t="str">
        <f>INDEX(Кат!$H:$H,MATCH($A320,Кат!$A:$A,0))</f>
        <v>Китай БЕСТ ПАРТНЕР</v>
      </c>
    </row>
    <row r="321" spans="1:15" ht="75" x14ac:dyDescent="0.25">
      <c r="A321" s="62">
        <v>201786</v>
      </c>
      <c r="B321" s="62">
        <v>37892</v>
      </c>
      <c r="C321" s="63" t="s">
        <v>1174</v>
      </c>
      <c r="D321" s="63" t="s">
        <v>1155</v>
      </c>
      <c r="E321" s="63" t="s">
        <v>1175</v>
      </c>
      <c r="F321" s="63"/>
      <c r="G321" s="63" t="s">
        <v>3</v>
      </c>
      <c r="H321" s="64">
        <v>1800</v>
      </c>
      <c r="I321" s="64">
        <v>4190</v>
      </c>
      <c r="J321" s="63" t="s">
        <v>1419</v>
      </c>
      <c r="K321" s="63" t="s">
        <v>4</v>
      </c>
      <c r="L321" s="63" t="s">
        <v>4</v>
      </c>
      <c r="M321" s="63"/>
      <c r="N321" s="8" t="str">
        <f t="shared" si="4"/>
        <v>1ск1</v>
      </c>
      <c r="O321" s="8" t="str">
        <f>INDEX(Кат!$H:$H,MATCH($A321,Кат!$A:$A,0))</f>
        <v>Китай БЕСТ ПАРТНЕР</v>
      </c>
    </row>
    <row r="322" spans="1:15" ht="45" x14ac:dyDescent="0.25">
      <c r="A322" s="62">
        <v>201787</v>
      </c>
      <c r="B322" s="62">
        <v>26581</v>
      </c>
      <c r="C322" s="63" t="s">
        <v>266</v>
      </c>
      <c r="D322" s="63" t="s">
        <v>1155</v>
      </c>
      <c r="E322" s="63" t="s">
        <v>650</v>
      </c>
      <c r="F322" s="63"/>
      <c r="G322" s="63" t="s">
        <v>3</v>
      </c>
      <c r="H322" s="64">
        <v>1500</v>
      </c>
      <c r="I322" s="64">
        <v>2490</v>
      </c>
      <c r="J322" s="63" t="s">
        <v>857</v>
      </c>
      <c r="K322" s="63" t="s">
        <v>4</v>
      </c>
      <c r="L322" s="63"/>
      <c r="M322" s="63"/>
      <c r="N322" s="8" t="str">
        <f t="shared" si="4"/>
        <v>1</v>
      </c>
      <c r="O322" s="8" t="str">
        <f>INDEX(Кат!$H:$H,MATCH($A322,Кат!$A:$A,0))</f>
        <v>Китай БЕСТ ПАРТНЕР</v>
      </c>
    </row>
    <row r="323" spans="1:15" ht="30" x14ac:dyDescent="0.25">
      <c r="A323" s="62">
        <v>201788</v>
      </c>
      <c r="B323" s="62">
        <v>4327</v>
      </c>
      <c r="C323" s="63" t="s">
        <v>445</v>
      </c>
      <c r="D323" s="63" t="s">
        <v>1155</v>
      </c>
      <c r="E323" s="63" t="s">
        <v>993</v>
      </c>
      <c r="F323" s="63"/>
      <c r="G323" s="63" t="s">
        <v>3</v>
      </c>
      <c r="H323" s="64">
        <v>550</v>
      </c>
      <c r="I323" s="64">
        <v>799</v>
      </c>
      <c r="J323" s="63"/>
      <c r="K323" s="63" t="s">
        <v>1156</v>
      </c>
      <c r="L323" s="63"/>
      <c r="M323" s="63"/>
      <c r="N323" s="8" t="str">
        <f t="shared" ref="N323:N386" si="5">_xlfn.CONCAT(K323,IF(L323&lt;&gt;"",_xlfn.CONCAT("ск",L323),""))</f>
        <v>0</v>
      </c>
      <c r="O323" s="8" t="str">
        <f>INDEX(Кат!$H:$H,MATCH($A323,Кат!$A:$A,0))</f>
        <v>Китай БЕСТ ПАРТНЕР</v>
      </c>
    </row>
    <row r="324" spans="1:15" ht="30" x14ac:dyDescent="0.25">
      <c r="A324" s="62">
        <v>201789</v>
      </c>
      <c r="B324" s="62">
        <v>11772</v>
      </c>
      <c r="C324" s="63" t="s">
        <v>573</v>
      </c>
      <c r="D324" s="63" t="s">
        <v>1155</v>
      </c>
      <c r="E324" s="63" t="s">
        <v>1039</v>
      </c>
      <c r="F324" s="63"/>
      <c r="G324" s="63" t="s">
        <v>3</v>
      </c>
      <c r="H324" s="64">
        <v>350</v>
      </c>
      <c r="I324" s="64">
        <v>619</v>
      </c>
      <c r="J324" s="63"/>
      <c r="K324" s="63" t="s">
        <v>1156</v>
      </c>
      <c r="L324" s="63"/>
      <c r="M324" s="63"/>
      <c r="N324" s="8" t="str">
        <f t="shared" si="5"/>
        <v>0</v>
      </c>
      <c r="O324" s="8" t="str">
        <f>INDEX(Кат!$H:$H,MATCH($A324,Кат!$A:$A,0))</f>
        <v>Китай БЕСТ ПАРТНЕР</v>
      </c>
    </row>
    <row r="325" spans="1:15" ht="30" x14ac:dyDescent="0.25">
      <c r="A325" s="62">
        <v>201790</v>
      </c>
      <c r="B325" s="62">
        <v>4331</v>
      </c>
      <c r="C325" s="63" t="s">
        <v>444</v>
      </c>
      <c r="D325" s="63" t="s">
        <v>1155</v>
      </c>
      <c r="E325" s="63" t="s">
        <v>994</v>
      </c>
      <c r="F325" s="63"/>
      <c r="G325" s="63" t="s">
        <v>3</v>
      </c>
      <c r="H325" s="64">
        <v>380</v>
      </c>
      <c r="I325" s="64">
        <v>669</v>
      </c>
      <c r="J325" s="63"/>
      <c r="K325" s="63" t="s">
        <v>1156</v>
      </c>
      <c r="L325" s="63"/>
      <c r="M325" s="63"/>
      <c r="N325" s="8" t="str">
        <f t="shared" si="5"/>
        <v>0</v>
      </c>
      <c r="O325" s="8" t="str">
        <f>INDEX(Кат!$H:$H,MATCH($A325,Кат!$A:$A,0))</f>
        <v>Китай БЕСТ ПАРТНЕР</v>
      </c>
    </row>
    <row r="326" spans="1:15" ht="30" x14ac:dyDescent="0.25">
      <c r="A326" s="62">
        <v>201792</v>
      </c>
      <c r="B326" s="62">
        <v>11776</v>
      </c>
      <c r="C326" s="63" t="s">
        <v>363</v>
      </c>
      <c r="D326" s="63" t="s">
        <v>1155</v>
      </c>
      <c r="E326" s="63" t="s">
        <v>1040</v>
      </c>
      <c r="F326" s="63"/>
      <c r="G326" s="63" t="s">
        <v>3</v>
      </c>
      <c r="H326" s="64">
        <v>650</v>
      </c>
      <c r="I326" s="64">
        <v>949</v>
      </c>
      <c r="J326" s="63"/>
      <c r="K326" s="63" t="s">
        <v>1156</v>
      </c>
      <c r="L326" s="63"/>
      <c r="M326" s="63"/>
      <c r="N326" s="8" t="str">
        <f t="shared" si="5"/>
        <v>0</v>
      </c>
      <c r="O326" s="8" t="str">
        <f>INDEX(Кат!$H:$H,MATCH($A326,Кат!$A:$A,0))</f>
        <v>Китай БЕСТ ПАРТНЕР</v>
      </c>
    </row>
    <row r="327" spans="1:15" ht="45" x14ac:dyDescent="0.25">
      <c r="A327" s="62">
        <v>201793</v>
      </c>
      <c r="B327" s="62">
        <v>11900</v>
      </c>
      <c r="C327" s="63" t="s">
        <v>574</v>
      </c>
      <c r="D327" s="63" t="s">
        <v>1155</v>
      </c>
      <c r="E327" s="63" t="s">
        <v>575</v>
      </c>
      <c r="F327" s="63"/>
      <c r="G327" s="63" t="s">
        <v>3</v>
      </c>
      <c r="H327" s="64">
        <v>1000</v>
      </c>
      <c r="I327" s="64">
        <v>1590</v>
      </c>
      <c r="J327" s="63" t="s">
        <v>842</v>
      </c>
      <c r="K327" s="63" t="s">
        <v>4</v>
      </c>
      <c r="L327" s="63"/>
      <c r="M327" s="63"/>
      <c r="N327" s="8" t="str">
        <f t="shared" si="5"/>
        <v>1</v>
      </c>
      <c r="O327" s="8" t="str">
        <f>INDEX(Кат!$H:$H,MATCH($A327,Кат!$A:$A,0))</f>
        <v>Китай БЕСТ ПАРТНЕР</v>
      </c>
    </row>
    <row r="328" spans="1:15" ht="45" x14ac:dyDescent="0.25">
      <c r="A328" s="62">
        <v>201794</v>
      </c>
      <c r="B328" s="62">
        <v>19027</v>
      </c>
      <c r="C328" s="63" t="s">
        <v>172</v>
      </c>
      <c r="D328" s="63" t="s">
        <v>1157</v>
      </c>
      <c r="E328" s="63" t="s">
        <v>615</v>
      </c>
      <c r="F328" s="63"/>
      <c r="G328" s="63" t="s">
        <v>3</v>
      </c>
      <c r="H328" s="64">
        <v>1500</v>
      </c>
      <c r="I328" s="64">
        <v>2290</v>
      </c>
      <c r="J328" s="63" t="s">
        <v>850</v>
      </c>
      <c r="K328" s="63" t="s">
        <v>4</v>
      </c>
      <c r="L328" s="63"/>
      <c r="M328" s="63"/>
      <c r="N328" s="8" t="str">
        <f t="shared" si="5"/>
        <v>1</v>
      </c>
      <c r="O328" s="8" t="str">
        <f>INDEX(Кат!$H:$H,MATCH($A328,Кат!$A:$A,0))</f>
        <v>Китай БЕСТ ПАРТНЕР</v>
      </c>
    </row>
    <row r="329" spans="1:15" ht="45" x14ac:dyDescent="0.25">
      <c r="A329" s="62">
        <v>201795</v>
      </c>
      <c r="B329" s="62">
        <v>15441</v>
      </c>
      <c r="C329" s="63" t="s">
        <v>587</v>
      </c>
      <c r="D329" s="63" t="s">
        <v>1155</v>
      </c>
      <c r="E329" s="63" t="s">
        <v>588</v>
      </c>
      <c r="F329" s="63"/>
      <c r="G329" s="63" t="s">
        <v>3</v>
      </c>
      <c r="H329" s="64">
        <v>1800</v>
      </c>
      <c r="I329" s="64">
        <v>2790</v>
      </c>
      <c r="J329" s="63" t="s">
        <v>860</v>
      </c>
      <c r="K329" s="63" t="s">
        <v>4</v>
      </c>
      <c r="L329" s="63"/>
      <c r="M329" s="63"/>
      <c r="N329" s="8" t="str">
        <f t="shared" si="5"/>
        <v>1</v>
      </c>
      <c r="O329" s="8" t="str">
        <f>INDEX(Кат!$H:$H,MATCH($A329,Кат!$A:$A,0))</f>
        <v>Китай БЕСТ ПАРТНЕР</v>
      </c>
    </row>
    <row r="330" spans="1:15" ht="45" x14ac:dyDescent="0.25">
      <c r="A330" s="62">
        <v>201796</v>
      </c>
      <c r="B330" s="62">
        <v>15440</v>
      </c>
      <c r="C330" s="63" t="s">
        <v>585</v>
      </c>
      <c r="D330" s="63" t="s">
        <v>1155</v>
      </c>
      <c r="E330" s="63" t="s">
        <v>586</v>
      </c>
      <c r="F330" s="63"/>
      <c r="G330" s="63" t="s">
        <v>3</v>
      </c>
      <c r="H330" s="64">
        <v>3500</v>
      </c>
      <c r="I330" s="64">
        <v>5390</v>
      </c>
      <c r="J330" s="63" t="s">
        <v>778</v>
      </c>
      <c r="K330" s="63" t="s">
        <v>4</v>
      </c>
      <c r="L330" s="63"/>
      <c r="M330" s="63"/>
      <c r="N330" s="8" t="str">
        <f t="shared" si="5"/>
        <v>1</v>
      </c>
      <c r="O330" s="8" t="str">
        <f>INDEX(Кат!$H:$H,MATCH($A330,Кат!$A:$A,0))</f>
        <v>Китай БЕСТ ПАРТНЕР</v>
      </c>
    </row>
    <row r="331" spans="1:15" ht="30" x14ac:dyDescent="0.25">
      <c r="A331" s="62">
        <v>201798</v>
      </c>
      <c r="B331" s="62">
        <v>11901</v>
      </c>
      <c r="C331" s="63" t="s">
        <v>362</v>
      </c>
      <c r="D331" s="63" t="s">
        <v>1155</v>
      </c>
      <c r="E331" s="63" t="s">
        <v>576</v>
      </c>
      <c r="F331" s="63"/>
      <c r="G331" s="63" t="s">
        <v>3</v>
      </c>
      <c r="H331" s="64">
        <v>800</v>
      </c>
      <c r="I331" s="64">
        <v>1190</v>
      </c>
      <c r="J331" s="63"/>
      <c r="K331" s="63" t="s">
        <v>1156</v>
      </c>
      <c r="L331" s="63"/>
      <c r="M331" s="63"/>
      <c r="N331" s="8" t="str">
        <f t="shared" si="5"/>
        <v>0</v>
      </c>
      <c r="O331" s="8" t="str">
        <f>INDEX(Кат!$H:$H,MATCH($A331,Кат!$A:$A,0))</f>
        <v>Китай БЕСТ ПАРТНЕР</v>
      </c>
    </row>
    <row r="332" spans="1:15" ht="45" x14ac:dyDescent="0.25">
      <c r="A332" s="62">
        <v>201800</v>
      </c>
      <c r="B332" s="62">
        <v>4240</v>
      </c>
      <c r="C332" s="63" t="s">
        <v>458</v>
      </c>
      <c r="D332" s="63" t="s">
        <v>1155</v>
      </c>
      <c r="E332" s="63" t="s">
        <v>459</v>
      </c>
      <c r="F332" s="63"/>
      <c r="G332" s="63" t="s">
        <v>3</v>
      </c>
      <c r="H332" s="64">
        <v>950</v>
      </c>
      <c r="I332" s="64">
        <v>1590</v>
      </c>
      <c r="J332" s="63" t="s">
        <v>1476</v>
      </c>
      <c r="K332" s="63" t="s">
        <v>4</v>
      </c>
      <c r="L332" s="63"/>
      <c r="M332" s="63"/>
      <c r="N332" s="8" t="str">
        <f t="shared" si="5"/>
        <v>1</v>
      </c>
      <c r="O332" s="8" t="str">
        <f>INDEX(Кат!$H:$H,MATCH($A332,Кат!$A:$A,0))</f>
        <v>Китай БЕСТ ПАРТНЕР</v>
      </c>
    </row>
    <row r="333" spans="1:15" ht="30" x14ac:dyDescent="0.25">
      <c r="A333" s="62">
        <v>201801</v>
      </c>
      <c r="B333" s="62">
        <v>4237</v>
      </c>
      <c r="C333" s="63" t="s">
        <v>457</v>
      </c>
      <c r="D333" s="63" t="s">
        <v>1155</v>
      </c>
      <c r="E333" s="63"/>
      <c r="F333" s="63"/>
      <c r="G333" s="63" t="s">
        <v>3</v>
      </c>
      <c r="H333" s="64">
        <v>950</v>
      </c>
      <c r="I333" s="64">
        <v>1290</v>
      </c>
      <c r="J333" s="63" t="s">
        <v>837</v>
      </c>
      <c r="K333" s="63" t="s">
        <v>1156</v>
      </c>
      <c r="L333" s="63"/>
      <c r="M333" s="63"/>
      <c r="N333" s="8" t="str">
        <f t="shared" si="5"/>
        <v>0</v>
      </c>
      <c r="O333" s="8" t="str">
        <f>INDEX(Кат!$H:$H,MATCH($A333,Кат!$A:$A,0))</f>
        <v>Китай БЕСТ ПАРТНЕР</v>
      </c>
    </row>
    <row r="334" spans="1:15" ht="45" x14ac:dyDescent="0.25">
      <c r="A334" s="62">
        <v>201802</v>
      </c>
      <c r="B334" s="62">
        <v>4257</v>
      </c>
      <c r="C334" s="63" t="s">
        <v>448</v>
      </c>
      <c r="D334" s="63" t="s">
        <v>1155</v>
      </c>
      <c r="E334" s="63" t="s">
        <v>462</v>
      </c>
      <c r="F334" s="63"/>
      <c r="G334" s="63" t="s">
        <v>3</v>
      </c>
      <c r="H334" s="64">
        <v>900</v>
      </c>
      <c r="I334" s="64">
        <v>1590</v>
      </c>
      <c r="J334" s="63" t="s">
        <v>835</v>
      </c>
      <c r="K334" s="63" t="s">
        <v>4</v>
      </c>
      <c r="L334" s="63"/>
      <c r="M334" s="63"/>
      <c r="N334" s="8" t="str">
        <f t="shared" si="5"/>
        <v>1</v>
      </c>
      <c r="O334" s="8" t="str">
        <f>INDEX(Кат!$H:$H,MATCH($A334,Кат!$A:$A,0))</f>
        <v>Китай БЕСТ ПАРТНЕР</v>
      </c>
    </row>
    <row r="335" spans="1:15" ht="30" x14ac:dyDescent="0.25">
      <c r="A335" s="62">
        <v>201791</v>
      </c>
      <c r="B335" s="62">
        <v>4336</v>
      </c>
      <c r="C335" s="63" t="s">
        <v>995</v>
      </c>
      <c r="D335" s="63" t="s">
        <v>1155</v>
      </c>
      <c r="E335" s="63" t="s">
        <v>466</v>
      </c>
      <c r="F335" s="63"/>
      <c r="G335" s="63" t="s">
        <v>3</v>
      </c>
      <c r="H335" s="64">
        <v>700</v>
      </c>
      <c r="I335" s="64">
        <v>1090</v>
      </c>
      <c r="J335" s="63"/>
      <c r="K335" s="63" t="s">
        <v>1156</v>
      </c>
      <c r="L335" s="63"/>
      <c r="M335" s="63"/>
      <c r="N335" s="8" t="str">
        <f t="shared" si="5"/>
        <v>0</v>
      </c>
      <c r="O335" s="8" t="str">
        <f>INDEX(Кат!$H:$H,MATCH($A335,Кат!$A:$A,0))</f>
        <v>Китай БЕСТ ПАРТНЕР</v>
      </c>
    </row>
    <row r="336" spans="1:15" ht="45" x14ac:dyDescent="0.25">
      <c r="A336" s="62">
        <v>201797</v>
      </c>
      <c r="B336" s="62">
        <v>15442</v>
      </c>
      <c r="C336" s="63" t="s">
        <v>1053</v>
      </c>
      <c r="D336" s="63" t="s">
        <v>1155</v>
      </c>
      <c r="E336" s="63" t="s">
        <v>1054</v>
      </c>
      <c r="F336" s="63"/>
      <c r="G336" s="63" t="s">
        <v>3</v>
      </c>
      <c r="H336" s="64">
        <v>2800</v>
      </c>
      <c r="I336" s="64">
        <v>4090</v>
      </c>
      <c r="J336" s="63" t="s">
        <v>881</v>
      </c>
      <c r="K336" s="63" t="s">
        <v>4</v>
      </c>
      <c r="L336" s="63"/>
      <c r="M336" s="63"/>
      <c r="N336" s="8" t="str">
        <f t="shared" si="5"/>
        <v>1</v>
      </c>
      <c r="O336" s="8" t="str">
        <f>INDEX(Кат!$H:$H,MATCH($A336,Кат!$A:$A,0))</f>
        <v>Китай БЕСТ ПАРТНЕР</v>
      </c>
    </row>
    <row r="337" spans="1:15" ht="45" x14ac:dyDescent="0.25">
      <c r="A337" s="62">
        <v>201804</v>
      </c>
      <c r="B337" s="62">
        <v>134755</v>
      </c>
      <c r="C337" s="63" t="s">
        <v>1128</v>
      </c>
      <c r="D337" s="63" t="s">
        <v>1155</v>
      </c>
      <c r="E337" s="63" t="s">
        <v>684</v>
      </c>
      <c r="F337" s="63"/>
      <c r="G337" s="63" t="s">
        <v>3</v>
      </c>
      <c r="H337" s="64">
        <v>2500</v>
      </c>
      <c r="I337" s="64">
        <v>3490</v>
      </c>
      <c r="J337" s="63" t="s">
        <v>1421</v>
      </c>
      <c r="K337" s="63" t="s">
        <v>4</v>
      </c>
      <c r="L337" s="63"/>
      <c r="M337" s="63"/>
      <c r="N337" s="8" t="str">
        <f t="shared" si="5"/>
        <v>1</v>
      </c>
      <c r="O337" s="8" t="str">
        <f>INDEX(Кат!$H:$H,MATCH($A337,Кат!$A:$A,0))</f>
        <v>Китай БЕСТ ПАРТНЕР</v>
      </c>
    </row>
    <row r="338" spans="1:15" ht="45" x14ac:dyDescent="0.25">
      <c r="A338" s="62">
        <v>201806</v>
      </c>
      <c r="B338" s="62">
        <v>4266</v>
      </c>
      <c r="C338" s="63" t="s">
        <v>463</v>
      </c>
      <c r="D338" s="63" t="s">
        <v>1155</v>
      </c>
      <c r="E338" s="63" t="s">
        <v>464</v>
      </c>
      <c r="F338" s="63"/>
      <c r="G338" s="63" t="s">
        <v>3</v>
      </c>
      <c r="H338" s="64">
        <v>900</v>
      </c>
      <c r="I338" s="64">
        <v>1590</v>
      </c>
      <c r="J338" s="63" t="s">
        <v>834</v>
      </c>
      <c r="K338" s="63" t="s">
        <v>4</v>
      </c>
      <c r="L338" s="63"/>
      <c r="M338" s="63"/>
      <c r="N338" s="8" t="str">
        <f t="shared" si="5"/>
        <v>1</v>
      </c>
      <c r="O338" s="8" t="str">
        <f>INDEX(Кат!$H:$H,MATCH($A338,Кат!$A:$A,0))</f>
        <v>Китай БЕСТ ПАРТНЕР</v>
      </c>
    </row>
    <row r="339" spans="1:15" ht="30" x14ac:dyDescent="0.25">
      <c r="A339" s="62">
        <v>201807</v>
      </c>
      <c r="B339" s="62">
        <v>4332</v>
      </c>
      <c r="C339" s="63" t="s">
        <v>6</v>
      </c>
      <c r="D339" s="63" t="s">
        <v>1155</v>
      </c>
      <c r="E339" s="63" t="s">
        <v>465</v>
      </c>
      <c r="F339" s="63"/>
      <c r="G339" s="63" t="s">
        <v>3</v>
      </c>
      <c r="H339" s="64">
        <v>950</v>
      </c>
      <c r="I339" s="64">
        <v>1390</v>
      </c>
      <c r="J339" s="63"/>
      <c r="K339" s="63" t="s">
        <v>1156</v>
      </c>
      <c r="L339" s="63"/>
      <c r="M339" s="63" t="s">
        <v>1155</v>
      </c>
      <c r="N339" s="8" t="str">
        <f t="shared" si="5"/>
        <v>0</v>
      </c>
      <c r="O339" s="8" t="str">
        <f>INDEX(Кат!$H:$H,MATCH($A339,Кат!$A:$A,0))</f>
        <v>Китай БЕСТ ПАРТНЕР</v>
      </c>
    </row>
    <row r="340" spans="1:15" ht="30" x14ac:dyDescent="0.25">
      <c r="A340" s="62">
        <v>201809</v>
      </c>
      <c r="B340" s="62">
        <v>4249</v>
      </c>
      <c r="C340" s="63" t="s">
        <v>450</v>
      </c>
      <c r="D340" s="63" t="s">
        <v>1155</v>
      </c>
      <c r="E340" s="63" t="s">
        <v>460</v>
      </c>
      <c r="F340" s="63"/>
      <c r="G340" s="63" t="s">
        <v>3</v>
      </c>
      <c r="H340" s="64">
        <v>1500</v>
      </c>
      <c r="I340" s="64">
        <v>1990</v>
      </c>
      <c r="J340" s="63"/>
      <c r="K340" s="63" t="s">
        <v>1156</v>
      </c>
      <c r="L340" s="63"/>
      <c r="M340" s="63"/>
      <c r="N340" s="8" t="str">
        <f t="shared" si="5"/>
        <v>0</v>
      </c>
      <c r="O340" s="8" t="str">
        <f>INDEX(Кат!$H:$H,MATCH($A340,Кат!$A:$A,0))</f>
        <v>Китай БЕСТ ПАРТНЕР</v>
      </c>
    </row>
    <row r="341" spans="1:15" ht="60" x14ac:dyDescent="0.25">
      <c r="A341" s="62">
        <v>201810</v>
      </c>
      <c r="B341" s="62">
        <v>30939</v>
      </c>
      <c r="C341" s="63" t="s">
        <v>268</v>
      </c>
      <c r="D341" s="63" t="s">
        <v>1157</v>
      </c>
      <c r="E341" s="63" t="s">
        <v>652</v>
      </c>
      <c r="F341" s="63"/>
      <c r="G341" s="63" t="s">
        <v>3</v>
      </c>
      <c r="H341" s="64">
        <v>3300</v>
      </c>
      <c r="I341" s="64">
        <v>4190</v>
      </c>
      <c r="J341" s="63"/>
      <c r="K341" s="63" t="s">
        <v>4</v>
      </c>
      <c r="L341" s="63"/>
      <c r="M341" s="63"/>
      <c r="N341" s="8" t="str">
        <f t="shared" si="5"/>
        <v>1</v>
      </c>
      <c r="O341" s="8" t="str">
        <f>INDEX(Кат!$H:$H,MATCH($A341,Кат!$A:$A,0))</f>
        <v>Китай БЕСТ ПАРТНЕР</v>
      </c>
    </row>
    <row r="342" spans="1:15" ht="45" x14ac:dyDescent="0.25">
      <c r="A342" s="62">
        <v>201811</v>
      </c>
      <c r="B342" s="62">
        <v>25046</v>
      </c>
      <c r="C342" s="63" t="s">
        <v>261</v>
      </c>
      <c r="D342" s="63" t="s">
        <v>1155</v>
      </c>
      <c r="E342" s="63" t="s">
        <v>1176</v>
      </c>
      <c r="F342" s="63"/>
      <c r="G342" s="63" t="s">
        <v>3</v>
      </c>
      <c r="H342" s="64">
        <v>1600</v>
      </c>
      <c r="I342" s="64">
        <v>2490</v>
      </c>
      <c r="J342" s="63" t="s">
        <v>867</v>
      </c>
      <c r="K342" s="63" t="s">
        <v>4</v>
      </c>
      <c r="L342" s="63"/>
      <c r="M342" s="63"/>
      <c r="N342" s="8" t="str">
        <f t="shared" si="5"/>
        <v>1</v>
      </c>
      <c r="O342" s="8" t="str">
        <f>INDEX(Кат!$H:$H,MATCH($A342,Кат!$A:$A,0))</f>
        <v>Китай БЕСТ ПАРТНЕР</v>
      </c>
    </row>
    <row r="343" spans="1:15" ht="45" x14ac:dyDescent="0.25">
      <c r="A343" s="62">
        <v>201813</v>
      </c>
      <c r="B343" s="62">
        <v>18330</v>
      </c>
      <c r="C343" s="63" t="s">
        <v>164</v>
      </c>
      <c r="D343" s="63" t="s">
        <v>1155</v>
      </c>
      <c r="E343" s="63" t="s">
        <v>1177</v>
      </c>
      <c r="F343" s="63"/>
      <c r="G343" s="63" t="s">
        <v>3</v>
      </c>
      <c r="H343" s="64">
        <v>1800</v>
      </c>
      <c r="I343" s="64">
        <v>2390</v>
      </c>
      <c r="J343" s="63" t="s">
        <v>859</v>
      </c>
      <c r="K343" s="63" t="s">
        <v>4</v>
      </c>
      <c r="L343" s="63"/>
      <c r="M343" s="63"/>
      <c r="N343" s="8" t="str">
        <f t="shared" si="5"/>
        <v>1</v>
      </c>
      <c r="O343" s="8" t="str">
        <f>INDEX(Кат!$H:$H,MATCH($A343,Кат!$A:$A,0))</f>
        <v>Китай БЕСТ ПАРТНЕР</v>
      </c>
    </row>
    <row r="344" spans="1:15" ht="45" x14ac:dyDescent="0.25">
      <c r="A344" s="62">
        <v>201816</v>
      </c>
      <c r="B344" s="62">
        <v>4251</v>
      </c>
      <c r="C344" s="63" t="s">
        <v>449</v>
      </c>
      <c r="D344" s="63" t="s">
        <v>1155</v>
      </c>
      <c r="E344" s="63" t="s">
        <v>461</v>
      </c>
      <c r="F344" s="63"/>
      <c r="G344" s="63" t="s">
        <v>3</v>
      </c>
      <c r="H344" s="64">
        <v>850</v>
      </c>
      <c r="I344" s="64">
        <v>1590</v>
      </c>
      <c r="J344" s="63" t="s">
        <v>833</v>
      </c>
      <c r="K344" s="63" t="s">
        <v>1156</v>
      </c>
      <c r="L344" s="63"/>
      <c r="M344" s="63"/>
      <c r="N344" s="8" t="str">
        <f t="shared" si="5"/>
        <v>0</v>
      </c>
      <c r="O344" s="8" t="str">
        <f>INDEX(Кат!$H:$H,MATCH($A344,Кат!$A:$A,0))</f>
        <v>Китай БЕСТ ПАРТНЕР</v>
      </c>
    </row>
    <row r="345" spans="1:15" ht="30" x14ac:dyDescent="0.25">
      <c r="A345" s="62">
        <v>202662</v>
      </c>
      <c r="B345" s="62">
        <v>16932</v>
      </c>
      <c r="C345" s="63" t="s">
        <v>591</v>
      </c>
      <c r="D345" s="63" t="s">
        <v>1155</v>
      </c>
      <c r="E345" s="63"/>
      <c r="F345" s="63"/>
      <c r="G345" s="63" t="s">
        <v>3</v>
      </c>
      <c r="H345" s="64">
        <v>1200</v>
      </c>
      <c r="I345" s="64">
        <v>1590</v>
      </c>
      <c r="J345" s="63"/>
      <c r="K345" s="63" t="s">
        <v>4</v>
      </c>
      <c r="L345" s="63"/>
      <c r="M345" s="63"/>
      <c r="N345" s="8" t="str">
        <f t="shared" si="5"/>
        <v>1</v>
      </c>
      <c r="O345" s="8" t="str">
        <f>INDEX(Кат!$H:$H,MATCH($A345,Кат!$A:$A,0))</f>
        <v>Китай БЕСТ ПАРТНЕР</v>
      </c>
    </row>
    <row r="346" spans="1:15" ht="30" x14ac:dyDescent="0.25">
      <c r="A346" s="62">
        <v>202704</v>
      </c>
      <c r="B346" s="62">
        <v>13734</v>
      </c>
      <c r="C346" s="63" t="s">
        <v>355</v>
      </c>
      <c r="D346" s="63" t="s">
        <v>1155</v>
      </c>
      <c r="E346" s="63"/>
      <c r="F346" s="63"/>
      <c r="G346" s="63" t="s">
        <v>3</v>
      </c>
      <c r="H346" s="64">
        <v>0</v>
      </c>
      <c r="I346" s="64">
        <v>2690</v>
      </c>
      <c r="J346" s="63"/>
      <c r="K346" s="63" t="s">
        <v>1156</v>
      </c>
      <c r="L346" s="63"/>
      <c r="M346" s="63"/>
      <c r="N346" s="8" t="str">
        <f t="shared" si="5"/>
        <v>0</v>
      </c>
      <c r="O346" s="8" t="str">
        <f>INDEX(Кат!$H:$H,MATCH($A346,Кат!$A:$A,0))</f>
        <v>Китай БЕСТ ПАРТНЕР</v>
      </c>
    </row>
    <row r="347" spans="1:15" ht="30" x14ac:dyDescent="0.25">
      <c r="A347" s="62">
        <v>202705</v>
      </c>
      <c r="B347" s="62">
        <v>4479</v>
      </c>
      <c r="C347" s="63" t="s">
        <v>439</v>
      </c>
      <c r="D347" s="63" t="s">
        <v>1155</v>
      </c>
      <c r="E347" s="63"/>
      <c r="F347" s="63"/>
      <c r="G347" s="63" t="s">
        <v>3</v>
      </c>
      <c r="H347" s="64">
        <v>0</v>
      </c>
      <c r="I347" s="64">
        <v>2690</v>
      </c>
      <c r="J347" s="63"/>
      <c r="K347" s="63" t="s">
        <v>1156</v>
      </c>
      <c r="L347" s="63"/>
      <c r="M347" s="63"/>
      <c r="N347" s="8" t="str">
        <f t="shared" si="5"/>
        <v>0</v>
      </c>
      <c r="O347" s="8" t="str">
        <f>INDEX(Кат!$H:$H,MATCH($A347,Кат!$A:$A,0))</f>
        <v>Китай БЕСТ ПАРТНЕР</v>
      </c>
    </row>
    <row r="348" spans="1:15" ht="30" x14ac:dyDescent="0.25">
      <c r="A348" s="62">
        <v>202706</v>
      </c>
      <c r="B348" s="62">
        <v>4582</v>
      </c>
      <c r="C348" s="63" t="s">
        <v>475</v>
      </c>
      <c r="D348" s="63" t="s">
        <v>1155</v>
      </c>
      <c r="E348" s="63" t="s">
        <v>476</v>
      </c>
      <c r="F348" s="63"/>
      <c r="G348" s="63" t="s">
        <v>3</v>
      </c>
      <c r="H348" s="64">
        <v>3000</v>
      </c>
      <c r="I348" s="64">
        <v>3990</v>
      </c>
      <c r="J348" s="63" t="s">
        <v>884</v>
      </c>
      <c r="K348" s="63" t="s">
        <v>4</v>
      </c>
      <c r="L348" s="63"/>
      <c r="M348" s="63"/>
      <c r="N348" s="8" t="str">
        <f t="shared" si="5"/>
        <v>1</v>
      </c>
      <c r="O348" s="8" t="str">
        <f>INDEX(Кат!$H:$H,MATCH($A348,Кат!$A:$A,0))</f>
        <v>Китай БЕСТ ПАРТНЕР</v>
      </c>
    </row>
    <row r="349" spans="1:15" ht="30" x14ac:dyDescent="0.25">
      <c r="A349" s="62">
        <v>202707</v>
      </c>
      <c r="B349" s="62">
        <v>4573</v>
      </c>
      <c r="C349" s="63" t="s">
        <v>471</v>
      </c>
      <c r="D349" s="63" t="s">
        <v>1155</v>
      </c>
      <c r="E349" s="63"/>
      <c r="F349" s="63"/>
      <c r="G349" s="63" t="s">
        <v>3</v>
      </c>
      <c r="H349" s="64">
        <v>0</v>
      </c>
      <c r="I349" s="64">
        <v>2090</v>
      </c>
      <c r="J349" s="63"/>
      <c r="K349" s="63" t="s">
        <v>1156</v>
      </c>
      <c r="L349" s="63"/>
      <c r="M349" s="63"/>
      <c r="N349" s="8" t="str">
        <f t="shared" si="5"/>
        <v>0</v>
      </c>
      <c r="O349" s="8" t="str">
        <f>INDEX(Кат!$H:$H,MATCH($A349,Кат!$A:$A,0))</f>
        <v>Китай БЕСТ ПАРТНЕР</v>
      </c>
    </row>
    <row r="350" spans="1:15" ht="30" x14ac:dyDescent="0.25">
      <c r="A350" s="62">
        <v>202708</v>
      </c>
      <c r="B350" s="62">
        <v>4574</v>
      </c>
      <c r="C350" s="63" t="s">
        <v>472</v>
      </c>
      <c r="D350" s="63" t="s">
        <v>1155</v>
      </c>
      <c r="E350" s="63"/>
      <c r="F350" s="63"/>
      <c r="G350" s="63" t="s">
        <v>3</v>
      </c>
      <c r="H350" s="64">
        <v>1300</v>
      </c>
      <c r="I350" s="64">
        <v>1690</v>
      </c>
      <c r="J350" s="63"/>
      <c r="K350" s="63" t="s">
        <v>4</v>
      </c>
      <c r="L350" s="63"/>
      <c r="M350" s="63"/>
      <c r="N350" s="8" t="str">
        <f t="shared" si="5"/>
        <v>1</v>
      </c>
      <c r="O350" s="8" t="str">
        <f>INDEX(Кат!$H:$H,MATCH($A350,Кат!$A:$A,0))</f>
        <v>Китай БЕСТ ПАРТНЕР</v>
      </c>
    </row>
    <row r="351" spans="1:15" ht="30" x14ac:dyDescent="0.25">
      <c r="A351" s="62">
        <v>202709</v>
      </c>
      <c r="B351" s="62">
        <v>4577</v>
      </c>
      <c r="C351" s="63" t="s">
        <v>473</v>
      </c>
      <c r="D351" s="63" t="s">
        <v>1155</v>
      </c>
      <c r="E351" s="63"/>
      <c r="F351" s="63"/>
      <c r="G351" s="63" t="s">
        <v>3</v>
      </c>
      <c r="H351" s="64">
        <v>0</v>
      </c>
      <c r="I351" s="64">
        <v>2090</v>
      </c>
      <c r="J351" s="63"/>
      <c r="K351" s="63" t="s">
        <v>1156</v>
      </c>
      <c r="L351" s="63"/>
      <c r="M351" s="63"/>
      <c r="N351" s="8" t="str">
        <f t="shared" si="5"/>
        <v>0</v>
      </c>
      <c r="O351" s="8" t="str">
        <f>INDEX(Кат!$H:$H,MATCH($A351,Кат!$A:$A,0))</f>
        <v>Китай БЕСТ ПАРТНЕР</v>
      </c>
    </row>
    <row r="352" spans="1:15" ht="30" x14ac:dyDescent="0.25">
      <c r="A352" s="62">
        <v>202710</v>
      </c>
      <c r="B352" s="62">
        <v>4578</v>
      </c>
      <c r="C352" s="63" t="s">
        <v>474</v>
      </c>
      <c r="D352" s="63" t="s">
        <v>1155</v>
      </c>
      <c r="E352" s="63"/>
      <c r="F352" s="63"/>
      <c r="G352" s="63" t="s">
        <v>3</v>
      </c>
      <c r="H352" s="64">
        <v>0</v>
      </c>
      <c r="I352" s="64">
        <v>2090</v>
      </c>
      <c r="J352" s="63"/>
      <c r="K352" s="63" t="s">
        <v>1156</v>
      </c>
      <c r="L352" s="63"/>
      <c r="M352" s="63"/>
      <c r="N352" s="8" t="str">
        <f t="shared" si="5"/>
        <v>0</v>
      </c>
      <c r="O352" s="8" t="str">
        <f>INDEX(Кат!$H:$H,MATCH($A352,Кат!$A:$A,0))</f>
        <v>Китай БЕСТ ПАРТНЕР</v>
      </c>
    </row>
    <row r="353" spans="1:15" ht="45" x14ac:dyDescent="0.25">
      <c r="A353" s="62">
        <v>202712</v>
      </c>
      <c r="B353" s="62">
        <v>4590</v>
      </c>
      <c r="C353" s="63" t="s">
        <v>477</v>
      </c>
      <c r="D353" s="63" t="s">
        <v>1155</v>
      </c>
      <c r="E353" s="63"/>
      <c r="F353" s="63"/>
      <c r="G353" s="63" t="s">
        <v>3</v>
      </c>
      <c r="H353" s="64">
        <v>1300</v>
      </c>
      <c r="I353" s="64">
        <v>1990</v>
      </c>
      <c r="J353" s="63" t="s">
        <v>846</v>
      </c>
      <c r="K353" s="63" t="s">
        <v>4</v>
      </c>
      <c r="L353" s="63"/>
      <c r="M353" s="63"/>
      <c r="N353" s="8" t="str">
        <f t="shared" si="5"/>
        <v>1</v>
      </c>
      <c r="O353" s="8" t="str">
        <f>INDEX(Кат!$H:$H,MATCH($A353,Кат!$A:$A,0))</f>
        <v>Китай БЕСТ ПАРТНЕР</v>
      </c>
    </row>
    <row r="354" spans="1:15" ht="30" x14ac:dyDescent="0.25">
      <c r="A354" s="62">
        <v>202716</v>
      </c>
      <c r="B354" s="62">
        <v>16812</v>
      </c>
      <c r="C354" s="63" t="s">
        <v>155</v>
      </c>
      <c r="D354" s="63" t="s">
        <v>1155</v>
      </c>
      <c r="E354" s="63" t="s">
        <v>1504</v>
      </c>
      <c r="F354" s="63"/>
      <c r="G354" s="63" t="s">
        <v>3</v>
      </c>
      <c r="H354" s="64">
        <v>1300</v>
      </c>
      <c r="I354" s="64">
        <v>1890</v>
      </c>
      <c r="J354" s="63" t="s">
        <v>1432</v>
      </c>
      <c r="K354" s="63" t="s">
        <v>4</v>
      </c>
      <c r="L354" s="63"/>
      <c r="M354" s="63"/>
      <c r="N354" s="8" t="str">
        <f t="shared" si="5"/>
        <v>1</v>
      </c>
      <c r="O354" s="8" t="str">
        <f>INDEX(Кат!$H:$H,MATCH($A354,Кат!$A:$A,0))</f>
        <v>Китай БЕСТ ПАРТНЕР</v>
      </c>
    </row>
    <row r="355" spans="1:15" ht="45" x14ac:dyDescent="0.25">
      <c r="A355" s="62">
        <v>203963</v>
      </c>
      <c r="B355" s="62">
        <v>14072</v>
      </c>
      <c r="C355" s="63" t="s">
        <v>153</v>
      </c>
      <c r="D355" s="63" t="s">
        <v>1155</v>
      </c>
      <c r="E355" s="63"/>
      <c r="F355" s="63"/>
      <c r="G355" s="63" t="s">
        <v>3</v>
      </c>
      <c r="H355" s="64">
        <v>150</v>
      </c>
      <c r="I355" s="64">
        <v>239</v>
      </c>
      <c r="J355" s="63" t="s">
        <v>1458</v>
      </c>
      <c r="K355" s="63" t="s">
        <v>4</v>
      </c>
      <c r="L355" s="63"/>
      <c r="M355" s="63"/>
      <c r="N355" s="8" t="str">
        <f t="shared" si="5"/>
        <v>1</v>
      </c>
      <c r="O355" s="8" t="str">
        <f>INDEX(Кат!$H:$H,MATCH($A355,Кат!$A:$A,0))</f>
        <v>Китай БЕСТ ПАРТНЕР</v>
      </c>
    </row>
    <row r="356" spans="1:15" ht="30" x14ac:dyDescent="0.25">
      <c r="A356" s="62">
        <v>211410</v>
      </c>
      <c r="B356" s="62">
        <v>19391</v>
      </c>
      <c r="C356" s="63" t="s">
        <v>1178</v>
      </c>
      <c r="D356" s="63" t="s">
        <v>1155</v>
      </c>
      <c r="E356" s="63" t="s">
        <v>1179</v>
      </c>
      <c r="F356" s="63"/>
      <c r="G356" s="63" t="s">
        <v>3</v>
      </c>
      <c r="H356" s="64">
        <v>1200</v>
      </c>
      <c r="I356" s="64">
        <v>1590</v>
      </c>
      <c r="J356" s="63"/>
      <c r="K356" s="63" t="s">
        <v>1156</v>
      </c>
      <c r="L356" s="63"/>
      <c r="M356" s="63"/>
      <c r="N356" s="8" t="str">
        <f t="shared" si="5"/>
        <v>0</v>
      </c>
      <c r="O356" s="8" t="str">
        <f>INDEX(Кат!$H:$H,MATCH($A356,Кат!$A:$A,0))</f>
        <v>Китай БЕСТ ПАРТНЕР</v>
      </c>
    </row>
    <row r="357" spans="1:15" ht="30" x14ac:dyDescent="0.25">
      <c r="A357" s="62">
        <v>211411</v>
      </c>
      <c r="B357" s="62">
        <v>19390</v>
      </c>
      <c r="C357" s="63" t="s">
        <v>1180</v>
      </c>
      <c r="D357" s="63" t="s">
        <v>1155</v>
      </c>
      <c r="E357" s="63" t="s">
        <v>1063</v>
      </c>
      <c r="F357" s="63"/>
      <c r="G357" s="63" t="s">
        <v>3</v>
      </c>
      <c r="H357" s="64">
        <v>1000</v>
      </c>
      <c r="I357" s="64">
        <v>1290</v>
      </c>
      <c r="J357" s="63"/>
      <c r="K357" s="63" t="s">
        <v>4</v>
      </c>
      <c r="L357" s="63"/>
      <c r="M357" s="63"/>
      <c r="N357" s="8" t="str">
        <f t="shared" si="5"/>
        <v>1</v>
      </c>
      <c r="O357" s="8" t="str">
        <f>INDEX(Кат!$H:$H,MATCH($A357,Кат!$A:$A,0))</f>
        <v>Китай БЕСТ ПАРТНЕР</v>
      </c>
    </row>
    <row r="358" spans="1:15" ht="30" x14ac:dyDescent="0.25">
      <c r="A358" s="62">
        <v>211412</v>
      </c>
      <c r="B358" s="62">
        <v>19392</v>
      </c>
      <c r="C358" s="63" t="s">
        <v>1181</v>
      </c>
      <c r="D358" s="63" t="s">
        <v>1155</v>
      </c>
      <c r="E358" s="63" t="s">
        <v>1064</v>
      </c>
      <c r="F358" s="63"/>
      <c r="G358" s="63" t="s">
        <v>3</v>
      </c>
      <c r="H358" s="64">
        <v>1000</v>
      </c>
      <c r="I358" s="64">
        <v>1290</v>
      </c>
      <c r="J358" s="63"/>
      <c r="K358" s="63" t="s">
        <v>4</v>
      </c>
      <c r="L358" s="63"/>
      <c r="M358" s="63"/>
      <c r="N358" s="8" t="str">
        <f t="shared" si="5"/>
        <v>1</v>
      </c>
      <c r="O358" s="8" t="str">
        <f>INDEX(Кат!$H:$H,MATCH($A358,Кат!$A:$A,0))</f>
        <v>Китай БЕСТ ПАРТНЕР</v>
      </c>
    </row>
    <row r="359" spans="1:15" ht="30" x14ac:dyDescent="0.25">
      <c r="A359" s="62">
        <v>211413</v>
      </c>
      <c r="B359" s="62">
        <v>18934</v>
      </c>
      <c r="C359" s="63" t="s">
        <v>1182</v>
      </c>
      <c r="D359" s="63" t="s">
        <v>1155</v>
      </c>
      <c r="E359" s="63" t="s">
        <v>1183</v>
      </c>
      <c r="F359" s="63"/>
      <c r="G359" s="63" t="s">
        <v>3</v>
      </c>
      <c r="H359" s="64">
        <v>1000</v>
      </c>
      <c r="I359" s="64">
        <v>1290</v>
      </c>
      <c r="J359" s="63"/>
      <c r="K359" s="63" t="s">
        <v>1156</v>
      </c>
      <c r="L359" s="63"/>
      <c r="M359" s="63"/>
      <c r="N359" s="8" t="str">
        <f t="shared" si="5"/>
        <v>0</v>
      </c>
      <c r="O359" s="8" t="str">
        <f>INDEX(Кат!$H:$H,MATCH($A359,Кат!$A:$A,0))</f>
        <v>Китай БЕСТ ПАРТНЕР</v>
      </c>
    </row>
    <row r="360" spans="1:15" ht="30" x14ac:dyDescent="0.25">
      <c r="A360" s="62">
        <v>211414</v>
      </c>
      <c r="B360" s="62">
        <v>19222</v>
      </c>
      <c r="C360" s="63" t="s">
        <v>1184</v>
      </c>
      <c r="D360" s="63" t="s">
        <v>1155</v>
      </c>
      <c r="E360" s="63" t="s">
        <v>1061</v>
      </c>
      <c r="F360" s="63"/>
      <c r="G360" s="63" t="s">
        <v>3</v>
      </c>
      <c r="H360" s="64">
        <v>0</v>
      </c>
      <c r="I360" s="64">
        <v>1790</v>
      </c>
      <c r="J360" s="63"/>
      <c r="K360" s="63" t="s">
        <v>1156</v>
      </c>
      <c r="L360" s="63"/>
      <c r="M360" s="63"/>
      <c r="N360" s="8" t="str">
        <f t="shared" si="5"/>
        <v>0</v>
      </c>
      <c r="O360" s="8" t="str">
        <f>INDEX(Кат!$H:$H,MATCH($A360,Кат!$A:$A,0))</f>
        <v>Китай БЕСТ ПАРТНЕР</v>
      </c>
    </row>
    <row r="361" spans="1:15" ht="30" x14ac:dyDescent="0.25">
      <c r="A361" s="62">
        <v>211415</v>
      </c>
      <c r="B361" s="62">
        <v>19224</v>
      </c>
      <c r="C361" s="63" t="s">
        <v>1185</v>
      </c>
      <c r="D361" s="63" t="s">
        <v>1155</v>
      </c>
      <c r="E361" s="63" t="s">
        <v>1061</v>
      </c>
      <c r="F361" s="63"/>
      <c r="G361" s="63" t="s">
        <v>3</v>
      </c>
      <c r="H361" s="64">
        <v>1200</v>
      </c>
      <c r="I361" s="64">
        <v>1590</v>
      </c>
      <c r="J361" s="63"/>
      <c r="K361" s="63" t="s">
        <v>1156</v>
      </c>
      <c r="L361" s="63"/>
      <c r="M361" s="63"/>
      <c r="N361" s="8" t="str">
        <f t="shared" si="5"/>
        <v>0</v>
      </c>
      <c r="O361" s="8" t="str">
        <f>INDEX(Кат!$H:$H,MATCH($A361,Кат!$A:$A,0))</f>
        <v>Китай БЕСТ ПАРТНЕР</v>
      </c>
    </row>
    <row r="362" spans="1:15" ht="30" x14ac:dyDescent="0.25">
      <c r="A362" s="62">
        <v>211416</v>
      </c>
      <c r="B362" s="62">
        <v>19394</v>
      </c>
      <c r="C362" s="63" t="s">
        <v>1186</v>
      </c>
      <c r="D362" s="63" t="s">
        <v>1155</v>
      </c>
      <c r="E362" s="63" t="s">
        <v>1065</v>
      </c>
      <c r="F362" s="63"/>
      <c r="G362" s="63" t="s">
        <v>3</v>
      </c>
      <c r="H362" s="64">
        <v>1800</v>
      </c>
      <c r="I362" s="64">
        <v>2390</v>
      </c>
      <c r="J362" s="63"/>
      <c r="K362" s="63" t="s">
        <v>4</v>
      </c>
      <c r="L362" s="63"/>
      <c r="M362" s="63"/>
      <c r="N362" s="8" t="str">
        <f t="shared" si="5"/>
        <v>1</v>
      </c>
      <c r="O362" s="8" t="str">
        <f>INDEX(Кат!$H:$H,MATCH($A362,Кат!$A:$A,0))</f>
        <v>Китай БЕСТ ПАРТНЕР</v>
      </c>
    </row>
    <row r="363" spans="1:15" ht="30" x14ac:dyDescent="0.25">
      <c r="A363" s="62">
        <v>211417</v>
      </c>
      <c r="B363" s="62">
        <v>26556</v>
      </c>
      <c r="C363" s="63" t="s">
        <v>264</v>
      </c>
      <c r="D363" s="63" t="s">
        <v>1155</v>
      </c>
      <c r="E363" s="63" t="s">
        <v>649</v>
      </c>
      <c r="F363" s="63"/>
      <c r="G363" s="63" t="s">
        <v>3</v>
      </c>
      <c r="H363" s="64">
        <v>2200</v>
      </c>
      <c r="I363" s="64">
        <v>2890</v>
      </c>
      <c r="J363" s="63"/>
      <c r="K363" s="63" t="s">
        <v>4</v>
      </c>
      <c r="L363" s="63"/>
      <c r="M363" s="63"/>
      <c r="N363" s="8" t="str">
        <f t="shared" si="5"/>
        <v>1</v>
      </c>
      <c r="O363" s="8" t="str">
        <f>INDEX(Кат!$H:$H,MATCH($A363,Кат!$A:$A,0))</f>
        <v>Китай БЕСТ ПАРТНЕР</v>
      </c>
    </row>
    <row r="364" spans="1:15" ht="30" x14ac:dyDescent="0.25">
      <c r="A364" s="62">
        <v>211418</v>
      </c>
      <c r="B364" s="62">
        <v>19220</v>
      </c>
      <c r="C364" s="63" t="s">
        <v>1187</v>
      </c>
      <c r="D364" s="63" t="s">
        <v>1155</v>
      </c>
      <c r="E364" s="63" t="s">
        <v>1188</v>
      </c>
      <c r="F364" s="63"/>
      <c r="G364" s="63" t="s">
        <v>3</v>
      </c>
      <c r="H364" s="64">
        <v>1400</v>
      </c>
      <c r="I364" s="64">
        <v>1890</v>
      </c>
      <c r="J364" s="63"/>
      <c r="K364" s="63" t="s">
        <v>4</v>
      </c>
      <c r="L364" s="63"/>
      <c r="M364" s="63"/>
      <c r="N364" s="8" t="str">
        <f t="shared" si="5"/>
        <v>1</v>
      </c>
      <c r="O364" s="8" t="str">
        <f>INDEX(Кат!$H:$H,MATCH($A364,Кат!$A:$A,0))</f>
        <v>Китай БЕСТ ПАРТНЕР</v>
      </c>
    </row>
    <row r="365" spans="1:15" ht="30" x14ac:dyDescent="0.25">
      <c r="A365" s="62">
        <v>211419</v>
      </c>
      <c r="B365" s="62">
        <v>19221</v>
      </c>
      <c r="C365" s="63" t="s">
        <v>1189</v>
      </c>
      <c r="D365" s="63" t="s">
        <v>1155</v>
      </c>
      <c r="E365" s="63" t="s">
        <v>1060</v>
      </c>
      <c r="F365" s="63"/>
      <c r="G365" s="63" t="s">
        <v>3</v>
      </c>
      <c r="H365" s="64">
        <v>1500</v>
      </c>
      <c r="I365" s="64">
        <v>1990</v>
      </c>
      <c r="J365" s="63"/>
      <c r="K365" s="63" t="s">
        <v>4</v>
      </c>
      <c r="L365" s="63"/>
      <c r="M365" s="63"/>
      <c r="N365" s="8" t="str">
        <f t="shared" si="5"/>
        <v>1</v>
      </c>
      <c r="O365" s="8" t="str">
        <f>INDEX(Кат!$H:$H,MATCH($A365,Кат!$A:$A,0))</f>
        <v>Китай БЕСТ ПАРТНЕР</v>
      </c>
    </row>
    <row r="366" spans="1:15" ht="30" x14ac:dyDescent="0.25">
      <c r="A366" s="62">
        <v>211420</v>
      </c>
      <c r="B366" s="62">
        <v>18920</v>
      </c>
      <c r="C366" s="63" t="s">
        <v>1190</v>
      </c>
      <c r="D366" s="63" t="s">
        <v>1155</v>
      </c>
      <c r="E366" s="63" t="s">
        <v>1191</v>
      </c>
      <c r="F366" s="63"/>
      <c r="G366" s="63" t="s">
        <v>3</v>
      </c>
      <c r="H366" s="64">
        <v>1300</v>
      </c>
      <c r="I366" s="64">
        <v>1690</v>
      </c>
      <c r="J366" s="63"/>
      <c r="K366" s="63" t="s">
        <v>1156</v>
      </c>
      <c r="L366" s="63"/>
      <c r="M366" s="63"/>
      <c r="N366" s="8" t="str">
        <f t="shared" si="5"/>
        <v>0</v>
      </c>
      <c r="O366" s="8" t="str">
        <f>INDEX(Кат!$H:$H,MATCH($A366,Кат!$A:$A,0))</f>
        <v>Китай БЕСТ ПАРТНЕР</v>
      </c>
    </row>
    <row r="367" spans="1:15" ht="30" x14ac:dyDescent="0.25">
      <c r="A367" s="62">
        <v>211421</v>
      </c>
      <c r="B367" s="62">
        <v>18947</v>
      </c>
      <c r="C367" s="63" t="s">
        <v>1192</v>
      </c>
      <c r="D367" s="63" t="s">
        <v>1155</v>
      </c>
      <c r="E367" s="63" t="s">
        <v>1193</v>
      </c>
      <c r="F367" s="63"/>
      <c r="G367" s="63" t="s">
        <v>3</v>
      </c>
      <c r="H367" s="64">
        <v>1200</v>
      </c>
      <c r="I367" s="64">
        <v>1590</v>
      </c>
      <c r="J367" s="63"/>
      <c r="K367" s="63" t="s">
        <v>4</v>
      </c>
      <c r="L367" s="63"/>
      <c r="M367" s="63"/>
      <c r="N367" s="8" t="str">
        <f t="shared" si="5"/>
        <v>1</v>
      </c>
      <c r="O367" s="8" t="str">
        <f>INDEX(Кат!$H:$H,MATCH($A367,Кат!$A:$A,0))</f>
        <v>Китай БЕСТ ПАРТНЕР</v>
      </c>
    </row>
    <row r="368" spans="1:15" ht="30" x14ac:dyDescent="0.25">
      <c r="A368" s="62">
        <v>211422</v>
      </c>
      <c r="B368" s="62">
        <v>19115</v>
      </c>
      <c r="C368" s="63" t="s">
        <v>1194</v>
      </c>
      <c r="D368" s="63" t="s">
        <v>1155</v>
      </c>
      <c r="E368" s="63" t="s">
        <v>1195</v>
      </c>
      <c r="F368" s="63"/>
      <c r="G368" s="63" t="s">
        <v>3</v>
      </c>
      <c r="H368" s="64">
        <v>1000</v>
      </c>
      <c r="I368" s="64">
        <v>1290</v>
      </c>
      <c r="J368" s="63"/>
      <c r="K368" s="63" t="s">
        <v>4</v>
      </c>
      <c r="L368" s="63"/>
      <c r="M368" s="63"/>
      <c r="N368" s="8" t="str">
        <f t="shared" si="5"/>
        <v>1</v>
      </c>
      <c r="O368" s="8" t="str">
        <f>INDEX(Кат!$H:$H,MATCH($A368,Кат!$A:$A,0))</f>
        <v>Китай БЕСТ ПАРТНЕР</v>
      </c>
    </row>
    <row r="369" spans="1:15" ht="30" x14ac:dyDescent="0.25">
      <c r="A369" s="62">
        <v>211423</v>
      </c>
      <c r="B369" s="62">
        <v>33262</v>
      </c>
      <c r="C369" s="63" t="s">
        <v>282</v>
      </c>
      <c r="D369" s="63" t="s">
        <v>1155</v>
      </c>
      <c r="E369" s="63" t="s">
        <v>283</v>
      </c>
      <c r="F369" s="63" t="s">
        <v>283</v>
      </c>
      <c r="G369" s="63" t="s">
        <v>3</v>
      </c>
      <c r="H369" s="64">
        <v>2200</v>
      </c>
      <c r="I369" s="64">
        <v>2890</v>
      </c>
      <c r="J369" s="63"/>
      <c r="K369" s="63" t="s">
        <v>4</v>
      </c>
      <c r="L369" s="63"/>
      <c r="M369" s="63"/>
      <c r="N369" s="8" t="str">
        <f t="shared" si="5"/>
        <v>1</v>
      </c>
      <c r="O369" s="8" t="str">
        <f>INDEX(Кат!$H:$H,MATCH($A369,Кат!$A:$A,0))</f>
        <v>Китай БЕСТ ПАРТНЕР</v>
      </c>
    </row>
    <row r="370" spans="1:15" ht="30" x14ac:dyDescent="0.25">
      <c r="A370" s="62">
        <v>211424</v>
      </c>
      <c r="B370" s="62">
        <v>18900</v>
      </c>
      <c r="C370" s="63" t="s">
        <v>1196</v>
      </c>
      <c r="D370" s="63" t="s">
        <v>1155</v>
      </c>
      <c r="E370" s="63" t="s">
        <v>1059</v>
      </c>
      <c r="F370" s="63"/>
      <c r="G370" s="63" t="s">
        <v>3</v>
      </c>
      <c r="H370" s="64">
        <v>2200</v>
      </c>
      <c r="I370" s="64">
        <v>2890</v>
      </c>
      <c r="J370" s="63"/>
      <c r="K370" s="63" t="s">
        <v>4</v>
      </c>
      <c r="L370" s="63"/>
      <c r="M370" s="63"/>
      <c r="N370" s="8" t="str">
        <f t="shared" si="5"/>
        <v>1</v>
      </c>
      <c r="O370" s="8" t="str">
        <f>INDEX(Кат!$H:$H,MATCH($A370,Кат!$A:$A,0))</f>
        <v>Китай БЕСТ ПАРТНЕР</v>
      </c>
    </row>
    <row r="371" spans="1:15" ht="30" x14ac:dyDescent="0.25">
      <c r="A371" s="62">
        <v>211425</v>
      </c>
      <c r="B371" s="62">
        <v>4561</v>
      </c>
      <c r="C371" s="63" t="s">
        <v>1001</v>
      </c>
      <c r="D371" s="63" t="s">
        <v>1155</v>
      </c>
      <c r="E371" s="63" t="s">
        <v>470</v>
      </c>
      <c r="F371" s="63"/>
      <c r="G371" s="63" t="s">
        <v>3</v>
      </c>
      <c r="H371" s="64">
        <v>2200</v>
      </c>
      <c r="I371" s="64">
        <v>2890</v>
      </c>
      <c r="J371" s="63"/>
      <c r="K371" s="63" t="s">
        <v>4</v>
      </c>
      <c r="L371" s="63"/>
      <c r="M371" s="63"/>
      <c r="N371" s="8" t="str">
        <f t="shared" si="5"/>
        <v>1</v>
      </c>
      <c r="O371" s="8" t="str">
        <f>INDEX(Кат!$H:$H,MATCH($A371,Кат!$A:$A,0))</f>
        <v>Китай БЕСТ ПАРТНЕР</v>
      </c>
    </row>
    <row r="372" spans="1:15" ht="30" x14ac:dyDescent="0.25">
      <c r="A372" s="62">
        <v>211426</v>
      </c>
      <c r="B372" s="62">
        <v>24563</v>
      </c>
      <c r="C372" s="63" t="s">
        <v>252</v>
      </c>
      <c r="D372" s="63" t="s">
        <v>1155</v>
      </c>
      <c r="E372" s="63"/>
      <c r="F372" s="63"/>
      <c r="G372" s="63" t="s">
        <v>3</v>
      </c>
      <c r="H372" s="64">
        <v>1900</v>
      </c>
      <c r="I372" s="64">
        <v>2490</v>
      </c>
      <c r="J372" s="63"/>
      <c r="K372" s="63" t="s">
        <v>1156</v>
      </c>
      <c r="L372" s="63"/>
      <c r="M372" s="63"/>
      <c r="N372" s="8" t="str">
        <f t="shared" si="5"/>
        <v>0</v>
      </c>
      <c r="O372" s="8" t="str">
        <f>INDEX(Кат!$H:$H,MATCH($A372,Кат!$A:$A,0))</f>
        <v>Китай БЕСТ ПАРТНЕР</v>
      </c>
    </row>
    <row r="373" spans="1:15" ht="75" x14ac:dyDescent="0.25">
      <c r="A373" s="62">
        <v>211427</v>
      </c>
      <c r="B373" s="62">
        <v>23779</v>
      </c>
      <c r="C373" s="63" t="s">
        <v>189</v>
      </c>
      <c r="D373" s="63" t="s">
        <v>1155</v>
      </c>
      <c r="E373" s="63"/>
      <c r="F373" s="63"/>
      <c r="G373" s="63" t="s">
        <v>3</v>
      </c>
      <c r="H373" s="64">
        <v>2700</v>
      </c>
      <c r="I373" s="64">
        <v>3490</v>
      </c>
      <c r="J373" s="63"/>
      <c r="K373" s="63" t="s">
        <v>4</v>
      </c>
      <c r="L373" s="63"/>
      <c r="M373" s="63"/>
      <c r="N373" s="8" t="str">
        <f t="shared" si="5"/>
        <v>1</v>
      </c>
      <c r="O373" s="8" t="str">
        <f>INDEX(Кат!$H:$H,MATCH($A373,Кат!$A:$A,0))</f>
        <v>Китай БЕСТ ПАРТНЕР</v>
      </c>
    </row>
    <row r="374" spans="1:15" ht="75" x14ac:dyDescent="0.25">
      <c r="A374" s="62">
        <v>211428</v>
      </c>
      <c r="B374" s="62">
        <v>23776</v>
      </c>
      <c r="C374" s="63" t="s">
        <v>187</v>
      </c>
      <c r="D374" s="63" t="s">
        <v>1155</v>
      </c>
      <c r="E374" s="63"/>
      <c r="F374" s="63"/>
      <c r="G374" s="63" t="s">
        <v>3</v>
      </c>
      <c r="H374" s="64">
        <v>2700</v>
      </c>
      <c r="I374" s="64">
        <v>3490</v>
      </c>
      <c r="J374" s="63"/>
      <c r="K374" s="63" t="s">
        <v>4</v>
      </c>
      <c r="L374" s="63"/>
      <c r="M374" s="63"/>
      <c r="N374" s="8" t="str">
        <f t="shared" si="5"/>
        <v>1</v>
      </c>
      <c r="O374" s="8" t="str">
        <f>INDEX(Кат!$H:$H,MATCH($A374,Кат!$A:$A,0))</f>
        <v>Китай БЕСТ ПАРТНЕР</v>
      </c>
    </row>
    <row r="375" spans="1:15" ht="75" x14ac:dyDescent="0.25">
      <c r="A375" s="62">
        <v>211430</v>
      </c>
      <c r="B375" s="62">
        <v>23780</v>
      </c>
      <c r="C375" s="63" t="s">
        <v>190</v>
      </c>
      <c r="D375" s="63" t="s">
        <v>1155</v>
      </c>
      <c r="E375" s="63"/>
      <c r="F375" s="63"/>
      <c r="G375" s="63" t="s">
        <v>3</v>
      </c>
      <c r="H375" s="64">
        <v>2700</v>
      </c>
      <c r="I375" s="64">
        <v>3790</v>
      </c>
      <c r="J375" s="63" t="s">
        <v>933</v>
      </c>
      <c r="K375" s="63" t="s">
        <v>4</v>
      </c>
      <c r="L375" s="63"/>
      <c r="M375" s="63"/>
      <c r="N375" s="8" t="str">
        <f t="shared" si="5"/>
        <v>1</v>
      </c>
      <c r="O375" s="8" t="str">
        <f>INDEX(Кат!$H:$H,MATCH($A375,Кат!$A:$A,0))</f>
        <v>Китай БЕСТ ПАРТНЕР</v>
      </c>
    </row>
    <row r="376" spans="1:15" ht="75" x14ac:dyDescent="0.25">
      <c r="A376" s="62">
        <v>211429</v>
      </c>
      <c r="B376" s="62">
        <v>23778</v>
      </c>
      <c r="C376" s="63" t="s">
        <v>1067</v>
      </c>
      <c r="D376" s="63" t="s">
        <v>1155</v>
      </c>
      <c r="E376" s="63" t="s">
        <v>1068</v>
      </c>
      <c r="F376" s="63"/>
      <c r="G376" s="63" t="s">
        <v>3</v>
      </c>
      <c r="H376" s="64">
        <v>2900</v>
      </c>
      <c r="I376" s="64">
        <v>3790</v>
      </c>
      <c r="J376" s="63"/>
      <c r="K376" s="63" t="s">
        <v>4</v>
      </c>
      <c r="L376" s="63"/>
      <c r="M376" s="63"/>
      <c r="N376" s="8" t="str">
        <f t="shared" si="5"/>
        <v>1</v>
      </c>
      <c r="O376" s="8" t="str">
        <f>INDEX(Кат!$H:$H,MATCH($A376,Кат!$A:$A,0))</f>
        <v>Китай БЕСТ ПАРТНЕР</v>
      </c>
    </row>
    <row r="377" spans="1:15" ht="75" x14ac:dyDescent="0.25">
      <c r="A377" s="62">
        <v>211431</v>
      </c>
      <c r="B377" s="62">
        <v>23781</v>
      </c>
      <c r="C377" s="63" t="s">
        <v>191</v>
      </c>
      <c r="D377" s="63" t="s">
        <v>1155</v>
      </c>
      <c r="E377" s="63"/>
      <c r="F377" s="63"/>
      <c r="G377" s="63" t="s">
        <v>3</v>
      </c>
      <c r="H377" s="64">
        <v>2700</v>
      </c>
      <c r="I377" s="64">
        <v>3490</v>
      </c>
      <c r="J377" s="63"/>
      <c r="K377" s="63" t="s">
        <v>4</v>
      </c>
      <c r="L377" s="63"/>
      <c r="M377" s="63"/>
      <c r="N377" s="8" t="str">
        <f t="shared" si="5"/>
        <v>1</v>
      </c>
      <c r="O377" s="8" t="str">
        <f>INDEX(Кат!$H:$H,MATCH($A377,Кат!$A:$A,0))</f>
        <v>Китай БЕСТ ПАРТНЕР</v>
      </c>
    </row>
    <row r="378" spans="1:15" ht="75" x14ac:dyDescent="0.25">
      <c r="A378" s="62">
        <v>211432</v>
      </c>
      <c r="B378" s="62">
        <v>23777</v>
      </c>
      <c r="C378" s="63" t="s">
        <v>188</v>
      </c>
      <c r="D378" s="63" t="s">
        <v>1155</v>
      </c>
      <c r="E378" s="63"/>
      <c r="F378" s="63"/>
      <c r="G378" s="63" t="s">
        <v>3</v>
      </c>
      <c r="H378" s="64">
        <v>2500</v>
      </c>
      <c r="I378" s="64">
        <v>3290</v>
      </c>
      <c r="J378" s="63"/>
      <c r="K378" s="63" t="s">
        <v>4</v>
      </c>
      <c r="L378" s="63"/>
      <c r="M378" s="63"/>
      <c r="N378" s="8" t="str">
        <f t="shared" si="5"/>
        <v>1</v>
      </c>
      <c r="O378" s="8" t="str">
        <f>INDEX(Кат!$H:$H,MATCH($A378,Кат!$A:$A,0))</f>
        <v>Китай БЕСТ ПАРТНЕР</v>
      </c>
    </row>
    <row r="379" spans="1:15" ht="30" x14ac:dyDescent="0.25">
      <c r="A379" s="62">
        <v>211433</v>
      </c>
      <c r="B379" s="62">
        <v>4538</v>
      </c>
      <c r="C379" s="63" t="s">
        <v>26</v>
      </c>
      <c r="D379" s="63" t="s">
        <v>1155</v>
      </c>
      <c r="E379" s="63" t="s">
        <v>1197</v>
      </c>
      <c r="F379" s="63"/>
      <c r="G379" s="63" t="s">
        <v>3</v>
      </c>
      <c r="H379" s="64">
        <v>900</v>
      </c>
      <c r="I379" s="64">
        <v>1390</v>
      </c>
      <c r="J379" s="63"/>
      <c r="K379" s="63" t="s">
        <v>1156</v>
      </c>
      <c r="L379" s="63"/>
      <c r="M379" s="63"/>
      <c r="N379" s="8" t="str">
        <f t="shared" si="5"/>
        <v>0</v>
      </c>
      <c r="O379" s="8" t="str">
        <f>INDEX(Кат!$H:$H,MATCH($A379,Кат!$A:$A,0))</f>
        <v>Китай БЕСТ ПАРТНЕР</v>
      </c>
    </row>
    <row r="380" spans="1:15" ht="30" x14ac:dyDescent="0.25">
      <c r="A380" s="62">
        <v>211434</v>
      </c>
      <c r="B380" s="62">
        <v>4530</v>
      </c>
      <c r="C380" s="63" t="s">
        <v>1198</v>
      </c>
      <c r="D380" s="63" t="s">
        <v>1155</v>
      </c>
      <c r="E380" s="63" t="s">
        <v>1199</v>
      </c>
      <c r="F380" s="63"/>
      <c r="G380" s="63" t="s">
        <v>3</v>
      </c>
      <c r="H380" s="64">
        <v>800</v>
      </c>
      <c r="I380" s="64">
        <v>1190</v>
      </c>
      <c r="J380" s="63"/>
      <c r="K380" s="63" t="s">
        <v>1156</v>
      </c>
      <c r="L380" s="63"/>
      <c r="M380" s="63"/>
      <c r="N380" s="8" t="str">
        <f t="shared" si="5"/>
        <v>0</v>
      </c>
      <c r="O380" s="8" t="str">
        <f>INDEX(Кат!$H:$H,MATCH($A380,Кат!$A:$A,0))</f>
        <v>Китай БЕСТ ПАРТНЕР</v>
      </c>
    </row>
    <row r="381" spans="1:15" ht="30" x14ac:dyDescent="0.25">
      <c r="A381" s="62">
        <v>211435</v>
      </c>
      <c r="B381" s="62">
        <v>4521</v>
      </c>
      <c r="C381" s="63" t="s">
        <v>1200</v>
      </c>
      <c r="D381" s="63" t="s">
        <v>1155</v>
      </c>
      <c r="E381" s="63" t="s">
        <v>468</v>
      </c>
      <c r="F381" s="63"/>
      <c r="G381" s="63" t="s">
        <v>3</v>
      </c>
      <c r="H381" s="64">
        <v>800</v>
      </c>
      <c r="I381" s="64">
        <v>1190</v>
      </c>
      <c r="J381" s="63"/>
      <c r="K381" s="63" t="s">
        <v>4</v>
      </c>
      <c r="L381" s="63"/>
      <c r="M381" s="63"/>
      <c r="N381" s="8" t="str">
        <f t="shared" si="5"/>
        <v>1</v>
      </c>
      <c r="O381" s="8" t="str">
        <f>INDEX(Кат!$H:$H,MATCH($A381,Кат!$A:$A,0))</f>
        <v>Китай БЕСТ ПАРТНЕР</v>
      </c>
    </row>
    <row r="382" spans="1:15" ht="30" x14ac:dyDescent="0.25">
      <c r="A382" s="62">
        <v>211436</v>
      </c>
      <c r="B382" s="62">
        <v>4527</v>
      </c>
      <c r="C382" s="63" t="s">
        <v>1513</v>
      </c>
      <c r="D382" s="63" t="s">
        <v>1155</v>
      </c>
      <c r="E382" s="63" t="s">
        <v>469</v>
      </c>
      <c r="F382" s="63"/>
      <c r="G382" s="63" t="s">
        <v>3</v>
      </c>
      <c r="H382" s="64">
        <v>800</v>
      </c>
      <c r="I382" s="64">
        <v>1190</v>
      </c>
      <c r="J382" s="63"/>
      <c r="K382" s="63" t="s">
        <v>4</v>
      </c>
      <c r="L382" s="63"/>
      <c r="M382" s="63"/>
      <c r="N382" s="8" t="str">
        <f t="shared" si="5"/>
        <v>1</v>
      </c>
      <c r="O382" s="8" t="str">
        <f>INDEX(Кат!$H:$H,MATCH($A382,Кат!$A:$A,0))</f>
        <v>Китай БЕСТ ПАРТНЕР</v>
      </c>
    </row>
    <row r="383" spans="1:15" ht="30" x14ac:dyDescent="0.25">
      <c r="A383" s="62">
        <v>211437</v>
      </c>
      <c r="B383" s="62">
        <v>4550</v>
      </c>
      <c r="C383" s="63" t="s">
        <v>28</v>
      </c>
      <c r="D383" s="63" t="s">
        <v>1155</v>
      </c>
      <c r="E383" s="63" t="s">
        <v>1201</v>
      </c>
      <c r="F383" s="63"/>
      <c r="G383" s="63" t="s">
        <v>3</v>
      </c>
      <c r="H383" s="64">
        <v>1000</v>
      </c>
      <c r="I383" s="64">
        <v>1290</v>
      </c>
      <c r="J383" s="63"/>
      <c r="K383" s="63" t="s">
        <v>4</v>
      </c>
      <c r="L383" s="63"/>
      <c r="M383" s="63"/>
      <c r="N383" s="8" t="str">
        <f t="shared" si="5"/>
        <v>1</v>
      </c>
      <c r="O383" s="8" t="str">
        <f>INDEX(Кат!$H:$H,MATCH($A383,Кат!$A:$A,0))</f>
        <v>Китай БЕСТ ПАРТНЕР</v>
      </c>
    </row>
    <row r="384" spans="1:15" ht="30" x14ac:dyDescent="0.25">
      <c r="A384" s="62">
        <v>211438</v>
      </c>
      <c r="B384" s="62">
        <v>30526</v>
      </c>
      <c r="C384" s="63" t="s">
        <v>267</v>
      </c>
      <c r="D384" s="63" t="s">
        <v>1155</v>
      </c>
      <c r="E384" s="63"/>
      <c r="F384" s="63"/>
      <c r="G384" s="63" t="s">
        <v>3</v>
      </c>
      <c r="H384" s="64">
        <v>5000</v>
      </c>
      <c r="I384" s="64">
        <v>6590</v>
      </c>
      <c r="J384" s="63"/>
      <c r="K384" s="63" t="s">
        <v>4</v>
      </c>
      <c r="L384" s="63"/>
      <c r="M384" s="63"/>
      <c r="N384" s="8" t="str">
        <f t="shared" si="5"/>
        <v>1</v>
      </c>
      <c r="O384" s="8" t="str">
        <f>INDEX(Кат!$H:$H,MATCH($A384,Кат!$A:$A,0))</f>
        <v>Китай БЕСТ ПАРТНЕР</v>
      </c>
    </row>
    <row r="385" spans="1:15" ht="30" x14ac:dyDescent="0.25">
      <c r="A385" s="62">
        <v>211439</v>
      </c>
      <c r="B385" s="62">
        <v>13722</v>
      </c>
      <c r="C385" s="63" t="s">
        <v>580</v>
      </c>
      <c r="D385" s="63" t="s">
        <v>1155</v>
      </c>
      <c r="E385" s="63"/>
      <c r="F385" s="63"/>
      <c r="G385" s="63" t="s">
        <v>3</v>
      </c>
      <c r="H385" s="64">
        <v>1200</v>
      </c>
      <c r="I385" s="64">
        <v>1590</v>
      </c>
      <c r="J385" s="63"/>
      <c r="K385" s="63" t="s">
        <v>4</v>
      </c>
      <c r="L385" s="63"/>
      <c r="M385" s="63"/>
      <c r="N385" s="8" t="str">
        <f t="shared" si="5"/>
        <v>1</v>
      </c>
      <c r="O385" s="8" t="str">
        <f>INDEX(Кат!$H:$H,MATCH($A385,Кат!$A:$A,0))</f>
        <v>Китай БЕСТ ПАРТНЕР</v>
      </c>
    </row>
    <row r="386" spans="1:15" ht="30" x14ac:dyDescent="0.25">
      <c r="A386" s="62">
        <v>211440</v>
      </c>
      <c r="B386" s="62">
        <v>4500</v>
      </c>
      <c r="C386" s="63" t="s">
        <v>16</v>
      </c>
      <c r="D386" s="63" t="s">
        <v>1155</v>
      </c>
      <c r="E386" s="63" t="s">
        <v>1202</v>
      </c>
      <c r="F386" s="63"/>
      <c r="G386" s="63" t="s">
        <v>3</v>
      </c>
      <c r="H386" s="64">
        <v>1600</v>
      </c>
      <c r="I386" s="64">
        <v>2090</v>
      </c>
      <c r="J386" s="63"/>
      <c r="K386" s="63" t="s">
        <v>4</v>
      </c>
      <c r="L386" s="63"/>
      <c r="M386" s="63"/>
      <c r="N386" s="8" t="str">
        <f t="shared" si="5"/>
        <v>1</v>
      </c>
      <c r="O386" s="8" t="str">
        <f>INDEX(Кат!$H:$H,MATCH($A386,Кат!$A:$A,0))</f>
        <v>Китай БЕСТ ПАРТНЕР</v>
      </c>
    </row>
    <row r="387" spans="1:15" ht="30" x14ac:dyDescent="0.25">
      <c r="A387" s="62">
        <v>211441</v>
      </c>
      <c r="B387" s="62">
        <v>18948</v>
      </c>
      <c r="C387" s="63" t="s">
        <v>1203</v>
      </c>
      <c r="D387" s="63" t="s">
        <v>1155</v>
      </c>
      <c r="E387" s="63" t="s">
        <v>1204</v>
      </c>
      <c r="F387" s="63"/>
      <c r="G387" s="63" t="s">
        <v>3</v>
      </c>
      <c r="H387" s="64">
        <v>1000</v>
      </c>
      <c r="I387" s="64">
        <v>1290</v>
      </c>
      <c r="J387" s="63"/>
      <c r="K387" s="63" t="s">
        <v>4</v>
      </c>
      <c r="L387" s="63"/>
      <c r="M387" s="63"/>
      <c r="N387" s="8" t="str">
        <f t="shared" ref="N387:N450" si="6">_xlfn.CONCAT(K387,IF(L387&lt;&gt;"",_xlfn.CONCAT("ск",L387),""))</f>
        <v>1</v>
      </c>
      <c r="O387" s="8" t="str">
        <f>INDEX(Кат!$H:$H,MATCH($A387,Кат!$A:$A,0))</f>
        <v>Китай БЕСТ ПАРТНЕР</v>
      </c>
    </row>
    <row r="388" spans="1:15" ht="30" x14ac:dyDescent="0.25">
      <c r="A388" s="62">
        <v>211442</v>
      </c>
      <c r="B388" s="62">
        <v>19181</v>
      </c>
      <c r="C388" s="63" t="s">
        <v>173</v>
      </c>
      <c r="D388" s="63" t="s">
        <v>1155</v>
      </c>
      <c r="E388" s="63" t="s">
        <v>1205</v>
      </c>
      <c r="F388" s="63"/>
      <c r="G388" s="63" t="s">
        <v>3</v>
      </c>
      <c r="H388" s="64">
        <v>1000</v>
      </c>
      <c r="I388" s="64">
        <v>1290</v>
      </c>
      <c r="J388" s="63"/>
      <c r="K388" s="63" t="s">
        <v>4</v>
      </c>
      <c r="L388" s="63"/>
      <c r="M388" s="63"/>
      <c r="N388" s="8" t="str">
        <f t="shared" si="6"/>
        <v>1</v>
      </c>
      <c r="O388" s="8" t="str">
        <f>INDEX(Кат!$H:$H,MATCH($A388,Кат!$A:$A,0))</f>
        <v>Китай БЕСТ ПАРТНЕР</v>
      </c>
    </row>
    <row r="389" spans="1:15" ht="30" x14ac:dyDescent="0.25">
      <c r="A389" s="62">
        <v>211443</v>
      </c>
      <c r="B389" s="62">
        <v>13716</v>
      </c>
      <c r="C389" s="63" t="s">
        <v>1206</v>
      </c>
      <c r="D389" s="63" t="s">
        <v>1155</v>
      </c>
      <c r="E389" s="63" t="s">
        <v>1047</v>
      </c>
      <c r="F389" s="63"/>
      <c r="G389" s="63" t="s">
        <v>3</v>
      </c>
      <c r="H389" s="64">
        <v>1600</v>
      </c>
      <c r="I389" s="64">
        <v>2090</v>
      </c>
      <c r="J389" s="63"/>
      <c r="K389" s="63" t="s">
        <v>1156</v>
      </c>
      <c r="L389" s="63"/>
      <c r="M389" s="63"/>
      <c r="N389" s="8" t="str">
        <f t="shared" si="6"/>
        <v>0</v>
      </c>
      <c r="O389" s="8" t="str">
        <f>INDEX(Кат!$H:$H,MATCH($A389,Кат!$A:$A,0))</f>
        <v>Китай БЕСТ ПАРТНЕР</v>
      </c>
    </row>
    <row r="390" spans="1:15" ht="30" x14ac:dyDescent="0.25">
      <c r="A390" s="62">
        <v>211444</v>
      </c>
      <c r="B390" s="62">
        <v>13664</v>
      </c>
      <c r="C390" s="63" t="s">
        <v>1206</v>
      </c>
      <c r="D390" s="63" t="s">
        <v>1155</v>
      </c>
      <c r="E390" s="63" t="s">
        <v>1046</v>
      </c>
      <c r="F390" s="63"/>
      <c r="G390" s="63" t="s">
        <v>3</v>
      </c>
      <c r="H390" s="64">
        <v>850</v>
      </c>
      <c r="I390" s="64">
        <v>1290</v>
      </c>
      <c r="J390" s="63"/>
      <c r="K390" s="63" t="s">
        <v>4</v>
      </c>
      <c r="L390" s="63"/>
      <c r="M390" s="63"/>
      <c r="N390" s="8" t="str">
        <f t="shared" si="6"/>
        <v>1</v>
      </c>
      <c r="O390" s="8" t="str">
        <f>INDEX(Кат!$H:$H,MATCH($A390,Кат!$A:$A,0))</f>
        <v>Китай БЕСТ ПАРТНЕР</v>
      </c>
    </row>
    <row r="391" spans="1:15" ht="30" x14ac:dyDescent="0.25">
      <c r="A391" s="62">
        <v>211445</v>
      </c>
      <c r="B391" s="62">
        <v>13661</v>
      </c>
      <c r="C391" s="63" t="s">
        <v>1206</v>
      </c>
      <c r="D391" s="63" t="s">
        <v>1155</v>
      </c>
      <c r="E391" s="63" t="s">
        <v>1044</v>
      </c>
      <c r="F391" s="63"/>
      <c r="G391" s="63" t="s">
        <v>3</v>
      </c>
      <c r="H391" s="64">
        <v>800</v>
      </c>
      <c r="I391" s="64">
        <v>1190</v>
      </c>
      <c r="J391" s="63"/>
      <c r="K391" s="63" t="s">
        <v>4</v>
      </c>
      <c r="L391" s="63"/>
      <c r="M391" s="63"/>
      <c r="N391" s="8" t="str">
        <f t="shared" si="6"/>
        <v>1</v>
      </c>
      <c r="O391" s="8" t="str">
        <f>INDEX(Кат!$H:$H,MATCH($A391,Кат!$A:$A,0))</f>
        <v>Китай БЕСТ ПАРТНЕР</v>
      </c>
    </row>
    <row r="392" spans="1:15" ht="30" x14ac:dyDescent="0.25">
      <c r="A392" s="62">
        <v>211446</v>
      </c>
      <c r="B392" s="62">
        <v>13660</v>
      </c>
      <c r="C392" s="63" t="s">
        <v>1206</v>
      </c>
      <c r="D392" s="63" t="s">
        <v>1155</v>
      </c>
      <c r="E392" s="63" t="s">
        <v>1207</v>
      </c>
      <c r="F392" s="63"/>
      <c r="G392" s="63" t="s">
        <v>3</v>
      </c>
      <c r="H392" s="64">
        <v>800</v>
      </c>
      <c r="I392" s="64">
        <v>1190</v>
      </c>
      <c r="J392" s="63"/>
      <c r="K392" s="63" t="s">
        <v>4</v>
      </c>
      <c r="L392" s="63"/>
      <c r="M392" s="63"/>
      <c r="N392" s="8" t="str">
        <f t="shared" si="6"/>
        <v>1</v>
      </c>
      <c r="O392" s="8" t="str">
        <f>INDEX(Кат!$H:$H,MATCH($A392,Кат!$A:$A,0))</f>
        <v>Китай БЕСТ ПАРТНЕР</v>
      </c>
    </row>
    <row r="393" spans="1:15" ht="30" x14ac:dyDescent="0.25">
      <c r="A393" s="62">
        <v>211447</v>
      </c>
      <c r="B393" s="62">
        <v>13656</v>
      </c>
      <c r="C393" s="63" t="s">
        <v>1206</v>
      </c>
      <c r="D393" s="63" t="s">
        <v>1155</v>
      </c>
      <c r="E393" s="63" t="s">
        <v>1043</v>
      </c>
      <c r="F393" s="63"/>
      <c r="G393" s="63" t="s">
        <v>3</v>
      </c>
      <c r="H393" s="64">
        <v>850</v>
      </c>
      <c r="I393" s="64">
        <v>1290</v>
      </c>
      <c r="J393" s="63"/>
      <c r="K393" s="63" t="s">
        <v>4</v>
      </c>
      <c r="L393" s="63"/>
      <c r="M393" s="63"/>
      <c r="N393" s="8" t="str">
        <f t="shared" si="6"/>
        <v>1</v>
      </c>
      <c r="O393" s="8" t="str">
        <f>INDEX(Кат!$H:$H,MATCH($A393,Кат!$A:$A,0))</f>
        <v>Китай БЕСТ ПАРТНЕР</v>
      </c>
    </row>
    <row r="394" spans="1:15" ht="30" x14ac:dyDescent="0.25">
      <c r="A394" s="62">
        <v>211448</v>
      </c>
      <c r="B394" s="62">
        <v>13663</v>
      </c>
      <c r="C394" s="63" t="s">
        <v>1206</v>
      </c>
      <c r="D394" s="63" t="s">
        <v>1155</v>
      </c>
      <c r="E394" s="63" t="s">
        <v>1045</v>
      </c>
      <c r="F394" s="63"/>
      <c r="G394" s="63" t="s">
        <v>3</v>
      </c>
      <c r="H394" s="64">
        <v>1000</v>
      </c>
      <c r="I394" s="64">
        <v>1290</v>
      </c>
      <c r="J394" s="63"/>
      <c r="K394" s="63" t="s">
        <v>4</v>
      </c>
      <c r="L394" s="63"/>
      <c r="M394" s="63"/>
      <c r="N394" s="8" t="str">
        <f t="shared" si="6"/>
        <v>1</v>
      </c>
      <c r="O394" s="8" t="str">
        <f>INDEX(Кат!$H:$H,MATCH($A394,Кат!$A:$A,0))</f>
        <v>Китай БЕСТ ПАРТНЕР</v>
      </c>
    </row>
    <row r="395" spans="1:15" ht="30" x14ac:dyDescent="0.25">
      <c r="A395" s="62">
        <v>211449</v>
      </c>
      <c r="B395" s="62">
        <v>13720</v>
      </c>
      <c r="C395" s="63" t="s">
        <v>1206</v>
      </c>
      <c r="D395" s="63" t="s">
        <v>1155</v>
      </c>
      <c r="E395" s="63" t="s">
        <v>1051</v>
      </c>
      <c r="F395" s="63"/>
      <c r="G395" s="63" t="s">
        <v>3</v>
      </c>
      <c r="H395" s="64">
        <v>1200</v>
      </c>
      <c r="I395" s="64">
        <v>1590</v>
      </c>
      <c r="J395" s="63"/>
      <c r="K395" s="63" t="s">
        <v>4</v>
      </c>
      <c r="L395" s="63"/>
      <c r="M395" s="63"/>
      <c r="N395" s="8" t="str">
        <f t="shared" si="6"/>
        <v>1</v>
      </c>
      <c r="O395" s="8" t="str">
        <f>INDEX(Кат!$H:$H,MATCH($A395,Кат!$A:$A,0))</f>
        <v>Китай БЕСТ ПАРТНЕР</v>
      </c>
    </row>
    <row r="396" spans="1:15" ht="30" x14ac:dyDescent="0.25">
      <c r="A396" s="62">
        <v>211450</v>
      </c>
      <c r="B396" s="62">
        <v>13717</v>
      </c>
      <c r="C396" s="63" t="s">
        <v>1206</v>
      </c>
      <c r="D396" s="63" t="s">
        <v>1155</v>
      </c>
      <c r="E396" s="63" t="s">
        <v>1048</v>
      </c>
      <c r="F396" s="63"/>
      <c r="G396" s="63" t="s">
        <v>3</v>
      </c>
      <c r="H396" s="64">
        <v>1200</v>
      </c>
      <c r="I396" s="64">
        <v>1590</v>
      </c>
      <c r="J396" s="63"/>
      <c r="K396" s="63" t="s">
        <v>4</v>
      </c>
      <c r="L396" s="63"/>
      <c r="M396" s="63"/>
      <c r="N396" s="8" t="str">
        <f t="shared" si="6"/>
        <v>1</v>
      </c>
      <c r="O396" s="8" t="str">
        <f>INDEX(Кат!$H:$H,MATCH($A396,Кат!$A:$A,0))</f>
        <v>Китай БЕСТ ПАРТНЕР</v>
      </c>
    </row>
    <row r="397" spans="1:15" ht="30" x14ac:dyDescent="0.25">
      <c r="A397" s="62">
        <v>211451</v>
      </c>
      <c r="B397" s="62">
        <v>13719</v>
      </c>
      <c r="C397" s="63" t="s">
        <v>1206</v>
      </c>
      <c r="D397" s="63" t="s">
        <v>1155</v>
      </c>
      <c r="E397" s="63" t="s">
        <v>1050</v>
      </c>
      <c r="F397" s="63"/>
      <c r="G397" s="63" t="s">
        <v>3</v>
      </c>
      <c r="H397" s="64">
        <v>1200</v>
      </c>
      <c r="I397" s="64">
        <v>1590</v>
      </c>
      <c r="J397" s="63"/>
      <c r="K397" s="63" t="s">
        <v>4</v>
      </c>
      <c r="L397" s="63"/>
      <c r="M397" s="63"/>
      <c r="N397" s="8" t="str">
        <f t="shared" si="6"/>
        <v>1</v>
      </c>
      <c r="O397" s="8" t="str">
        <f>INDEX(Кат!$H:$H,MATCH($A397,Кат!$A:$A,0))</f>
        <v>Китай БЕСТ ПАРТНЕР</v>
      </c>
    </row>
    <row r="398" spans="1:15" ht="30" x14ac:dyDescent="0.25">
      <c r="A398" s="62">
        <v>211452</v>
      </c>
      <c r="B398" s="62">
        <v>13718</v>
      </c>
      <c r="C398" s="63" t="s">
        <v>1206</v>
      </c>
      <c r="D398" s="63" t="s">
        <v>1155</v>
      </c>
      <c r="E398" s="63" t="s">
        <v>1049</v>
      </c>
      <c r="F398" s="63"/>
      <c r="G398" s="63" t="s">
        <v>3</v>
      </c>
      <c r="H398" s="64">
        <v>1300</v>
      </c>
      <c r="I398" s="64">
        <v>1690</v>
      </c>
      <c r="J398" s="63"/>
      <c r="K398" s="63" t="s">
        <v>1156</v>
      </c>
      <c r="L398" s="63"/>
      <c r="M398" s="63"/>
      <c r="N398" s="8" t="str">
        <f t="shared" si="6"/>
        <v>0</v>
      </c>
      <c r="O398" s="8" t="str">
        <f>INDEX(Кат!$H:$H,MATCH($A398,Кат!$A:$A,0))</f>
        <v>Китай БЕСТ ПАРТНЕР</v>
      </c>
    </row>
    <row r="399" spans="1:15" ht="30" x14ac:dyDescent="0.25">
      <c r="A399" s="62">
        <v>211453</v>
      </c>
      <c r="B399" s="62">
        <v>4536</v>
      </c>
      <c r="C399" s="63" t="s">
        <v>1208</v>
      </c>
      <c r="D399" s="63" t="s">
        <v>1155</v>
      </c>
      <c r="E399" s="63" t="s">
        <v>1209</v>
      </c>
      <c r="F399" s="63"/>
      <c r="G399" s="63" t="s">
        <v>3</v>
      </c>
      <c r="H399" s="64">
        <v>1500</v>
      </c>
      <c r="I399" s="64">
        <v>1990</v>
      </c>
      <c r="J399" s="63"/>
      <c r="K399" s="63" t="s">
        <v>1156</v>
      </c>
      <c r="L399" s="63"/>
      <c r="M399" s="63"/>
      <c r="N399" s="8" t="str">
        <f t="shared" si="6"/>
        <v>0</v>
      </c>
      <c r="O399" s="8" t="str">
        <f>INDEX(Кат!$H:$H,MATCH($A399,Кат!$A:$A,0))</f>
        <v>Китай БЕСТ ПАРТНЕР</v>
      </c>
    </row>
    <row r="400" spans="1:15" ht="30" x14ac:dyDescent="0.25">
      <c r="A400" s="62">
        <v>212185</v>
      </c>
      <c r="B400" s="62">
        <v>4502</v>
      </c>
      <c r="C400" s="63" t="s">
        <v>1210</v>
      </c>
      <c r="D400" s="63" t="s">
        <v>1155</v>
      </c>
      <c r="E400" s="63" t="s">
        <v>998</v>
      </c>
      <c r="F400" s="63"/>
      <c r="G400" s="63" t="s">
        <v>3</v>
      </c>
      <c r="H400" s="64">
        <v>2200</v>
      </c>
      <c r="I400" s="64">
        <v>2890</v>
      </c>
      <c r="J400" s="63"/>
      <c r="K400" s="63" t="s">
        <v>4</v>
      </c>
      <c r="L400" s="63"/>
      <c r="M400" s="63"/>
      <c r="N400" s="8" t="str">
        <f t="shared" si="6"/>
        <v>1</v>
      </c>
      <c r="O400" s="8" t="str">
        <f>INDEX(Кат!$H:$H,MATCH($A400,Кат!$A:$A,0))</f>
        <v>Китай БЕСТ ПАРТНЕР</v>
      </c>
    </row>
    <row r="401" spans="1:15" ht="30" x14ac:dyDescent="0.25">
      <c r="A401" s="62">
        <v>211454</v>
      </c>
      <c r="B401" s="62">
        <v>4504</v>
      </c>
      <c r="C401" s="63" t="s">
        <v>18</v>
      </c>
      <c r="D401" s="63" t="s">
        <v>1155</v>
      </c>
      <c r="E401" s="63" t="s">
        <v>1211</v>
      </c>
      <c r="F401" s="63"/>
      <c r="G401" s="63" t="s">
        <v>3</v>
      </c>
      <c r="H401" s="64">
        <v>1600</v>
      </c>
      <c r="I401" s="64">
        <v>2090</v>
      </c>
      <c r="J401" s="63"/>
      <c r="K401" s="63" t="s">
        <v>1156</v>
      </c>
      <c r="L401" s="63"/>
      <c r="M401" s="63"/>
      <c r="N401" s="8" t="str">
        <f t="shared" si="6"/>
        <v>0</v>
      </c>
      <c r="O401" s="8" t="str">
        <f>INDEX(Кат!$H:$H,MATCH($A401,Кат!$A:$A,0))</f>
        <v>Китай БЕСТ ПАРТНЕР</v>
      </c>
    </row>
    <row r="402" spans="1:15" ht="30" x14ac:dyDescent="0.25">
      <c r="A402" s="62">
        <v>211455</v>
      </c>
      <c r="B402" s="62">
        <v>4556</v>
      </c>
      <c r="C402" s="63" t="s">
        <v>31</v>
      </c>
      <c r="D402" s="63" t="s">
        <v>1155</v>
      </c>
      <c r="E402" s="63"/>
      <c r="F402" s="63"/>
      <c r="G402" s="63" t="s">
        <v>3</v>
      </c>
      <c r="H402" s="64">
        <v>1600</v>
      </c>
      <c r="I402" s="64">
        <v>2090</v>
      </c>
      <c r="J402" s="63"/>
      <c r="K402" s="63" t="s">
        <v>1156</v>
      </c>
      <c r="L402" s="63"/>
      <c r="M402" s="63"/>
      <c r="N402" s="8" t="str">
        <f t="shared" si="6"/>
        <v>0</v>
      </c>
      <c r="O402" s="8" t="str">
        <f>INDEX(Кат!$H:$H,MATCH($A402,Кат!$A:$A,0))</f>
        <v>Китай БЕСТ ПАРТНЕР</v>
      </c>
    </row>
    <row r="403" spans="1:15" ht="30" x14ac:dyDescent="0.25">
      <c r="A403" s="62">
        <v>211456</v>
      </c>
      <c r="B403" s="62">
        <v>4555</v>
      </c>
      <c r="C403" s="63" t="s">
        <v>30</v>
      </c>
      <c r="D403" s="63" t="s">
        <v>1155</v>
      </c>
      <c r="E403" s="63"/>
      <c r="F403" s="63"/>
      <c r="G403" s="63" t="s">
        <v>3</v>
      </c>
      <c r="H403" s="64">
        <v>900</v>
      </c>
      <c r="I403" s="64">
        <v>1390</v>
      </c>
      <c r="J403" s="63"/>
      <c r="K403" s="63" t="s">
        <v>1156</v>
      </c>
      <c r="L403" s="63"/>
      <c r="M403" s="63"/>
      <c r="N403" s="8" t="str">
        <f t="shared" si="6"/>
        <v>0</v>
      </c>
      <c r="O403" s="8" t="str">
        <f>INDEX(Кат!$H:$H,MATCH($A403,Кат!$A:$A,0))</f>
        <v>Китай БЕСТ ПАРТНЕР</v>
      </c>
    </row>
    <row r="404" spans="1:15" ht="30" x14ac:dyDescent="0.25">
      <c r="A404" s="62">
        <v>211457</v>
      </c>
      <c r="B404" s="62">
        <v>4513</v>
      </c>
      <c r="C404" s="63" t="s">
        <v>22</v>
      </c>
      <c r="D404" s="63" t="s">
        <v>1155</v>
      </c>
      <c r="E404" s="63"/>
      <c r="F404" s="63"/>
      <c r="G404" s="63" t="s">
        <v>3</v>
      </c>
      <c r="H404" s="64">
        <v>1000</v>
      </c>
      <c r="I404" s="64">
        <v>1290</v>
      </c>
      <c r="J404" s="63"/>
      <c r="K404" s="63" t="s">
        <v>1156</v>
      </c>
      <c r="L404" s="63"/>
      <c r="M404" s="63"/>
      <c r="N404" s="8" t="str">
        <f t="shared" si="6"/>
        <v>0</v>
      </c>
      <c r="O404" s="8" t="str">
        <f>INDEX(Кат!$H:$H,MATCH($A404,Кат!$A:$A,0))</f>
        <v>Китай БЕСТ ПАРТНЕР</v>
      </c>
    </row>
    <row r="405" spans="1:15" ht="30" x14ac:dyDescent="0.25">
      <c r="A405" s="62">
        <v>211458</v>
      </c>
      <c r="B405" s="62">
        <v>4487</v>
      </c>
      <c r="C405" s="63" t="s">
        <v>7</v>
      </c>
      <c r="D405" s="63" t="s">
        <v>1155</v>
      </c>
      <c r="E405" s="63" t="s">
        <v>467</v>
      </c>
      <c r="F405" s="63"/>
      <c r="G405" s="63" t="s">
        <v>3</v>
      </c>
      <c r="H405" s="64">
        <v>1200</v>
      </c>
      <c r="I405" s="64">
        <v>1590</v>
      </c>
      <c r="J405" s="63"/>
      <c r="K405" s="63" t="s">
        <v>4</v>
      </c>
      <c r="L405" s="63"/>
      <c r="M405" s="63"/>
      <c r="N405" s="8" t="str">
        <f t="shared" si="6"/>
        <v>1</v>
      </c>
      <c r="O405" s="8" t="str">
        <f>INDEX(Кат!$H:$H,MATCH($A405,Кат!$A:$A,0))</f>
        <v>Китай БЕСТ ПАРТНЕР</v>
      </c>
    </row>
    <row r="406" spans="1:15" ht="30" x14ac:dyDescent="0.25">
      <c r="A406" s="62">
        <v>211459</v>
      </c>
      <c r="B406" s="62">
        <v>4543</v>
      </c>
      <c r="C406" s="63" t="s">
        <v>1212</v>
      </c>
      <c r="D406" s="63" t="s">
        <v>1155</v>
      </c>
      <c r="E406" s="63" t="s">
        <v>1197</v>
      </c>
      <c r="F406" s="63"/>
      <c r="G406" s="63" t="s">
        <v>3</v>
      </c>
      <c r="H406" s="64">
        <v>700</v>
      </c>
      <c r="I406" s="64">
        <v>1090</v>
      </c>
      <c r="J406" s="63"/>
      <c r="K406" s="63" t="s">
        <v>4</v>
      </c>
      <c r="L406" s="63"/>
      <c r="M406" s="63"/>
      <c r="N406" s="8" t="str">
        <f t="shared" si="6"/>
        <v>1</v>
      </c>
      <c r="O406" s="8" t="str">
        <f>INDEX(Кат!$H:$H,MATCH($A406,Кат!$A:$A,0))</f>
        <v>Китай БЕСТ ПАРТНЕР</v>
      </c>
    </row>
    <row r="407" spans="1:15" ht="30" x14ac:dyDescent="0.25">
      <c r="A407" s="62">
        <v>211460</v>
      </c>
      <c r="B407" s="62">
        <v>4512</v>
      </c>
      <c r="C407" s="63" t="s">
        <v>1213</v>
      </c>
      <c r="D407" s="63" t="s">
        <v>1155</v>
      </c>
      <c r="E407" s="63" t="s">
        <v>999</v>
      </c>
      <c r="F407" s="63"/>
      <c r="G407" s="63" t="s">
        <v>3</v>
      </c>
      <c r="H407" s="64">
        <v>900</v>
      </c>
      <c r="I407" s="64">
        <v>1390</v>
      </c>
      <c r="J407" s="63"/>
      <c r="K407" s="63" t="s">
        <v>4</v>
      </c>
      <c r="L407" s="63"/>
      <c r="M407" s="63"/>
      <c r="N407" s="8" t="str">
        <f t="shared" si="6"/>
        <v>1</v>
      </c>
      <c r="O407" s="8" t="str">
        <f>INDEX(Кат!$H:$H,MATCH($A407,Кат!$A:$A,0))</f>
        <v>Китай БЕСТ ПАРТНЕР</v>
      </c>
    </row>
    <row r="408" spans="1:15" ht="30" x14ac:dyDescent="0.25">
      <c r="A408" s="62">
        <v>211461</v>
      </c>
      <c r="B408" s="62">
        <v>4517</v>
      </c>
      <c r="C408" s="63" t="s">
        <v>23</v>
      </c>
      <c r="D408" s="63" t="s">
        <v>1155</v>
      </c>
      <c r="E408" s="63" t="s">
        <v>1214</v>
      </c>
      <c r="F408" s="63"/>
      <c r="G408" s="63" t="s">
        <v>3</v>
      </c>
      <c r="H408" s="64">
        <v>3000</v>
      </c>
      <c r="I408" s="64">
        <v>3890</v>
      </c>
      <c r="J408" s="63"/>
      <c r="K408" s="63" t="s">
        <v>4</v>
      </c>
      <c r="L408" s="63"/>
      <c r="M408" s="63"/>
      <c r="N408" s="8" t="str">
        <f t="shared" si="6"/>
        <v>1</v>
      </c>
      <c r="O408" s="8" t="str">
        <f>INDEX(Кат!$H:$H,MATCH($A408,Кат!$A:$A,0))</f>
        <v>Китай БЕСТ ПАРТНЕР</v>
      </c>
    </row>
    <row r="409" spans="1:15" ht="30" x14ac:dyDescent="0.25">
      <c r="A409" s="62">
        <v>211462</v>
      </c>
      <c r="B409" s="62">
        <v>4508</v>
      </c>
      <c r="C409" s="63" t="s">
        <v>21</v>
      </c>
      <c r="D409" s="63" t="s">
        <v>1155</v>
      </c>
      <c r="E409" s="63" t="s">
        <v>1215</v>
      </c>
      <c r="F409" s="63"/>
      <c r="G409" s="63" t="s">
        <v>3</v>
      </c>
      <c r="H409" s="64">
        <v>900</v>
      </c>
      <c r="I409" s="64">
        <v>1390</v>
      </c>
      <c r="J409" s="63"/>
      <c r="K409" s="63" t="s">
        <v>4</v>
      </c>
      <c r="L409" s="63"/>
      <c r="M409" s="63"/>
      <c r="N409" s="8" t="str">
        <f t="shared" si="6"/>
        <v>1</v>
      </c>
      <c r="O409" s="8" t="str">
        <f>INDEX(Кат!$H:$H,MATCH($A409,Кат!$A:$A,0))</f>
        <v>Китай БЕСТ ПАРТНЕР</v>
      </c>
    </row>
    <row r="410" spans="1:15" ht="30" x14ac:dyDescent="0.25">
      <c r="A410" s="62">
        <v>211466</v>
      </c>
      <c r="B410" s="62">
        <v>4558</v>
      </c>
      <c r="C410" s="63" t="s">
        <v>280</v>
      </c>
      <c r="D410" s="63" t="s">
        <v>1155</v>
      </c>
      <c r="E410" s="63" t="s">
        <v>281</v>
      </c>
      <c r="F410" s="63" t="s">
        <v>281</v>
      </c>
      <c r="G410" s="63" t="s">
        <v>3</v>
      </c>
      <c r="H410" s="64">
        <v>3000</v>
      </c>
      <c r="I410" s="64">
        <v>3890</v>
      </c>
      <c r="J410" s="63"/>
      <c r="K410" s="63" t="s">
        <v>4</v>
      </c>
      <c r="L410" s="63"/>
      <c r="M410" s="63"/>
      <c r="N410" s="8" t="str">
        <f t="shared" si="6"/>
        <v>1</v>
      </c>
      <c r="O410" s="8" t="str">
        <f>INDEX(Кат!$H:$H,MATCH($A410,Кат!$A:$A,0))</f>
        <v>Китай БЕСТ ПАРТНЕР</v>
      </c>
    </row>
    <row r="411" spans="1:15" ht="30" x14ac:dyDescent="0.25">
      <c r="A411" s="62">
        <v>211467</v>
      </c>
      <c r="B411" s="62">
        <v>9167</v>
      </c>
      <c r="C411" s="63" t="s">
        <v>131</v>
      </c>
      <c r="D411" s="63" t="s">
        <v>1155</v>
      </c>
      <c r="E411" s="63" t="s">
        <v>1217</v>
      </c>
      <c r="F411" s="63"/>
      <c r="G411" s="63" t="s">
        <v>3</v>
      </c>
      <c r="H411" s="64">
        <v>2300</v>
      </c>
      <c r="I411" s="64">
        <v>2990</v>
      </c>
      <c r="J411" s="63"/>
      <c r="K411" s="63" t="s">
        <v>4</v>
      </c>
      <c r="L411" s="63"/>
      <c r="M411" s="63"/>
      <c r="N411" s="8" t="str">
        <f t="shared" si="6"/>
        <v>1</v>
      </c>
      <c r="O411" s="8" t="str">
        <f>INDEX(Кат!$H:$H,MATCH($A411,Кат!$A:$A,0))</f>
        <v>Китай БЕСТ ПАРТНЕР</v>
      </c>
    </row>
    <row r="412" spans="1:15" ht="30" x14ac:dyDescent="0.25">
      <c r="A412" s="62">
        <v>211468</v>
      </c>
      <c r="B412" s="62">
        <v>13721</v>
      </c>
      <c r="C412" s="63" t="s">
        <v>150</v>
      </c>
      <c r="D412" s="63" t="s">
        <v>1155</v>
      </c>
      <c r="E412" s="63"/>
      <c r="F412" s="63"/>
      <c r="G412" s="63" t="s">
        <v>3</v>
      </c>
      <c r="H412" s="64">
        <v>1200</v>
      </c>
      <c r="I412" s="64">
        <v>1590</v>
      </c>
      <c r="J412" s="63"/>
      <c r="K412" s="63" t="s">
        <v>1156</v>
      </c>
      <c r="L412" s="63"/>
      <c r="M412" s="63"/>
      <c r="N412" s="8" t="str">
        <f t="shared" si="6"/>
        <v>0</v>
      </c>
      <c r="O412" s="8" t="str">
        <f>INDEX(Кат!$H:$H,MATCH($A412,Кат!$A:$A,0))</f>
        <v>Китай БЕСТ ПАРТНЕР</v>
      </c>
    </row>
    <row r="413" spans="1:15" ht="30" x14ac:dyDescent="0.25">
      <c r="A413" s="62">
        <v>211469</v>
      </c>
      <c r="B413" s="62">
        <v>4489</v>
      </c>
      <c r="C413" s="63" t="s">
        <v>8</v>
      </c>
      <c r="D413" s="63" t="s">
        <v>1155</v>
      </c>
      <c r="E413" s="63" t="s">
        <v>1218</v>
      </c>
      <c r="F413" s="63"/>
      <c r="G413" s="63" t="s">
        <v>3</v>
      </c>
      <c r="H413" s="64">
        <v>800</v>
      </c>
      <c r="I413" s="64">
        <v>1190</v>
      </c>
      <c r="J413" s="63"/>
      <c r="K413" s="63" t="s">
        <v>4</v>
      </c>
      <c r="L413" s="63"/>
      <c r="M413" s="63"/>
      <c r="N413" s="8" t="str">
        <f t="shared" si="6"/>
        <v>1</v>
      </c>
      <c r="O413" s="8" t="str">
        <f>INDEX(Кат!$H:$H,MATCH($A413,Кат!$A:$A,0))</f>
        <v>Китай БЕСТ ПАРТНЕР</v>
      </c>
    </row>
    <row r="414" spans="1:15" ht="30" x14ac:dyDescent="0.25">
      <c r="A414" s="62">
        <v>211470</v>
      </c>
      <c r="B414" s="62">
        <v>4505</v>
      </c>
      <c r="C414" s="63" t="s">
        <v>19</v>
      </c>
      <c r="D414" s="63" t="s">
        <v>1155</v>
      </c>
      <c r="E414" s="63"/>
      <c r="F414" s="63"/>
      <c r="G414" s="63" t="s">
        <v>3</v>
      </c>
      <c r="H414" s="64">
        <v>900</v>
      </c>
      <c r="I414" s="64">
        <v>1390</v>
      </c>
      <c r="J414" s="63"/>
      <c r="K414" s="63" t="s">
        <v>1156</v>
      </c>
      <c r="L414" s="63"/>
      <c r="M414" s="63"/>
      <c r="N414" s="8" t="str">
        <f t="shared" si="6"/>
        <v>0</v>
      </c>
      <c r="O414" s="8" t="str">
        <f>INDEX(Кат!$H:$H,MATCH($A414,Кат!$A:$A,0))</f>
        <v>Китай БЕСТ ПАРТНЕР</v>
      </c>
    </row>
    <row r="415" spans="1:15" ht="30" x14ac:dyDescent="0.25">
      <c r="A415" s="62">
        <v>211471</v>
      </c>
      <c r="B415" s="62">
        <v>4493</v>
      </c>
      <c r="C415" s="63" t="s">
        <v>10</v>
      </c>
      <c r="D415" s="63" t="s">
        <v>1155</v>
      </c>
      <c r="E415" s="63" t="s">
        <v>1219</v>
      </c>
      <c r="F415" s="63"/>
      <c r="G415" s="63" t="s">
        <v>3</v>
      </c>
      <c r="H415" s="64">
        <v>1200</v>
      </c>
      <c r="I415" s="64">
        <v>1590</v>
      </c>
      <c r="J415" s="63"/>
      <c r="K415" s="63" t="s">
        <v>4</v>
      </c>
      <c r="L415" s="63"/>
      <c r="M415" s="63"/>
      <c r="N415" s="8" t="str">
        <f t="shared" si="6"/>
        <v>1</v>
      </c>
      <c r="O415" s="8" t="str">
        <f>INDEX(Кат!$H:$H,MATCH($A415,Кат!$A:$A,0))</f>
        <v>Китай БЕСТ ПАРТНЕР</v>
      </c>
    </row>
    <row r="416" spans="1:15" ht="30" x14ac:dyDescent="0.25">
      <c r="A416" s="62">
        <v>211472</v>
      </c>
      <c r="B416" s="62">
        <v>21868</v>
      </c>
      <c r="C416" s="63" t="s">
        <v>180</v>
      </c>
      <c r="D416" s="63" t="s">
        <v>1155</v>
      </c>
      <c r="E416" s="63" t="s">
        <v>1220</v>
      </c>
      <c r="F416" s="63"/>
      <c r="G416" s="63" t="s">
        <v>3</v>
      </c>
      <c r="H416" s="64">
        <v>1200</v>
      </c>
      <c r="I416" s="64">
        <v>1590</v>
      </c>
      <c r="J416" s="63"/>
      <c r="K416" s="63" t="s">
        <v>4</v>
      </c>
      <c r="L416" s="63"/>
      <c r="M416" s="63"/>
      <c r="N416" s="8" t="str">
        <f t="shared" si="6"/>
        <v>1</v>
      </c>
      <c r="O416" s="8" t="str">
        <f>INDEX(Кат!$H:$H,MATCH($A416,Кат!$A:$A,0))</f>
        <v>Китай БЕСТ ПАРТНЕР</v>
      </c>
    </row>
    <row r="417" spans="1:15" ht="30" x14ac:dyDescent="0.25">
      <c r="A417" s="62">
        <v>211473</v>
      </c>
      <c r="B417" s="62">
        <v>4507</v>
      </c>
      <c r="C417" s="63" t="s">
        <v>20</v>
      </c>
      <c r="D417" s="63" t="s">
        <v>1155</v>
      </c>
      <c r="E417" s="63" t="s">
        <v>1221</v>
      </c>
      <c r="F417" s="63"/>
      <c r="G417" s="63" t="s">
        <v>3</v>
      </c>
      <c r="H417" s="64">
        <v>1500</v>
      </c>
      <c r="I417" s="64">
        <v>1990</v>
      </c>
      <c r="J417" s="63"/>
      <c r="K417" s="63" t="s">
        <v>4</v>
      </c>
      <c r="L417" s="63"/>
      <c r="M417" s="63"/>
      <c r="N417" s="8" t="str">
        <f t="shared" si="6"/>
        <v>1</v>
      </c>
      <c r="O417" s="8" t="str">
        <f>INDEX(Кат!$H:$H,MATCH($A417,Кат!$A:$A,0))</f>
        <v>Китай БЕСТ ПАРТНЕР</v>
      </c>
    </row>
    <row r="418" spans="1:15" ht="30" x14ac:dyDescent="0.25">
      <c r="A418" s="62">
        <v>211474</v>
      </c>
      <c r="B418" s="62">
        <v>4501</v>
      </c>
      <c r="C418" s="63" t="s">
        <v>17</v>
      </c>
      <c r="D418" s="63" t="s">
        <v>1155</v>
      </c>
      <c r="E418" s="63" t="s">
        <v>1222</v>
      </c>
      <c r="F418" s="63"/>
      <c r="G418" s="63" t="s">
        <v>3</v>
      </c>
      <c r="H418" s="64">
        <v>1500</v>
      </c>
      <c r="I418" s="64">
        <v>1990</v>
      </c>
      <c r="J418" s="63"/>
      <c r="K418" s="63" t="s">
        <v>4</v>
      </c>
      <c r="L418" s="63"/>
      <c r="M418" s="63"/>
      <c r="N418" s="8" t="str">
        <f t="shared" si="6"/>
        <v>1</v>
      </c>
      <c r="O418" s="8" t="str">
        <f>INDEX(Кат!$H:$H,MATCH($A418,Кат!$A:$A,0))</f>
        <v>Китай БЕСТ ПАРТНЕР</v>
      </c>
    </row>
    <row r="419" spans="1:15" ht="30" x14ac:dyDescent="0.25">
      <c r="A419" s="62">
        <v>211475</v>
      </c>
      <c r="B419" s="62">
        <v>4491</v>
      </c>
      <c r="C419" s="63" t="s">
        <v>9</v>
      </c>
      <c r="D419" s="63" t="s">
        <v>1155</v>
      </c>
      <c r="E419" s="63"/>
      <c r="F419" s="63"/>
      <c r="G419" s="63" t="s">
        <v>3</v>
      </c>
      <c r="H419" s="64">
        <v>0</v>
      </c>
      <c r="I419" s="64">
        <v>1790</v>
      </c>
      <c r="J419" s="63"/>
      <c r="K419" s="63" t="s">
        <v>1156</v>
      </c>
      <c r="L419" s="63"/>
      <c r="M419" s="63"/>
      <c r="N419" s="8" t="str">
        <f t="shared" si="6"/>
        <v>0</v>
      </c>
      <c r="O419" s="8" t="str">
        <f>INDEX(Кат!$H:$H,MATCH($A419,Кат!$A:$A,0))</f>
        <v>Китай БЕСТ ПАРТНЕР</v>
      </c>
    </row>
    <row r="420" spans="1:15" ht="30" x14ac:dyDescent="0.25">
      <c r="A420" s="62">
        <v>211476</v>
      </c>
      <c r="B420" s="62">
        <v>4496</v>
      </c>
      <c r="C420" s="63" t="s">
        <v>12</v>
      </c>
      <c r="D420" s="63" t="s">
        <v>1155</v>
      </c>
      <c r="E420" s="63" t="s">
        <v>1211</v>
      </c>
      <c r="F420" s="63"/>
      <c r="G420" s="63" t="s">
        <v>3</v>
      </c>
      <c r="H420" s="64">
        <v>1100</v>
      </c>
      <c r="I420" s="64">
        <v>1490</v>
      </c>
      <c r="J420" s="63"/>
      <c r="K420" s="63" t="s">
        <v>1156</v>
      </c>
      <c r="L420" s="63"/>
      <c r="M420" s="63"/>
      <c r="N420" s="8" t="str">
        <f t="shared" si="6"/>
        <v>0</v>
      </c>
      <c r="O420" s="8" t="str">
        <f>INDEX(Кат!$H:$H,MATCH($A420,Кат!$A:$A,0))</f>
        <v>Китай БЕСТ ПАРТНЕР</v>
      </c>
    </row>
    <row r="421" spans="1:15" ht="30" x14ac:dyDescent="0.25">
      <c r="A421" s="62">
        <v>211477</v>
      </c>
      <c r="B421" s="62">
        <v>4494</v>
      </c>
      <c r="C421" s="63" t="s">
        <v>11</v>
      </c>
      <c r="D421" s="63" t="s">
        <v>1155</v>
      </c>
      <c r="E421" s="63" t="s">
        <v>1214</v>
      </c>
      <c r="F421" s="63"/>
      <c r="G421" s="63" t="s">
        <v>3</v>
      </c>
      <c r="H421" s="64">
        <v>1200</v>
      </c>
      <c r="I421" s="64">
        <v>1590</v>
      </c>
      <c r="J421" s="63"/>
      <c r="K421" s="63" t="s">
        <v>1156</v>
      </c>
      <c r="L421" s="63"/>
      <c r="M421" s="63"/>
      <c r="N421" s="8" t="str">
        <f t="shared" si="6"/>
        <v>0</v>
      </c>
      <c r="O421" s="8" t="str">
        <f>INDEX(Кат!$H:$H,MATCH($A421,Кат!$A:$A,0))</f>
        <v>Китай БЕСТ ПАРТНЕР</v>
      </c>
    </row>
    <row r="422" spans="1:15" ht="30" x14ac:dyDescent="0.25">
      <c r="A422" s="62">
        <v>211478</v>
      </c>
      <c r="B422" s="62">
        <v>4497</v>
      </c>
      <c r="C422" s="63" t="s">
        <v>13</v>
      </c>
      <c r="D422" s="63" t="s">
        <v>1155</v>
      </c>
      <c r="E422" s="63"/>
      <c r="F422" s="63"/>
      <c r="G422" s="63" t="s">
        <v>3</v>
      </c>
      <c r="H422" s="64">
        <v>800</v>
      </c>
      <c r="I422" s="64">
        <v>1190</v>
      </c>
      <c r="J422" s="63"/>
      <c r="K422" s="63" t="s">
        <v>4</v>
      </c>
      <c r="L422" s="63"/>
      <c r="M422" s="63"/>
      <c r="N422" s="8" t="str">
        <f t="shared" si="6"/>
        <v>1</v>
      </c>
      <c r="O422" s="8" t="str">
        <f>INDEX(Кат!$H:$H,MATCH($A422,Кат!$A:$A,0))</f>
        <v>Китай БЕСТ ПАРТНЕР</v>
      </c>
    </row>
    <row r="423" spans="1:15" ht="30" x14ac:dyDescent="0.25">
      <c r="A423" s="62">
        <v>211479</v>
      </c>
      <c r="B423" s="62">
        <v>4562</v>
      </c>
      <c r="C423" s="63" t="s">
        <v>32</v>
      </c>
      <c r="D423" s="63" t="s">
        <v>1155</v>
      </c>
      <c r="E423" s="63"/>
      <c r="F423" s="63"/>
      <c r="G423" s="63" t="s">
        <v>3</v>
      </c>
      <c r="H423" s="64">
        <v>1200</v>
      </c>
      <c r="I423" s="64">
        <v>1590</v>
      </c>
      <c r="J423" s="63"/>
      <c r="K423" s="63" t="s">
        <v>1156</v>
      </c>
      <c r="L423" s="63"/>
      <c r="M423" s="63"/>
      <c r="N423" s="8" t="str">
        <f t="shared" si="6"/>
        <v>0</v>
      </c>
      <c r="O423" s="8" t="str">
        <f>INDEX(Кат!$H:$H,MATCH($A423,Кат!$A:$A,0))</f>
        <v>Китай БЕСТ ПАРТНЕР</v>
      </c>
    </row>
    <row r="424" spans="1:15" ht="30" x14ac:dyDescent="0.25">
      <c r="A424" s="62">
        <v>211480</v>
      </c>
      <c r="B424" s="62">
        <v>4552</v>
      </c>
      <c r="C424" s="63" t="s">
        <v>29</v>
      </c>
      <c r="D424" s="63" t="s">
        <v>1155</v>
      </c>
      <c r="E424" s="63" t="s">
        <v>1205</v>
      </c>
      <c r="F424" s="63"/>
      <c r="G424" s="63" t="s">
        <v>3</v>
      </c>
      <c r="H424" s="64">
        <v>700</v>
      </c>
      <c r="I424" s="64">
        <v>1090</v>
      </c>
      <c r="J424" s="63"/>
      <c r="K424" s="63" t="s">
        <v>4</v>
      </c>
      <c r="L424" s="63"/>
      <c r="M424" s="63"/>
      <c r="N424" s="8" t="str">
        <f t="shared" si="6"/>
        <v>1</v>
      </c>
      <c r="O424" s="8" t="str">
        <f>INDEX(Кат!$H:$H,MATCH($A424,Кат!$A:$A,0))</f>
        <v>Китай БЕСТ ПАРТНЕР</v>
      </c>
    </row>
    <row r="425" spans="1:15" ht="30" x14ac:dyDescent="0.25">
      <c r="A425" s="62">
        <v>212186</v>
      </c>
      <c r="B425" s="62">
        <v>4499</v>
      </c>
      <c r="C425" s="63" t="s">
        <v>15</v>
      </c>
      <c r="D425" s="63" t="s">
        <v>1155</v>
      </c>
      <c r="E425" s="63" t="s">
        <v>1223</v>
      </c>
      <c r="F425" s="63"/>
      <c r="G425" s="63" t="s">
        <v>3</v>
      </c>
      <c r="H425" s="64">
        <v>900</v>
      </c>
      <c r="I425" s="64">
        <v>1390</v>
      </c>
      <c r="J425" s="63"/>
      <c r="K425" s="63" t="s">
        <v>4</v>
      </c>
      <c r="L425" s="63"/>
      <c r="M425" s="63"/>
      <c r="N425" s="8" t="str">
        <f t="shared" si="6"/>
        <v>1</v>
      </c>
      <c r="O425" s="8" t="str">
        <f>INDEX(Кат!$H:$H,MATCH($A425,Кат!$A:$A,0))</f>
        <v>Китай БЕСТ ПАРТНЕР</v>
      </c>
    </row>
    <row r="426" spans="1:15" ht="30" x14ac:dyDescent="0.25">
      <c r="A426" s="62">
        <v>212187</v>
      </c>
      <c r="B426" s="62">
        <v>4498</v>
      </c>
      <c r="C426" s="63" t="s">
        <v>14</v>
      </c>
      <c r="D426" s="63" t="s">
        <v>1155</v>
      </c>
      <c r="E426" s="63" t="s">
        <v>1224</v>
      </c>
      <c r="F426" s="63"/>
      <c r="G426" s="63" t="s">
        <v>3</v>
      </c>
      <c r="H426" s="64">
        <v>1600</v>
      </c>
      <c r="I426" s="64">
        <v>2090</v>
      </c>
      <c r="J426" s="63"/>
      <c r="K426" s="63" t="s">
        <v>4</v>
      </c>
      <c r="L426" s="63"/>
      <c r="M426" s="63"/>
      <c r="N426" s="8" t="str">
        <f t="shared" si="6"/>
        <v>1</v>
      </c>
      <c r="O426" s="8" t="str">
        <f>INDEX(Кат!$H:$H,MATCH($A426,Кат!$A:$A,0))</f>
        <v>Китай БЕСТ ПАРТНЕР</v>
      </c>
    </row>
    <row r="427" spans="1:15" ht="30" x14ac:dyDescent="0.25">
      <c r="A427" s="62">
        <v>212188</v>
      </c>
      <c r="B427" s="62">
        <v>4519</v>
      </c>
      <c r="C427" s="63" t="s">
        <v>1225</v>
      </c>
      <c r="D427" s="63" t="s">
        <v>1155</v>
      </c>
      <c r="E427" s="63" t="s">
        <v>1000</v>
      </c>
      <c r="F427" s="63"/>
      <c r="G427" s="63" t="s">
        <v>3</v>
      </c>
      <c r="H427" s="64">
        <v>2200</v>
      </c>
      <c r="I427" s="64">
        <v>2890</v>
      </c>
      <c r="J427" s="63"/>
      <c r="K427" s="63" t="s">
        <v>4</v>
      </c>
      <c r="L427" s="63"/>
      <c r="M427" s="63"/>
      <c r="N427" s="8" t="str">
        <f t="shared" si="6"/>
        <v>1</v>
      </c>
      <c r="O427" s="8" t="str">
        <f>INDEX(Кат!$H:$H,MATCH($A427,Кат!$A:$A,0))</f>
        <v>Китай БЕСТ ПАРТНЕР</v>
      </c>
    </row>
    <row r="428" spans="1:15" ht="30" x14ac:dyDescent="0.25">
      <c r="A428" s="62">
        <v>212189</v>
      </c>
      <c r="B428" s="62">
        <v>4532</v>
      </c>
      <c r="C428" s="63" t="s">
        <v>25</v>
      </c>
      <c r="D428" s="63" t="s">
        <v>1155</v>
      </c>
      <c r="E428" s="63" t="s">
        <v>1223</v>
      </c>
      <c r="F428" s="63"/>
      <c r="G428" s="63" t="s">
        <v>3</v>
      </c>
      <c r="H428" s="64">
        <v>700</v>
      </c>
      <c r="I428" s="64">
        <v>1090</v>
      </c>
      <c r="J428" s="63"/>
      <c r="K428" s="63" t="s">
        <v>4</v>
      </c>
      <c r="L428" s="63"/>
      <c r="M428" s="63"/>
      <c r="N428" s="8" t="str">
        <f t="shared" si="6"/>
        <v>1</v>
      </c>
      <c r="O428" s="8" t="str">
        <f>INDEX(Кат!$H:$H,MATCH($A428,Кат!$A:$A,0))</f>
        <v>Китай БЕСТ ПАРТНЕР</v>
      </c>
    </row>
    <row r="429" spans="1:15" ht="30" x14ac:dyDescent="0.25">
      <c r="A429" s="62">
        <v>212190</v>
      </c>
      <c r="B429" s="62">
        <v>4547</v>
      </c>
      <c r="C429" s="63" t="s">
        <v>27</v>
      </c>
      <c r="D429" s="63" t="s">
        <v>1155</v>
      </c>
      <c r="E429" s="63" t="s">
        <v>1226</v>
      </c>
      <c r="F429" s="63"/>
      <c r="G429" s="63" t="s">
        <v>3</v>
      </c>
      <c r="H429" s="64">
        <v>1400</v>
      </c>
      <c r="I429" s="64">
        <v>1890</v>
      </c>
      <c r="J429" s="63"/>
      <c r="K429" s="63" t="s">
        <v>4</v>
      </c>
      <c r="L429" s="63"/>
      <c r="M429" s="63"/>
      <c r="N429" s="8" t="str">
        <f t="shared" si="6"/>
        <v>1</v>
      </c>
      <c r="O429" s="8" t="str">
        <f>INDEX(Кат!$H:$H,MATCH($A429,Кат!$A:$A,0))</f>
        <v>Китай БЕСТ ПАРТНЕР</v>
      </c>
    </row>
    <row r="430" spans="1:15" ht="30" x14ac:dyDescent="0.25">
      <c r="A430" s="62">
        <v>212191</v>
      </c>
      <c r="B430" s="62">
        <v>4560</v>
      </c>
      <c r="C430" s="63" t="s">
        <v>1227</v>
      </c>
      <c r="D430" s="63" t="s">
        <v>1155</v>
      </c>
      <c r="E430" s="63" t="s">
        <v>1228</v>
      </c>
      <c r="F430" s="63"/>
      <c r="G430" s="63" t="s">
        <v>3</v>
      </c>
      <c r="H430" s="64">
        <v>2200</v>
      </c>
      <c r="I430" s="64">
        <v>2890</v>
      </c>
      <c r="J430" s="63"/>
      <c r="K430" s="63" t="s">
        <v>4</v>
      </c>
      <c r="L430" s="63"/>
      <c r="M430" s="63"/>
      <c r="N430" s="8" t="str">
        <f t="shared" si="6"/>
        <v>1</v>
      </c>
      <c r="O430" s="8" t="str">
        <f>INDEX(Кат!$H:$H,MATCH($A430,Кат!$A:$A,0))</f>
        <v>Китай БЕСТ ПАРТНЕР</v>
      </c>
    </row>
    <row r="431" spans="1:15" ht="30" x14ac:dyDescent="0.25">
      <c r="A431" s="62">
        <v>213482</v>
      </c>
      <c r="B431" s="62">
        <v>10025</v>
      </c>
      <c r="C431" s="63" t="s">
        <v>132</v>
      </c>
      <c r="D431" s="63" t="s">
        <v>1155</v>
      </c>
      <c r="E431" s="63"/>
      <c r="F431" s="63"/>
      <c r="G431" s="63" t="s">
        <v>3</v>
      </c>
      <c r="H431" s="64">
        <v>0</v>
      </c>
      <c r="I431" s="64">
        <v>1390</v>
      </c>
      <c r="J431" s="63"/>
      <c r="K431" s="63" t="s">
        <v>1156</v>
      </c>
      <c r="L431" s="63"/>
      <c r="M431" s="63"/>
      <c r="N431" s="8" t="str">
        <f t="shared" si="6"/>
        <v>0</v>
      </c>
      <c r="O431" s="8" t="str">
        <f>INDEX(Кат!$H:$H,MATCH($A431,Кат!$A:$A,0))</f>
        <v>Китай БЕСТ ПАРТНЕР</v>
      </c>
    </row>
    <row r="432" spans="1:15" ht="30" x14ac:dyDescent="0.25">
      <c r="A432" s="62">
        <v>213484</v>
      </c>
      <c r="B432" s="62">
        <v>10027</v>
      </c>
      <c r="C432" s="63" t="s">
        <v>133</v>
      </c>
      <c r="D432" s="63" t="s">
        <v>1155</v>
      </c>
      <c r="E432" s="63"/>
      <c r="F432" s="63"/>
      <c r="G432" s="63" t="s">
        <v>3</v>
      </c>
      <c r="H432" s="64">
        <v>1100</v>
      </c>
      <c r="I432" s="64">
        <v>1490</v>
      </c>
      <c r="J432" s="63"/>
      <c r="K432" s="63" t="s">
        <v>1156</v>
      </c>
      <c r="L432" s="63"/>
      <c r="M432" s="63"/>
      <c r="N432" s="8" t="str">
        <f t="shared" si="6"/>
        <v>0</v>
      </c>
      <c r="O432" s="8" t="str">
        <f>INDEX(Кат!$H:$H,MATCH($A432,Кат!$A:$A,0))</f>
        <v>Китай БЕСТ ПАРТНЕР</v>
      </c>
    </row>
    <row r="433" spans="1:15" ht="30" x14ac:dyDescent="0.25">
      <c r="A433" s="62">
        <v>213485</v>
      </c>
      <c r="B433" s="62">
        <v>10028</v>
      </c>
      <c r="C433" s="63" t="s">
        <v>134</v>
      </c>
      <c r="D433" s="63" t="s">
        <v>1155</v>
      </c>
      <c r="E433" s="63"/>
      <c r="F433" s="63"/>
      <c r="G433" s="63" t="s">
        <v>3</v>
      </c>
      <c r="H433" s="64">
        <v>1100</v>
      </c>
      <c r="I433" s="64">
        <v>1490</v>
      </c>
      <c r="J433" s="63"/>
      <c r="K433" s="63" t="s">
        <v>1156</v>
      </c>
      <c r="L433" s="63"/>
      <c r="M433" s="63"/>
      <c r="N433" s="8" t="str">
        <f t="shared" si="6"/>
        <v>0</v>
      </c>
      <c r="O433" s="8" t="str">
        <f>INDEX(Кат!$H:$H,MATCH($A433,Кат!$A:$A,0))</f>
        <v>Китай БЕСТ ПАРТНЕР</v>
      </c>
    </row>
    <row r="434" spans="1:15" ht="30" x14ac:dyDescent="0.25">
      <c r="A434" s="62">
        <v>213581</v>
      </c>
      <c r="B434" s="62">
        <v>18609</v>
      </c>
      <c r="C434" s="63" t="s">
        <v>166</v>
      </c>
      <c r="D434" s="63" t="s">
        <v>1155</v>
      </c>
      <c r="E434" s="63" t="s">
        <v>599</v>
      </c>
      <c r="F434" s="63"/>
      <c r="G434" s="63" t="s">
        <v>3</v>
      </c>
      <c r="H434" s="64">
        <v>550</v>
      </c>
      <c r="I434" s="64">
        <v>899</v>
      </c>
      <c r="J434" s="63" t="s">
        <v>1451</v>
      </c>
      <c r="K434" s="63" t="s">
        <v>4</v>
      </c>
      <c r="L434" s="63"/>
      <c r="M434" s="63"/>
      <c r="N434" s="8" t="str">
        <f t="shared" si="6"/>
        <v>1</v>
      </c>
      <c r="O434" s="8" t="str">
        <f>INDEX(Кат!$H:$H,MATCH($A434,Кат!$A:$A,0))</f>
        <v>Китай БЕСТ ПАРТНЕР</v>
      </c>
    </row>
    <row r="435" spans="1:15" ht="45" x14ac:dyDescent="0.25">
      <c r="A435" s="62">
        <v>213586</v>
      </c>
      <c r="B435" s="62">
        <v>16824</v>
      </c>
      <c r="C435" s="63" t="s">
        <v>156</v>
      </c>
      <c r="D435" s="63" t="s">
        <v>1155</v>
      </c>
      <c r="E435" s="63" t="s">
        <v>589</v>
      </c>
      <c r="F435" s="63"/>
      <c r="G435" s="63" t="s">
        <v>3</v>
      </c>
      <c r="H435" s="64">
        <v>750</v>
      </c>
      <c r="I435" s="64">
        <v>1590</v>
      </c>
      <c r="J435" s="63" t="s">
        <v>1443</v>
      </c>
      <c r="K435" s="63" t="s">
        <v>4</v>
      </c>
      <c r="L435" s="63"/>
      <c r="M435" s="63"/>
      <c r="N435" s="8" t="str">
        <f t="shared" si="6"/>
        <v>1</v>
      </c>
      <c r="O435" s="8" t="str">
        <f>INDEX(Кат!$H:$H,MATCH($A435,Кат!$A:$A,0))</f>
        <v>Китай БЕСТ ПАРТНЕР</v>
      </c>
    </row>
    <row r="436" spans="1:15" ht="45" x14ac:dyDescent="0.25">
      <c r="A436" s="62">
        <v>213587</v>
      </c>
      <c r="B436" s="62">
        <v>18238</v>
      </c>
      <c r="C436" s="63" t="s">
        <v>597</v>
      </c>
      <c r="D436" s="63" t="s">
        <v>1155</v>
      </c>
      <c r="E436" s="63" t="s">
        <v>1505</v>
      </c>
      <c r="F436" s="63"/>
      <c r="G436" s="63" t="s">
        <v>3</v>
      </c>
      <c r="H436" s="64">
        <v>750</v>
      </c>
      <c r="I436" s="64">
        <v>1190</v>
      </c>
      <c r="J436" s="63" t="s">
        <v>1422</v>
      </c>
      <c r="K436" s="63" t="s">
        <v>4</v>
      </c>
      <c r="L436" s="63"/>
      <c r="M436" s="63"/>
      <c r="N436" s="8" t="str">
        <f t="shared" si="6"/>
        <v>1</v>
      </c>
      <c r="O436" s="8" t="str">
        <f>INDEX(Кат!$H:$H,MATCH($A436,Кат!$A:$A,0))</f>
        <v>Китай БЕСТ ПАРТНЕР</v>
      </c>
    </row>
    <row r="437" spans="1:15" ht="30" x14ac:dyDescent="0.25">
      <c r="A437" s="62">
        <v>213591</v>
      </c>
      <c r="B437" s="62">
        <v>4838</v>
      </c>
      <c r="C437" s="63" t="s">
        <v>434</v>
      </c>
      <c r="D437" s="63" t="s">
        <v>1155</v>
      </c>
      <c r="E437" s="63"/>
      <c r="F437" s="63"/>
      <c r="G437" s="63" t="s">
        <v>3</v>
      </c>
      <c r="H437" s="64">
        <v>1900</v>
      </c>
      <c r="I437" s="64">
        <v>2490</v>
      </c>
      <c r="J437" s="63"/>
      <c r="K437" s="63" t="s">
        <v>1156</v>
      </c>
      <c r="L437" s="63"/>
      <c r="M437" s="63"/>
      <c r="N437" s="8" t="str">
        <f t="shared" si="6"/>
        <v>0</v>
      </c>
      <c r="O437" s="8" t="str">
        <f>INDEX(Кат!$H:$H,MATCH($A437,Кат!$A:$A,0))</f>
        <v>Китай БЕСТ ПАРТНЕР</v>
      </c>
    </row>
    <row r="438" spans="1:15" ht="30" x14ac:dyDescent="0.25">
      <c r="A438" s="62">
        <v>213595</v>
      </c>
      <c r="B438" s="62">
        <v>13696</v>
      </c>
      <c r="C438" s="63" t="s">
        <v>356</v>
      </c>
      <c r="D438" s="63" t="s">
        <v>1155</v>
      </c>
      <c r="E438" s="63"/>
      <c r="F438" s="63"/>
      <c r="G438" s="63" t="s">
        <v>3</v>
      </c>
      <c r="H438" s="64">
        <v>0</v>
      </c>
      <c r="I438" s="64">
        <v>0</v>
      </c>
      <c r="J438" s="63"/>
      <c r="K438" s="63" t="s">
        <v>1156</v>
      </c>
      <c r="L438" s="63"/>
      <c r="M438" s="63"/>
      <c r="N438" s="8" t="str">
        <f t="shared" si="6"/>
        <v>0</v>
      </c>
      <c r="O438" s="8" t="str">
        <f>INDEX(Кат!$H:$H,MATCH($A438,Кат!$A:$A,0))</f>
        <v>Китай БЕСТ ПАРТНЕР</v>
      </c>
    </row>
    <row r="439" spans="1:15" ht="30" x14ac:dyDescent="0.25">
      <c r="A439" s="62">
        <v>213596</v>
      </c>
      <c r="B439" s="62">
        <v>13697</v>
      </c>
      <c r="C439" s="63" t="s">
        <v>149</v>
      </c>
      <c r="D439" s="63" t="s">
        <v>1155</v>
      </c>
      <c r="E439" s="63"/>
      <c r="F439" s="63"/>
      <c r="G439" s="63" t="s">
        <v>3</v>
      </c>
      <c r="H439" s="64">
        <v>0</v>
      </c>
      <c r="I439" s="64">
        <v>0</v>
      </c>
      <c r="J439" s="63"/>
      <c r="K439" s="63" t="s">
        <v>1156</v>
      </c>
      <c r="L439" s="63"/>
      <c r="M439" s="63"/>
      <c r="N439" s="8" t="str">
        <f t="shared" si="6"/>
        <v>0</v>
      </c>
      <c r="O439" s="8" t="str">
        <f>INDEX(Кат!$H:$H,MATCH($A439,Кат!$A:$A,0))</f>
        <v>Китай БЕСТ ПАРТНЕР</v>
      </c>
    </row>
    <row r="440" spans="1:15" ht="30" x14ac:dyDescent="0.25">
      <c r="A440" s="62">
        <v>274102</v>
      </c>
      <c r="B440" s="62">
        <v>220384</v>
      </c>
      <c r="C440" s="63" t="s">
        <v>1229</v>
      </c>
      <c r="D440" s="63" t="s">
        <v>1155</v>
      </c>
      <c r="E440" s="63"/>
      <c r="F440" s="63"/>
      <c r="G440" s="63" t="s">
        <v>3</v>
      </c>
      <c r="H440" s="64">
        <v>1150</v>
      </c>
      <c r="I440" s="64">
        <v>1490</v>
      </c>
      <c r="J440" s="63"/>
      <c r="K440" s="63" t="s">
        <v>4</v>
      </c>
      <c r="L440" s="63"/>
      <c r="M440" s="63"/>
      <c r="N440" s="8" t="str">
        <f t="shared" si="6"/>
        <v>1</v>
      </c>
      <c r="O440" s="8" t="str">
        <f>INDEX(Кат!$H:$H,MATCH($A440,Кат!$A:$A,0))</f>
        <v>Китай БЕСТ ПАРТНЕР</v>
      </c>
    </row>
    <row r="441" spans="1:15" ht="30" x14ac:dyDescent="0.25">
      <c r="A441" s="62">
        <v>274103</v>
      </c>
      <c r="B441" s="62">
        <v>220667</v>
      </c>
      <c r="C441" s="63" t="s">
        <v>1230</v>
      </c>
      <c r="D441" s="63" t="s">
        <v>1155</v>
      </c>
      <c r="E441" s="63" t="s">
        <v>1231</v>
      </c>
      <c r="F441" s="63" t="s">
        <v>1231</v>
      </c>
      <c r="G441" s="63" t="s">
        <v>3</v>
      </c>
      <c r="H441" s="64"/>
      <c r="I441" s="64">
        <v>0</v>
      </c>
      <c r="J441" s="63"/>
      <c r="K441" s="63" t="s">
        <v>1156</v>
      </c>
      <c r="L441" s="63" t="s">
        <v>4</v>
      </c>
      <c r="M441" s="63"/>
      <c r="N441" s="8" t="str">
        <f t="shared" si="6"/>
        <v>0ск1</v>
      </c>
      <c r="O441" s="8" t="str">
        <f>INDEX(Кат!$H:$H,MATCH($A441,Кат!$A:$A,0))</f>
        <v>Китай БЕСТ ПАРТНЕР</v>
      </c>
    </row>
    <row r="442" spans="1:15" ht="30" x14ac:dyDescent="0.25">
      <c r="A442" s="62">
        <v>213615</v>
      </c>
      <c r="B442" s="62">
        <v>18707</v>
      </c>
      <c r="C442" s="63" t="s">
        <v>169</v>
      </c>
      <c r="D442" s="63" t="s">
        <v>1155</v>
      </c>
      <c r="E442" s="63"/>
      <c r="F442" s="63"/>
      <c r="G442" s="63" t="s">
        <v>3</v>
      </c>
      <c r="H442" s="64">
        <v>1000</v>
      </c>
      <c r="I442" s="64">
        <v>1290</v>
      </c>
      <c r="J442" s="63"/>
      <c r="K442" s="63" t="s">
        <v>1156</v>
      </c>
      <c r="L442" s="63"/>
      <c r="M442" s="63" t="s">
        <v>1155</v>
      </c>
      <c r="N442" s="8" t="str">
        <f t="shared" si="6"/>
        <v>0</v>
      </c>
      <c r="O442" s="8" t="str">
        <f>INDEX(Кат!$H:$H,MATCH($A442,Кат!$A:$A,0))</f>
        <v>Китай БЕСТ ПАРТНЕР</v>
      </c>
    </row>
    <row r="443" spans="1:15" ht="30" x14ac:dyDescent="0.25">
      <c r="A443" s="62">
        <v>213628</v>
      </c>
      <c r="B443" s="62">
        <v>12602</v>
      </c>
      <c r="C443" s="63" t="s">
        <v>1514</v>
      </c>
      <c r="D443" s="63" t="s">
        <v>1157</v>
      </c>
      <c r="E443" s="63"/>
      <c r="F443" s="63"/>
      <c r="G443" s="63" t="s">
        <v>3</v>
      </c>
      <c r="H443" s="64">
        <v>650</v>
      </c>
      <c r="I443" s="64">
        <v>949</v>
      </c>
      <c r="J443" s="63"/>
      <c r="K443" s="63" t="s">
        <v>4</v>
      </c>
      <c r="L443" s="63"/>
      <c r="M443" s="63"/>
      <c r="N443" s="8" t="str">
        <f t="shared" si="6"/>
        <v>1</v>
      </c>
      <c r="O443" s="8" t="str">
        <f>INDEX(Кат!$H:$H,MATCH($A443,Кат!$A:$A,0))</f>
        <v>Китай БЕСТ ПАРТНЕР</v>
      </c>
    </row>
    <row r="444" spans="1:15" ht="45" x14ac:dyDescent="0.25">
      <c r="A444" s="62">
        <v>213655</v>
      </c>
      <c r="B444" s="62">
        <v>36901</v>
      </c>
      <c r="C444" s="63" t="s">
        <v>292</v>
      </c>
      <c r="D444" s="63" t="s">
        <v>1155</v>
      </c>
      <c r="E444" s="63"/>
      <c r="F444" s="63"/>
      <c r="G444" s="63" t="s">
        <v>3</v>
      </c>
      <c r="H444" s="64">
        <v>2600</v>
      </c>
      <c r="I444" s="64">
        <v>3390</v>
      </c>
      <c r="J444" s="63"/>
      <c r="K444" s="63" t="s">
        <v>4</v>
      </c>
      <c r="L444" s="63"/>
      <c r="M444" s="63"/>
      <c r="N444" s="8" t="str">
        <f t="shared" si="6"/>
        <v>1</v>
      </c>
      <c r="O444" s="8" t="str">
        <f>INDEX(Кат!$H:$H,MATCH($A444,Кат!$A:$A,0))</f>
        <v>Китай БЕСТ ПАРТНЕР</v>
      </c>
    </row>
    <row r="445" spans="1:15" ht="45" x14ac:dyDescent="0.25">
      <c r="A445" s="62">
        <v>213657</v>
      </c>
      <c r="B445" s="62">
        <v>38481</v>
      </c>
      <c r="C445" s="63" t="s">
        <v>1515</v>
      </c>
      <c r="D445" s="63" t="s">
        <v>1157</v>
      </c>
      <c r="E445" s="63"/>
      <c r="F445" s="63"/>
      <c r="G445" s="63" t="s">
        <v>3</v>
      </c>
      <c r="H445" s="64">
        <v>3200</v>
      </c>
      <c r="I445" s="64">
        <v>4090</v>
      </c>
      <c r="J445" s="63"/>
      <c r="K445" s="63" t="s">
        <v>4</v>
      </c>
      <c r="L445" s="63"/>
      <c r="M445" s="63"/>
      <c r="N445" s="8" t="str">
        <f t="shared" si="6"/>
        <v>1</v>
      </c>
      <c r="O445" s="8" t="str">
        <f>INDEX(Кат!$H:$H,MATCH($A445,Кат!$A:$A,0))</f>
        <v>Китай БЕСТ ПАРТНЕР</v>
      </c>
    </row>
    <row r="446" spans="1:15" ht="30" x14ac:dyDescent="0.25">
      <c r="A446" s="62">
        <v>213658</v>
      </c>
      <c r="B446" s="62">
        <v>38483</v>
      </c>
      <c r="C446" s="63" t="s">
        <v>1516</v>
      </c>
      <c r="D446" s="63" t="s">
        <v>1157</v>
      </c>
      <c r="E446" s="63" t="s">
        <v>675</v>
      </c>
      <c r="F446" s="63"/>
      <c r="G446" s="63" t="s">
        <v>3</v>
      </c>
      <c r="H446" s="64">
        <v>3200</v>
      </c>
      <c r="I446" s="64">
        <v>4090</v>
      </c>
      <c r="J446" s="63"/>
      <c r="K446" s="63" t="s">
        <v>4</v>
      </c>
      <c r="L446" s="63"/>
      <c r="M446" s="63"/>
      <c r="N446" s="8" t="str">
        <f t="shared" si="6"/>
        <v>1</v>
      </c>
      <c r="O446" s="8" t="str">
        <f>INDEX(Кат!$H:$H,MATCH($A446,Кат!$A:$A,0))</f>
        <v>Китай БЕСТ ПАРТНЕР</v>
      </c>
    </row>
    <row r="447" spans="1:15" ht="60" x14ac:dyDescent="0.25">
      <c r="A447" s="62">
        <v>213661</v>
      </c>
      <c r="B447" s="62">
        <v>31832</v>
      </c>
      <c r="C447" s="63" t="s">
        <v>291</v>
      </c>
      <c r="D447" s="63" t="s">
        <v>1155</v>
      </c>
      <c r="E447" s="63"/>
      <c r="F447" s="63"/>
      <c r="G447" s="63" t="s">
        <v>3</v>
      </c>
      <c r="H447" s="64">
        <v>2500</v>
      </c>
      <c r="I447" s="64">
        <v>3290</v>
      </c>
      <c r="J447" s="63" t="s">
        <v>1362</v>
      </c>
      <c r="K447" s="63" t="s">
        <v>4</v>
      </c>
      <c r="L447" s="63"/>
      <c r="M447" s="63"/>
      <c r="N447" s="8" t="str">
        <f t="shared" si="6"/>
        <v>1</v>
      </c>
      <c r="O447" s="8" t="str">
        <f>INDEX(Кат!$H:$H,MATCH($A447,Кат!$A:$A,0))</f>
        <v>Китай БЕСТ ПАРТНЕР</v>
      </c>
    </row>
    <row r="448" spans="1:15" ht="30" x14ac:dyDescent="0.25">
      <c r="A448" s="62">
        <v>213664</v>
      </c>
      <c r="B448" s="62">
        <v>18959</v>
      </c>
      <c r="C448" s="63" t="s">
        <v>171</v>
      </c>
      <c r="D448" s="63" t="s">
        <v>1155</v>
      </c>
      <c r="E448" s="63"/>
      <c r="F448" s="63"/>
      <c r="G448" s="63" t="s">
        <v>3</v>
      </c>
      <c r="H448" s="64">
        <v>1400</v>
      </c>
      <c r="I448" s="64">
        <v>1890</v>
      </c>
      <c r="J448" s="63"/>
      <c r="K448" s="63" t="s">
        <v>1156</v>
      </c>
      <c r="L448" s="63"/>
      <c r="M448" s="63"/>
      <c r="N448" s="8" t="str">
        <f t="shared" si="6"/>
        <v>0</v>
      </c>
      <c r="O448" s="8" t="str">
        <f>INDEX(Кат!$H:$H,MATCH($A448,Кат!$A:$A,0))</f>
        <v>Китай БЕСТ ПАРТНЕР</v>
      </c>
    </row>
    <row r="449" spans="1:15" ht="45" x14ac:dyDescent="0.25">
      <c r="A449" s="62">
        <v>213668</v>
      </c>
      <c r="B449" s="62">
        <v>23362</v>
      </c>
      <c r="C449" s="63" t="s">
        <v>182</v>
      </c>
      <c r="D449" s="63" t="s">
        <v>1155</v>
      </c>
      <c r="E449" s="63" t="s">
        <v>628</v>
      </c>
      <c r="F449" s="63"/>
      <c r="G449" s="63" t="s">
        <v>3</v>
      </c>
      <c r="H449" s="64">
        <v>2400</v>
      </c>
      <c r="I449" s="64">
        <v>3390</v>
      </c>
      <c r="J449" s="63" t="s">
        <v>740</v>
      </c>
      <c r="K449" s="63" t="s">
        <v>4</v>
      </c>
      <c r="L449" s="63"/>
      <c r="M449" s="63"/>
      <c r="N449" s="8" t="str">
        <f t="shared" si="6"/>
        <v>1</v>
      </c>
      <c r="O449" s="8" t="str">
        <f>INDEX(Кат!$H:$H,MATCH($A449,Кат!$A:$A,0))</f>
        <v>Китай БЕСТ ПАРТНЕР</v>
      </c>
    </row>
    <row r="450" spans="1:15" ht="45" x14ac:dyDescent="0.25">
      <c r="A450" s="62">
        <v>213675</v>
      </c>
      <c r="B450" s="62">
        <v>38181</v>
      </c>
      <c r="C450" s="63" t="s">
        <v>295</v>
      </c>
      <c r="D450" s="63" t="s">
        <v>1155</v>
      </c>
      <c r="E450" s="63"/>
      <c r="F450" s="63"/>
      <c r="G450" s="63" t="s">
        <v>3</v>
      </c>
      <c r="H450" s="64">
        <v>2200</v>
      </c>
      <c r="I450" s="64">
        <v>2890</v>
      </c>
      <c r="J450" s="63"/>
      <c r="K450" s="63" t="s">
        <v>4</v>
      </c>
      <c r="L450" s="63"/>
      <c r="M450" s="63"/>
      <c r="N450" s="8" t="str">
        <f t="shared" si="6"/>
        <v>1</v>
      </c>
      <c r="O450" s="8" t="str">
        <f>INDEX(Кат!$H:$H,MATCH($A450,Кат!$A:$A,0))</f>
        <v>Китай БЕСТ ПАРТНЕР</v>
      </c>
    </row>
    <row r="451" spans="1:15" ht="45" x14ac:dyDescent="0.25">
      <c r="A451" s="62">
        <v>213677</v>
      </c>
      <c r="B451" s="62">
        <v>19389</v>
      </c>
      <c r="C451" s="63" t="s">
        <v>314</v>
      </c>
      <c r="D451" s="63" t="s">
        <v>1155</v>
      </c>
      <c r="E451" s="63"/>
      <c r="F451" s="63"/>
      <c r="G451" s="63" t="s">
        <v>3</v>
      </c>
      <c r="H451" s="64">
        <v>1500</v>
      </c>
      <c r="I451" s="64">
        <v>2290</v>
      </c>
      <c r="J451" s="63" t="s">
        <v>850</v>
      </c>
      <c r="K451" s="63" t="s">
        <v>4</v>
      </c>
      <c r="L451" s="63"/>
      <c r="M451" s="63"/>
      <c r="N451" s="8" t="str">
        <f t="shared" ref="N451:N514" si="7">_xlfn.CONCAT(K451,IF(L451&lt;&gt;"",_xlfn.CONCAT("ск",L451),""))</f>
        <v>1</v>
      </c>
      <c r="O451" s="8" t="str">
        <f>INDEX(Кат!$H:$H,MATCH($A451,Кат!$A:$A,0))</f>
        <v>Китай БЕСТ ПАРТНЕР</v>
      </c>
    </row>
    <row r="452" spans="1:15" ht="45" x14ac:dyDescent="0.25">
      <c r="A452" s="62">
        <v>213678</v>
      </c>
      <c r="B452" s="62">
        <v>25035</v>
      </c>
      <c r="C452" s="63" t="s">
        <v>260</v>
      </c>
      <c r="D452" s="63" t="s">
        <v>1155</v>
      </c>
      <c r="E452" s="63" t="s">
        <v>644</v>
      </c>
      <c r="F452" s="63"/>
      <c r="G452" s="63" t="s">
        <v>3</v>
      </c>
      <c r="H452" s="64">
        <v>1850</v>
      </c>
      <c r="I452" s="64">
        <v>2590</v>
      </c>
      <c r="J452" s="63" t="s">
        <v>862</v>
      </c>
      <c r="K452" s="63" t="s">
        <v>4</v>
      </c>
      <c r="L452" s="63"/>
      <c r="M452" s="63"/>
      <c r="N452" s="8" t="str">
        <f t="shared" si="7"/>
        <v>1</v>
      </c>
      <c r="O452" s="8" t="str">
        <f>INDEX(Кат!$H:$H,MATCH($A452,Кат!$A:$A,0))</f>
        <v>Китай БЕСТ ПАРТНЕР</v>
      </c>
    </row>
    <row r="453" spans="1:15" ht="45" x14ac:dyDescent="0.25">
      <c r="A453" s="62">
        <v>213679</v>
      </c>
      <c r="B453" s="62">
        <v>25049</v>
      </c>
      <c r="C453" s="63" t="s">
        <v>263</v>
      </c>
      <c r="D453" s="63" t="s">
        <v>1155</v>
      </c>
      <c r="E453" s="63" t="s">
        <v>648</v>
      </c>
      <c r="F453" s="63"/>
      <c r="G453" s="63" t="s">
        <v>3</v>
      </c>
      <c r="H453" s="64">
        <v>1700</v>
      </c>
      <c r="I453" s="64">
        <v>2390</v>
      </c>
      <c r="J453" s="63" t="s">
        <v>856</v>
      </c>
      <c r="K453" s="63" t="s">
        <v>4</v>
      </c>
      <c r="L453" s="63"/>
      <c r="M453" s="63"/>
      <c r="N453" s="8" t="str">
        <f t="shared" si="7"/>
        <v>1</v>
      </c>
      <c r="O453" s="8" t="str">
        <f>INDEX(Кат!$H:$H,MATCH($A453,Кат!$A:$A,0))</f>
        <v>Китай БЕСТ ПАРТНЕР</v>
      </c>
    </row>
    <row r="454" spans="1:15" ht="60" x14ac:dyDescent="0.25">
      <c r="A454" s="62">
        <v>213685</v>
      </c>
      <c r="B454" s="62">
        <v>25033</v>
      </c>
      <c r="C454" s="63" t="s">
        <v>258</v>
      </c>
      <c r="D454" s="63" t="s">
        <v>1155</v>
      </c>
      <c r="E454" s="63" t="s">
        <v>642</v>
      </c>
      <c r="F454" s="63"/>
      <c r="G454" s="63" t="s">
        <v>3</v>
      </c>
      <c r="H454" s="64">
        <v>3500</v>
      </c>
      <c r="I454" s="64">
        <v>5590</v>
      </c>
      <c r="J454" s="63" t="s">
        <v>776</v>
      </c>
      <c r="K454" s="63" t="s">
        <v>4</v>
      </c>
      <c r="L454" s="63"/>
      <c r="M454" s="63"/>
      <c r="N454" s="8" t="str">
        <f t="shared" si="7"/>
        <v>1</v>
      </c>
      <c r="O454" s="8" t="str">
        <f>INDEX(Кат!$H:$H,MATCH($A454,Кат!$A:$A,0))</f>
        <v>Китай БЕСТ ПАРТНЕР</v>
      </c>
    </row>
    <row r="455" spans="1:15" ht="60" x14ac:dyDescent="0.25">
      <c r="A455" s="62">
        <v>213686</v>
      </c>
      <c r="B455" s="62">
        <v>25029</v>
      </c>
      <c r="C455" s="63" t="s">
        <v>255</v>
      </c>
      <c r="D455" s="63" t="s">
        <v>1155</v>
      </c>
      <c r="E455" s="63" t="s">
        <v>637</v>
      </c>
      <c r="F455" s="63"/>
      <c r="G455" s="63" t="s">
        <v>3</v>
      </c>
      <c r="H455" s="64">
        <v>3800</v>
      </c>
      <c r="I455" s="64">
        <v>5190</v>
      </c>
      <c r="J455" s="63" t="s">
        <v>761</v>
      </c>
      <c r="K455" s="63" t="s">
        <v>4</v>
      </c>
      <c r="L455" s="63"/>
      <c r="M455" s="63"/>
      <c r="N455" s="8" t="str">
        <f t="shared" si="7"/>
        <v>1</v>
      </c>
      <c r="O455" s="8" t="str">
        <f>INDEX(Кат!$H:$H,MATCH($A455,Кат!$A:$A,0))</f>
        <v>Китай БЕСТ ПАРТНЕР</v>
      </c>
    </row>
    <row r="456" spans="1:15" ht="60" x14ac:dyDescent="0.25">
      <c r="A456" s="62">
        <v>213688</v>
      </c>
      <c r="B456" s="62">
        <v>25031</v>
      </c>
      <c r="C456" s="63" t="s">
        <v>257</v>
      </c>
      <c r="D456" s="63" t="s">
        <v>1155</v>
      </c>
      <c r="E456" s="63" t="s">
        <v>639</v>
      </c>
      <c r="F456" s="63"/>
      <c r="G456" s="63" t="s">
        <v>3</v>
      </c>
      <c r="H456" s="64">
        <v>3800</v>
      </c>
      <c r="I456" s="64">
        <v>5290</v>
      </c>
      <c r="J456" s="63" t="s">
        <v>759</v>
      </c>
      <c r="K456" s="63" t="s">
        <v>4</v>
      </c>
      <c r="L456" s="63"/>
      <c r="M456" s="63"/>
      <c r="N456" s="8" t="str">
        <f t="shared" si="7"/>
        <v>1</v>
      </c>
      <c r="O456" s="8" t="str">
        <f>INDEX(Кат!$H:$H,MATCH($A456,Кат!$A:$A,0))</f>
        <v>Китай БЕСТ ПАРТНЕР</v>
      </c>
    </row>
    <row r="457" spans="1:15" ht="60" x14ac:dyDescent="0.25">
      <c r="A457" s="62">
        <v>345623</v>
      </c>
      <c r="B457" s="62">
        <v>345623</v>
      </c>
      <c r="C457" s="63" t="s">
        <v>1378</v>
      </c>
      <c r="D457" s="63" t="s">
        <v>1155</v>
      </c>
      <c r="E457" s="63" t="s">
        <v>1379</v>
      </c>
      <c r="F457" s="63"/>
      <c r="G457" s="63" t="s">
        <v>3</v>
      </c>
      <c r="H457" s="64">
        <v>6000</v>
      </c>
      <c r="I457" s="64">
        <v>8990</v>
      </c>
      <c r="J457" s="63" t="s">
        <v>1380</v>
      </c>
      <c r="K457" s="63" t="s">
        <v>4</v>
      </c>
      <c r="L457" s="63"/>
      <c r="M457" s="63"/>
      <c r="N457" s="8" t="str">
        <f t="shared" si="7"/>
        <v>1</v>
      </c>
      <c r="O457" s="8" t="str">
        <f>INDEX(Кат!$H:$H,MATCH($A457,Кат!$A:$A,0))</f>
        <v>Китай БЕСТ ПАРТНЕР</v>
      </c>
    </row>
    <row r="458" spans="1:15" ht="45" x14ac:dyDescent="0.25">
      <c r="A458" s="62">
        <v>213690</v>
      </c>
      <c r="B458" s="62">
        <v>25030</v>
      </c>
      <c r="C458" s="63" t="s">
        <v>256</v>
      </c>
      <c r="D458" s="63" t="s">
        <v>1155</v>
      </c>
      <c r="E458" s="63" t="s">
        <v>638</v>
      </c>
      <c r="F458" s="63"/>
      <c r="G458" s="63" t="s">
        <v>3</v>
      </c>
      <c r="H458" s="64">
        <v>3700</v>
      </c>
      <c r="I458" s="64">
        <v>5590</v>
      </c>
      <c r="J458" s="63" t="s">
        <v>784</v>
      </c>
      <c r="K458" s="63" t="s">
        <v>4</v>
      </c>
      <c r="L458" s="63"/>
      <c r="M458" s="63"/>
      <c r="N458" s="8" t="str">
        <f t="shared" si="7"/>
        <v>1</v>
      </c>
      <c r="O458" s="8" t="str">
        <f>INDEX(Кат!$H:$H,MATCH($A458,Кат!$A:$A,0))</f>
        <v>Китай БЕСТ ПАРТНЕР</v>
      </c>
    </row>
    <row r="459" spans="1:15" ht="45" x14ac:dyDescent="0.25">
      <c r="A459" s="62">
        <v>213691</v>
      </c>
      <c r="B459" s="62">
        <v>25027</v>
      </c>
      <c r="C459" s="63" t="s">
        <v>254</v>
      </c>
      <c r="D459" s="63" t="s">
        <v>1155</v>
      </c>
      <c r="E459" s="63" t="s">
        <v>635</v>
      </c>
      <c r="F459" s="63"/>
      <c r="G459" s="63" t="s">
        <v>3</v>
      </c>
      <c r="H459" s="64">
        <v>3800</v>
      </c>
      <c r="I459" s="64">
        <v>5190</v>
      </c>
      <c r="J459" s="63" t="s">
        <v>888</v>
      </c>
      <c r="K459" s="63" t="s">
        <v>4</v>
      </c>
      <c r="L459" s="63"/>
      <c r="M459" s="63"/>
      <c r="N459" s="8" t="str">
        <f t="shared" si="7"/>
        <v>1</v>
      </c>
      <c r="O459" s="8" t="str">
        <f>INDEX(Кат!$H:$H,MATCH($A459,Кат!$A:$A,0))</f>
        <v>Китай БЕСТ ПАРТНЕР</v>
      </c>
    </row>
    <row r="460" spans="1:15" ht="45" x14ac:dyDescent="0.25">
      <c r="A460" s="62">
        <v>213692</v>
      </c>
      <c r="B460" s="62">
        <v>25028</v>
      </c>
      <c r="C460" s="63" t="s">
        <v>254</v>
      </c>
      <c r="D460" s="63" t="s">
        <v>1155</v>
      </c>
      <c r="E460" s="63" t="s">
        <v>636</v>
      </c>
      <c r="F460" s="63"/>
      <c r="G460" s="63" t="s">
        <v>3</v>
      </c>
      <c r="H460" s="64">
        <v>3500</v>
      </c>
      <c r="I460" s="64">
        <v>5190</v>
      </c>
      <c r="J460" s="63" t="s">
        <v>889</v>
      </c>
      <c r="K460" s="63" t="s">
        <v>4</v>
      </c>
      <c r="L460" s="63"/>
      <c r="M460" s="63"/>
      <c r="N460" s="8" t="str">
        <f t="shared" si="7"/>
        <v>1</v>
      </c>
      <c r="O460" s="8" t="str">
        <f>INDEX(Кат!$H:$H,MATCH($A460,Кат!$A:$A,0))</f>
        <v>Китай БЕСТ ПАРТНЕР</v>
      </c>
    </row>
    <row r="461" spans="1:15" ht="45" x14ac:dyDescent="0.25">
      <c r="A461" s="62">
        <v>255952</v>
      </c>
      <c r="B461" s="62">
        <v>170969</v>
      </c>
      <c r="C461" s="63" t="s">
        <v>254</v>
      </c>
      <c r="D461" s="63" t="s">
        <v>1155</v>
      </c>
      <c r="E461" s="63" t="s">
        <v>1129</v>
      </c>
      <c r="F461" s="63"/>
      <c r="G461" s="63" t="s">
        <v>3</v>
      </c>
      <c r="H461" s="64">
        <v>3500</v>
      </c>
      <c r="I461" s="64">
        <v>5090</v>
      </c>
      <c r="J461" s="63" t="s">
        <v>1360</v>
      </c>
      <c r="K461" s="63" t="s">
        <v>4</v>
      </c>
      <c r="L461" s="63"/>
      <c r="M461" s="63"/>
      <c r="N461" s="8" t="str">
        <f t="shared" si="7"/>
        <v>1</v>
      </c>
      <c r="O461" s="8" t="str">
        <f>INDEX(Кат!$H:$H,MATCH($A461,Кат!$A:$A,0))</f>
        <v>Китай БЕСТ ПАРТНЕР</v>
      </c>
    </row>
    <row r="462" spans="1:15" ht="60" x14ac:dyDescent="0.25">
      <c r="A462" s="62">
        <v>213693</v>
      </c>
      <c r="B462" s="62">
        <v>25032</v>
      </c>
      <c r="C462" s="63" t="s">
        <v>640</v>
      </c>
      <c r="D462" s="63" t="s">
        <v>1155</v>
      </c>
      <c r="E462" s="63" t="s">
        <v>641</v>
      </c>
      <c r="F462" s="63"/>
      <c r="G462" s="63" t="s">
        <v>3</v>
      </c>
      <c r="H462" s="64">
        <v>3500</v>
      </c>
      <c r="I462" s="64">
        <v>4890</v>
      </c>
      <c r="J462" s="63" t="s">
        <v>763</v>
      </c>
      <c r="K462" s="63" t="s">
        <v>4</v>
      </c>
      <c r="L462" s="63"/>
      <c r="M462" s="63"/>
      <c r="N462" s="8" t="str">
        <f t="shared" si="7"/>
        <v>1</v>
      </c>
      <c r="O462" s="8" t="str">
        <f>INDEX(Кат!$H:$H,MATCH($A462,Кат!$A:$A,0))</f>
        <v>Китай БЕСТ ПАРТНЕР</v>
      </c>
    </row>
    <row r="463" spans="1:15" ht="60" x14ac:dyDescent="0.25">
      <c r="A463" s="62">
        <v>213694</v>
      </c>
      <c r="B463" s="62">
        <v>18703</v>
      </c>
      <c r="C463" s="63" t="s">
        <v>332</v>
      </c>
      <c r="D463" s="63" t="s">
        <v>1155</v>
      </c>
      <c r="E463" s="63" t="s">
        <v>609</v>
      </c>
      <c r="F463" s="63"/>
      <c r="G463" s="63" t="s">
        <v>3</v>
      </c>
      <c r="H463" s="64">
        <v>3000</v>
      </c>
      <c r="I463" s="64">
        <v>3990</v>
      </c>
      <c r="J463" s="63" t="s">
        <v>785</v>
      </c>
      <c r="K463" s="63" t="s">
        <v>4</v>
      </c>
      <c r="L463" s="63"/>
      <c r="M463" s="63"/>
      <c r="N463" s="8" t="str">
        <f t="shared" si="7"/>
        <v>1</v>
      </c>
      <c r="O463" s="8" t="str">
        <f>INDEX(Кат!$H:$H,MATCH($A463,Кат!$A:$A,0))</f>
        <v>Китай БЕСТ ПАРТНЕР</v>
      </c>
    </row>
    <row r="464" spans="1:15" ht="60" x14ac:dyDescent="0.25">
      <c r="A464" s="62">
        <v>213700</v>
      </c>
      <c r="B464" s="62">
        <v>19183</v>
      </c>
      <c r="C464" s="63" t="s">
        <v>320</v>
      </c>
      <c r="D464" s="63" t="s">
        <v>1155</v>
      </c>
      <c r="E464" s="63" t="s">
        <v>616</v>
      </c>
      <c r="F464" s="63"/>
      <c r="G464" s="63" t="s">
        <v>3</v>
      </c>
      <c r="H464" s="64">
        <v>3800</v>
      </c>
      <c r="I464" s="64">
        <v>5390</v>
      </c>
      <c r="J464" s="63" t="s">
        <v>774</v>
      </c>
      <c r="K464" s="63" t="s">
        <v>4</v>
      </c>
      <c r="L464" s="63"/>
      <c r="M464" s="63"/>
      <c r="N464" s="8" t="str">
        <f t="shared" si="7"/>
        <v>1</v>
      </c>
      <c r="O464" s="8" t="str">
        <f>INDEX(Кат!$H:$H,MATCH($A464,Кат!$A:$A,0))</f>
        <v>Китай БЕСТ ПАРТНЕР</v>
      </c>
    </row>
    <row r="465" spans="1:15" ht="60" x14ac:dyDescent="0.25">
      <c r="A465" s="62">
        <v>213701</v>
      </c>
      <c r="B465" s="62">
        <v>19185</v>
      </c>
      <c r="C465" s="63" t="s">
        <v>319</v>
      </c>
      <c r="D465" s="63" t="s">
        <v>1155</v>
      </c>
      <c r="E465" s="63" t="s">
        <v>617</v>
      </c>
      <c r="F465" s="63"/>
      <c r="G465" s="63" t="s">
        <v>3</v>
      </c>
      <c r="H465" s="64">
        <v>3500</v>
      </c>
      <c r="I465" s="64">
        <v>4890</v>
      </c>
      <c r="J465" s="63" t="s">
        <v>777</v>
      </c>
      <c r="K465" s="63" t="s">
        <v>4</v>
      </c>
      <c r="L465" s="63"/>
      <c r="M465" s="63"/>
      <c r="N465" s="8" t="str">
        <f t="shared" si="7"/>
        <v>1</v>
      </c>
      <c r="O465" s="8" t="str">
        <f>INDEX(Кат!$H:$H,MATCH($A465,Кат!$A:$A,0))</f>
        <v>Китай БЕСТ ПАРТНЕР</v>
      </c>
    </row>
    <row r="466" spans="1:15" ht="60" x14ac:dyDescent="0.25">
      <c r="A466" s="62">
        <v>213702</v>
      </c>
      <c r="B466" s="62">
        <v>19186</v>
      </c>
      <c r="C466" s="63" t="s">
        <v>318</v>
      </c>
      <c r="D466" s="63" t="s">
        <v>1155</v>
      </c>
      <c r="E466" s="63" t="s">
        <v>618</v>
      </c>
      <c r="F466" s="63"/>
      <c r="G466" s="63" t="s">
        <v>3</v>
      </c>
      <c r="H466" s="64">
        <v>3800</v>
      </c>
      <c r="I466" s="64">
        <v>4890</v>
      </c>
      <c r="J466" s="63" t="s">
        <v>773</v>
      </c>
      <c r="K466" s="63" t="s">
        <v>4</v>
      </c>
      <c r="L466" s="63"/>
      <c r="M466" s="63"/>
      <c r="N466" s="8" t="str">
        <f t="shared" si="7"/>
        <v>1</v>
      </c>
      <c r="O466" s="8" t="str">
        <f>INDEX(Кат!$H:$H,MATCH($A466,Кат!$A:$A,0))</f>
        <v>Китай БЕСТ ПАРТНЕР</v>
      </c>
    </row>
    <row r="467" spans="1:15" ht="60" x14ac:dyDescent="0.25">
      <c r="A467" s="62">
        <v>213703</v>
      </c>
      <c r="B467" s="62">
        <v>19189</v>
      </c>
      <c r="C467" s="63" t="s">
        <v>317</v>
      </c>
      <c r="D467" s="63" t="s">
        <v>1155</v>
      </c>
      <c r="E467" s="63" t="s">
        <v>619</v>
      </c>
      <c r="F467" s="63"/>
      <c r="G467" s="63" t="s">
        <v>3</v>
      </c>
      <c r="H467" s="64">
        <v>3800</v>
      </c>
      <c r="I467" s="64">
        <v>5190</v>
      </c>
      <c r="J467" s="63" t="s">
        <v>772</v>
      </c>
      <c r="K467" s="63" t="s">
        <v>4</v>
      </c>
      <c r="L467" s="63"/>
      <c r="M467" s="63"/>
      <c r="N467" s="8" t="str">
        <f t="shared" si="7"/>
        <v>1</v>
      </c>
      <c r="O467" s="8" t="str">
        <f>INDEX(Кат!$H:$H,MATCH($A467,Кат!$A:$A,0))</f>
        <v>Китай БЕСТ ПАРТНЕР</v>
      </c>
    </row>
    <row r="468" spans="1:15" ht="60" x14ac:dyDescent="0.25">
      <c r="A468" s="62">
        <v>213704</v>
      </c>
      <c r="B468" s="62">
        <v>18700</v>
      </c>
      <c r="C468" s="63" t="s">
        <v>335</v>
      </c>
      <c r="D468" s="63" t="s">
        <v>1155</v>
      </c>
      <c r="E468" s="63" t="s">
        <v>606</v>
      </c>
      <c r="F468" s="63"/>
      <c r="G468" s="63" t="s">
        <v>3</v>
      </c>
      <c r="H468" s="64">
        <v>3000</v>
      </c>
      <c r="I468" s="64">
        <v>4090</v>
      </c>
      <c r="J468" s="63" t="s">
        <v>769</v>
      </c>
      <c r="K468" s="63" t="s">
        <v>4</v>
      </c>
      <c r="L468" s="63" t="s">
        <v>4</v>
      </c>
      <c r="M468" s="63"/>
      <c r="N468" s="8" t="str">
        <f t="shared" si="7"/>
        <v>1ск1</v>
      </c>
      <c r="O468" s="8" t="str">
        <f>INDEX(Кат!$H:$H,MATCH($A468,Кат!$A:$A,0))</f>
        <v>Китай БЕСТ ПАРТНЕР</v>
      </c>
    </row>
    <row r="469" spans="1:15" ht="60" x14ac:dyDescent="0.25">
      <c r="A469" s="62">
        <v>213706</v>
      </c>
      <c r="B469" s="62">
        <v>18699</v>
      </c>
      <c r="C469" s="63" t="s">
        <v>336</v>
      </c>
      <c r="D469" s="63" t="s">
        <v>1155</v>
      </c>
      <c r="E469" s="63" t="s">
        <v>605</v>
      </c>
      <c r="F469" s="63"/>
      <c r="G469" s="63" t="s">
        <v>3</v>
      </c>
      <c r="H469" s="64">
        <v>3000</v>
      </c>
      <c r="I469" s="64">
        <v>4090</v>
      </c>
      <c r="J469" s="63" t="s">
        <v>768</v>
      </c>
      <c r="K469" s="63" t="s">
        <v>4</v>
      </c>
      <c r="L469" s="63"/>
      <c r="M469" s="63"/>
      <c r="N469" s="8" t="str">
        <f t="shared" si="7"/>
        <v>1</v>
      </c>
      <c r="O469" s="8" t="str">
        <f>INDEX(Кат!$H:$H,MATCH($A469,Кат!$A:$A,0))</f>
        <v>Китай БЕСТ ПАРТНЕР</v>
      </c>
    </row>
    <row r="470" spans="1:15" ht="60" x14ac:dyDescent="0.25">
      <c r="A470" s="62">
        <v>213707</v>
      </c>
      <c r="B470" s="62">
        <v>18696</v>
      </c>
      <c r="C470" s="63" t="s">
        <v>338</v>
      </c>
      <c r="D470" s="63" t="s">
        <v>1155</v>
      </c>
      <c r="E470" s="63" t="s">
        <v>602</v>
      </c>
      <c r="F470" s="63"/>
      <c r="G470" s="63" t="s">
        <v>3</v>
      </c>
      <c r="H470" s="64">
        <v>2800</v>
      </c>
      <c r="I470" s="64">
        <v>5090</v>
      </c>
      <c r="J470" s="63" t="s">
        <v>767</v>
      </c>
      <c r="K470" s="63" t="s">
        <v>1156</v>
      </c>
      <c r="L470" s="63"/>
      <c r="M470" s="63" t="s">
        <v>1155</v>
      </c>
      <c r="N470" s="8" t="str">
        <f t="shared" si="7"/>
        <v>0</v>
      </c>
      <c r="O470" s="8" t="str">
        <f>INDEX(Кат!$H:$H,MATCH($A470,Кат!$A:$A,0))</f>
        <v>Китай БЕСТ ПАРТНЕР</v>
      </c>
    </row>
    <row r="471" spans="1:15" ht="75" x14ac:dyDescent="0.25">
      <c r="A471" s="62">
        <v>213708</v>
      </c>
      <c r="B471" s="62">
        <v>19191</v>
      </c>
      <c r="C471" s="63" t="s">
        <v>316</v>
      </c>
      <c r="D471" s="63" t="s">
        <v>1155</v>
      </c>
      <c r="E471" s="63" t="s">
        <v>620</v>
      </c>
      <c r="F471" s="63"/>
      <c r="G471" s="63" t="s">
        <v>3</v>
      </c>
      <c r="H471" s="64">
        <v>5000</v>
      </c>
      <c r="I471" s="64">
        <v>8490</v>
      </c>
      <c r="J471" s="63" t="s">
        <v>771</v>
      </c>
      <c r="K471" s="63" t="s">
        <v>4</v>
      </c>
      <c r="L471" s="63"/>
      <c r="M471" s="63"/>
      <c r="N471" s="8" t="str">
        <f t="shared" si="7"/>
        <v>1</v>
      </c>
      <c r="O471" s="8" t="str">
        <f>INDEX(Кат!$H:$H,MATCH($A471,Кат!$A:$A,0))</f>
        <v>Китай БЕСТ ПАРТНЕР</v>
      </c>
    </row>
    <row r="472" spans="1:15" ht="60" x14ac:dyDescent="0.25">
      <c r="A472" s="62">
        <v>213709</v>
      </c>
      <c r="B472" s="62">
        <v>18698</v>
      </c>
      <c r="C472" s="63" t="s">
        <v>330</v>
      </c>
      <c r="D472" s="63" t="s">
        <v>1155</v>
      </c>
      <c r="E472" s="63" t="s">
        <v>604</v>
      </c>
      <c r="F472" s="63"/>
      <c r="G472" s="63" t="s">
        <v>3</v>
      </c>
      <c r="H472" s="64">
        <v>3700</v>
      </c>
      <c r="I472" s="64">
        <v>5090</v>
      </c>
      <c r="J472" s="63" t="s">
        <v>782</v>
      </c>
      <c r="K472" s="63" t="s">
        <v>4</v>
      </c>
      <c r="L472" s="63"/>
      <c r="M472" s="63"/>
      <c r="N472" s="8" t="str">
        <f t="shared" si="7"/>
        <v>1</v>
      </c>
      <c r="O472" s="8" t="str">
        <f>INDEX(Кат!$H:$H,MATCH($A472,Кат!$A:$A,0))</f>
        <v>Китай БЕСТ ПАРТНЕР</v>
      </c>
    </row>
    <row r="473" spans="1:15" ht="60" x14ac:dyDescent="0.25">
      <c r="A473" s="62">
        <v>213710</v>
      </c>
      <c r="B473" s="62">
        <v>18705</v>
      </c>
      <c r="C473" s="63" t="s">
        <v>330</v>
      </c>
      <c r="D473" s="63" t="s">
        <v>1155</v>
      </c>
      <c r="E473" s="63" t="s">
        <v>611</v>
      </c>
      <c r="F473" s="63"/>
      <c r="G473" s="63" t="s">
        <v>3</v>
      </c>
      <c r="H473" s="64">
        <v>3700</v>
      </c>
      <c r="I473" s="64">
        <v>4690</v>
      </c>
      <c r="J473" s="63" t="s">
        <v>741</v>
      </c>
      <c r="K473" s="63" t="s">
        <v>1156</v>
      </c>
      <c r="L473" s="63"/>
      <c r="M473" s="63" t="s">
        <v>1155</v>
      </c>
      <c r="N473" s="8" t="str">
        <f t="shared" si="7"/>
        <v>0</v>
      </c>
      <c r="O473" s="8" t="str">
        <f>INDEX(Кат!$H:$H,MATCH($A473,Кат!$A:$A,0))</f>
        <v>Китай БЕСТ ПАРТНЕР</v>
      </c>
    </row>
    <row r="474" spans="1:15" ht="60" x14ac:dyDescent="0.25">
      <c r="A474" s="62">
        <v>213711</v>
      </c>
      <c r="B474" s="62">
        <v>18706</v>
      </c>
      <c r="C474" s="63" t="s">
        <v>329</v>
      </c>
      <c r="D474" s="63" t="s">
        <v>1155</v>
      </c>
      <c r="E474" s="63" t="s">
        <v>612</v>
      </c>
      <c r="F474" s="63"/>
      <c r="G474" s="63" t="s">
        <v>3</v>
      </c>
      <c r="H474" s="64">
        <v>3700</v>
      </c>
      <c r="I474" s="64">
        <v>4790</v>
      </c>
      <c r="J474" s="63"/>
      <c r="K474" s="63" t="s">
        <v>4</v>
      </c>
      <c r="L474" s="63"/>
      <c r="M474" s="63"/>
      <c r="N474" s="8" t="str">
        <f t="shared" si="7"/>
        <v>1</v>
      </c>
      <c r="O474" s="8" t="str">
        <f>INDEX(Кат!$H:$H,MATCH($A474,Кат!$A:$A,0))</f>
        <v>Китай БЕСТ ПАРТНЕР</v>
      </c>
    </row>
    <row r="475" spans="1:15" ht="60" x14ac:dyDescent="0.25">
      <c r="A475" s="62">
        <v>213712</v>
      </c>
      <c r="B475" s="62">
        <v>18697</v>
      </c>
      <c r="C475" s="63" t="s">
        <v>337</v>
      </c>
      <c r="D475" s="63" t="s">
        <v>1155</v>
      </c>
      <c r="E475" s="63" t="s">
        <v>603</v>
      </c>
      <c r="F475" s="63"/>
      <c r="G475" s="63" t="s">
        <v>3</v>
      </c>
      <c r="H475" s="64">
        <v>3100</v>
      </c>
      <c r="I475" s="64">
        <v>5090</v>
      </c>
      <c r="J475" s="63" t="s">
        <v>765</v>
      </c>
      <c r="K475" s="63" t="s">
        <v>4</v>
      </c>
      <c r="L475" s="63"/>
      <c r="M475" s="63"/>
      <c r="N475" s="8" t="str">
        <f t="shared" si="7"/>
        <v>1</v>
      </c>
      <c r="O475" s="8" t="str">
        <f>INDEX(Кат!$H:$H,MATCH($A475,Кат!$A:$A,0))</f>
        <v>Китай БЕСТ ПАРТНЕР</v>
      </c>
    </row>
    <row r="476" spans="1:15" ht="60" x14ac:dyDescent="0.25">
      <c r="A476" s="62">
        <v>213713</v>
      </c>
      <c r="B476" s="62">
        <v>18701</v>
      </c>
      <c r="C476" s="63" t="s">
        <v>334</v>
      </c>
      <c r="D476" s="63" t="s">
        <v>1155</v>
      </c>
      <c r="E476" s="63" t="s">
        <v>607</v>
      </c>
      <c r="F476" s="63"/>
      <c r="G476" s="63" t="s">
        <v>3</v>
      </c>
      <c r="H476" s="64">
        <v>3700</v>
      </c>
      <c r="I476" s="64">
        <v>5090</v>
      </c>
      <c r="J476" s="63" t="s">
        <v>775</v>
      </c>
      <c r="K476" s="63" t="s">
        <v>4</v>
      </c>
      <c r="L476" s="63"/>
      <c r="M476" s="63"/>
      <c r="N476" s="8" t="str">
        <f t="shared" si="7"/>
        <v>1</v>
      </c>
      <c r="O476" s="8" t="str">
        <f>INDEX(Кат!$H:$H,MATCH($A476,Кат!$A:$A,0))</f>
        <v>Китай БЕСТ ПАРТНЕР</v>
      </c>
    </row>
    <row r="477" spans="1:15" ht="60" x14ac:dyDescent="0.25">
      <c r="A477" s="62">
        <v>213714</v>
      </c>
      <c r="B477" s="62">
        <v>18702</v>
      </c>
      <c r="C477" s="63" t="s">
        <v>333</v>
      </c>
      <c r="D477" s="63" t="s">
        <v>1155</v>
      </c>
      <c r="E477" s="63" t="s">
        <v>608</v>
      </c>
      <c r="F477" s="63"/>
      <c r="G477" s="63" t="s">
        <v>3</v>
      </c>
      <c r="H477" s="64">
        <v>3700</v>
      </c>
      <c r="I477" s="64">
        <v>5090</v>
      </c>
      <c r="J477" s="63" t="s">
        <v>764</v>
      </c>
      <c r="K477" s="63" t="s">
        <v>4</v>
      </c>
      <c r="L477" s="63"/>
      <c r="M477" s="63"/>
      <c r="N477" s="8" t="str">
        <f t="shared" si="7"/>
        <v>1</v>
      </c>
      <c r="O477" s="8" t="str">
        <f>INDEX(Кат!$H:$H,MATCH($A477,Кат!$A:$A,0))</f>
        <v>Китай БЕСТ ПАРТНЕР</v>
      </c>
    </row>
    <row r="478" spans="1:15" ht="60" x14ac:dyDescent="0.25">
      <c r="A478" s="62">
        <v>213715</v>
      </c>
      <c r="B478" s="62">
        <v>18704</v>
      </c>
      <c r="C478" s="63" t="s">
        <v>331</v>
      </c>
      <c r="D478" s="63" t="s">
        <v>1155</v>
      </c>
      <c r="E478" s="63" t="s">
        <v>610</v>
      </c>
      <c r="F478" s="63"/>
      <c r="G478" s="63" t="s">
        <v>3</v>
      </c>
      <c r="H478" s="64">
        <v>3700</v>
      </c>
      <c r="I478" s="64">
        <v>5090</v>
      </c>
      <c r="J478" s="63" t="s">
        <v>766</v>
      </c>
      <c r="K478" s="63" t="s">
        <v>4</v>
      </c>
      <c r="L478" s="63"/>
      <c r="M478" s="63"/>
      <c r="N478" s="8" t="str">
        <f t="shared" si="7"/>
        <v>1</v>
      </c>
      <c r="O478" s="8" t="str">
        <f>INDEX(Кат!$H:$H,MATCH($A478,Кат!$A:$A,0))</f>
        <v>Китай БЕСТ ПАРТНЕР</v>
      </c>
    </row>
    <row r="479" spans="1:15" ht="45" x14ac:dyDescent="0.25">
      <c r="A479" s="62">
        <v>213716</v>
      </c>
      <c r="B479" s="62">
        <v>13909</v>
      </c>
      <c r="C479" s="63" t="s">
        <v>151</v>
      </c>
      <c r="D479" s="63" t="s">
        <v>1155</v>
      </c>
      <c r="E479" s="63"/>
      <c r="F479" s="63"/>
      <c r="G479" s="63" t="s">
        <v>3</v>
      </c>
      <c r="H479" s="64">
        <v>15000</v>
      </c>
      <c r="I479" s="64">
        <v>22590</v>
      </c>
      <c r="J479" s="63" t="s">
        <v>893</v>
      </c>
      <c r="K479" s="63" t="s">
        <v>4</v>
      </c>
      <c r="L479" s="63"/>
      <c r="M479" s="63"/>
      <c r="N479" s="8" t="str">
        <f t="shared" si="7"/>
        <v>1</v>
      </c>
      <c r="O479" s="8" t="str">
        <f>INDEX(Кат!$H:$H,MATCH($A479,Кат!$A:$A,0))</f>
        <v>Китай БЕСТ ПАРТНЕР</v>
      </c>
    </row>
    <row r="480" spans="1:15" ht="30" x14ac:dyDescent="0.25">
      <c r="A480" s="62">
        <v>213718</v>
      </c>
      <c r="B480" s="62">
        <v>5103</v>
      </c>
      <c r="C480" s="63" t="s">
        <v>415</v>
      </c>
      <c r="D480" s="63" t="s">
        <v>1155</v>
      </c>
      <c r="E480" s="63"/>
      <c r="F480" s="63"/>
      <c r="G480" s="63" t="s">
        <v>3</v>
      </c>
      <c r="H480" s="64">
        <v>2000</v>
      </c>
      <c r="I480" s="64">
        <v>2590</v>
      </c>
      <c r="J480" s="63"/>
      <c r="K480" s="63" t="s">
        <v>1156</v>
      </c>
      <c r="L480" s="63"/>
      <c r="M480" s="63"/>
      <c r="N480" s="8" t="str">
        <f t="shared" si="7"/>
        <v>0</v>
      </c>
      <c r="O480" s="8" t="str">
        <f>INDEX(Кат!$H:$H,MATCH($A480,Кат!$A:$A,0))</f>
        <v>Китай БЕСТ ПАРТНЕР</v>
      </c>
    </row>
    <row r="481" spans="1:15" ht="30" x14ac:dyDescent="0.25">
      <c r="A481" s="62">
        <v>213719</v>
      </c>
      <c r="B481" s="62">
        <v>5094</v>
      </c>
      <c r="C481" s="63" t="s">
        <v>420</v>
      </c>
      <c r="D481" s="63" t="s">
        <v>1155</v>
      </c>
      <c r="E481" s="63"/>
      <c r="F481" s="63"/>
      <c r="G481" s="63" t="s">
        <v>3</v>
      </c>
      <c r="H481" s="64">
        <v>3500</v>
      </c>
      <c r="I481" s="64">
        <v>4490</v>
      </c>
      <c r="J481" s="63"/>
      <c r="K481" s="63" t="s">
        <v>1156</v>
      </c>
      <c r="L481" s="63"/>
      <c r="M481" s="63"/>
      <c r="N481" s="8" t="str">
        <f t="shared" si="7"/>
        <v>0</v>
      </c>
      <c r="O481" s="8" t="str">
        <f>INDEX(Кат!$H:$H,MATCH($A481,Кат!$A:$A,0))</f>
        <v>Китай БЕСТ ПАРТНЕР</v>
      </c>
    </row>
    <row r="482" spans="1:15" ht="60" x14ac:dyDescent="0.25">
      <c r="A482" s="62">
        <v>213720</v>
      </c>
      <c r="B482" s="62">
        <v>14167</v>
      </c>
      <c r="C482" s="63" t="s">
        <v>346</v>
      </c>
      <c r="D482" s="63" t="s">
        <v>1155</v>
      </c>
      <c r="E482" s="63"/>
      <c r="F482" s="63"/>
      <c r="G482" s="63" t="s">
        <v>3</v>
      </c>
      <c r="H482" s="64">
        <v>5600</v>
      </c>
      <c r="I482" s="64">
        <v>7390</v>
      </c>
      <c r="J482" s="63"/>
      <c r="K482" s="63" t="s">
        <v>1156</v>
      </c>
      <c r="L482" s="63"/>
      <c r="M482" s="63"/>
      <c r="N482" s="8" t="str">
        <f t="shared" si="7"/>
        <v>0</v>
      </c>
      <c r="O482" s="8" t="str">
        <f>INDEX(Кат!$H:$H,MATCH($A482,Кат!$A:$A,0))</f>
        <v>Китай БЕСТ ПАРТНЕР</v>
      </c>
    </row>
    <row r="483" spans="1:15" ht="30" x14ac:dyDescent="0.25">
      <c r="A483" s="62">
        <v>213724</v>
      </c>
      <c r="B483" s="62">
        <v>4822</v>
      </c>
      <c r="C483" s="63" t="s">
        <v>435</v>
      </c>
      <c r="D483" s="63" t="s">
        <v>1155</v>
      </c>
      <c r="E483" s="63"/>
      <c r="F483" s="63"/>
      <c r="G483" s="63" t="s">
        <v>3</v>
      </c>
      <c r="H483" s="64">
        <v>2400</v>
      </c>
      <c r="I483" s="64">
        <v>3090</v>
      </c>
      <c r="J483" s="63"/>
      <c r="K483" s="63" t="s">
        <v>1156</v>
      </c>
      <c r="L483" s="63"/>
      <c r="M483" s="63"/>
      <c r="N483" s="8" t="str">
        <f t="shared" si="7"/>
        <v>0</v>
      </c>
      <c r="O483" s="8" t="str">
        <f>INDEX(Кат!$H:$H,MATCH($A483,Кат!$A:$A,0))</f>
        <v>Китай БЕСТ ПАРТНЕР</v>
      </c>
    </row>
    <row r="484" spans="1:15" ht="30" x14ac:dyDescent="0.25">
      <c r="A484" s="62">
        <v>213725</v>
      </c>
      <c r="B484" s="62">
        <v>158882</v>
      </c>
      <c r="C484" s="63" t="s">
        <v>832</v>
      </c>
      <c r="D484" s="63" t="s">
        <v>1155</v>
      </c>
      <c r="E484" s="63" t="s">
        <v>1506</v>
      </c>
      <c r="F484" s="63"/>
      <c r="G484" s="63" t="s">
        <v>3</v>
      </c>
      <c r="H484" s="64">
        <v>15000</v>
      </c>
      <c r="I484" s="64">
        <v>20190</v>
      </c>
      <c r="J484" s="63" t="s">
        <v>1425</v>
      </c>
      <c r="K484" s="63" t="s">
        <v>4</v>
      </c>
      <c r="L484" s="63"/>
      <c r="M484" s="63"/>
      <c r="N484" s="8" t="str">
        <f t="shared" si="7"/>
        <v>1</v>
      </c>
      <c r="O484" s="8" t="str">
        <f>INDEX(Кат!$H:$H,MATCH($A484,Кат!$A:$A,0))</f>
        <v>Китай БЕСТ ПАРТНЕР</v>
      </c>
    </row>
    <row r="485" spans="1:15" ht="45" x14ac:dyDescent="0.25">
      <c r="A485" s="62">
        <v>213726</v>
      </c>
      <c r="B485" s="62">
        <v>14096</v>
      </c>
      <c r="C485" s="63" t="s">
        <v>154</v>
      </c>
      <c r="D485" s="63" t="s">
        <v>1155</v>
      </c>
      <c r="E485" s="63"/>
      <c r="F485" s="63"/>
      <c r="G485" s="63" t="s">
        <v>3</v>
      </c>
      <c r="H485" s="64">
        <v>14500</v>
      </c>
      <c r="I485" s="64">
        <v>19090</v>
      </c>
      <c r="J485" s="63" t="s">
        <v>793</v>
      </c>
      <c r="K485" s="63" t="s">
        <v>4</v>
      </c>
      <c r="L485" s="63"/>
      <c r="M485" s="63"/>
      <c r="N485" s="8" t="str">
        <f t="shared" si="7"/>
        <v>1</v>
      </c>
      <c r="O485" s="8" t="str">
        <f>INDEX(Кат!$H:$H,MATCH($A485,Кат!$A:$A,0))</f>
        <v>Китай БЕСТ ПАРТНЕР</v>
      </c>
    </row>
    <row r="486" spans="1:15" ht="30" x14ac:dyDescent="0.25">
      <c r="A486" s="62">
        <v>213727</v>
      </c>
      <c r="B486" s="62">
        <v>158881</v>
      </c>
      <c r="C486" s="63" t="s">
        <v>831</v>
      </c>
      <c r="D486" s="63" t="s">
        <v>1155</v>
      </c>
      <c r="E486" s="63" t="s">
        <v>1507</v>
      </c>
      <c r="F486" s="63"/>
      <c r="G486" s="63" t="s">
        <v>3</v>
      </c>
      <c r="H486" s="64">
        <v>15000</v>
      </c>
      <c r="I486" s="64">
        <v>20190</v>
      </c>
      <c r="J486" s="63" t="s">
        <v>1426</v>
      </c>
      <c r="K486" s="63" t="s">
        <v>4</v>
      </c>
      <c r="L486" s="63"/>
      <c r="M486" s="63"/>
      <c r="N486" s="8" t="str">
        <f t="shared" si="7"/>
        <v>1</v>
      </c>
      <c r="O486" s="8" t="str">
        <f>INDEX(Кат!$H:$H,MATCH($A486,Кат!$A:$A,0))</f>
        <v>Китай БЕСТ ПАРТНЕР</v>
      </c>
    </row>
    <row r="487" spans="1:15" ht="45" x14ac:dyDescent="0.25">
      <c r="A487" s="62">
        <v>213728</v>
      </c>
      <c r="B487" s="62">
        <v>13910</v>
      </c>
      <c r="C487" s="63" t="s">
        <v>152</v>
      </c>
      <c r="D487" s="63" t="s">
        <v>1155</v>
      </c>
      <c r="E487" s="63"/>
      <c r="F487" s="63"/>
      <c r="G487" s="63" t="s">
        <v>3</v>
      </c>
      <c r="H487" s="64">
        <v>14500</v>
      </c>
      <c r="I487" s="64">
        <v>19290</v>
      </c>
      <c r="J487" s="63" t="s">
        <v>794</v>
      </c>
      <c r="K487" s="63" t="s">
        <v>4</v>
      </c>
      <c r="L487" s="63"/>
      <c r="M487" s="63"/>
      <c r="N487" s="8" t="str">
        <f t="shared" si="7"/>
        <v>1</v>
      </c>
      <c r="O487" s="8" t="str">
        <f>INDEX(Кат!$H:$H,MATCH($A487,Кат!$A:$A,0))</f>
        <v>Китай БЕСТ ПАРТНЕР</v>
      </c>
    </row>
    <row r="488" spans="1:15" ht="30" x14ac:dyDescent="0.25">
      <c r="A488" s="62">
        <v>217222</v>
      </c>
      <c r="B488" s="62">
        <v>10039</v>
      </c>
      <c r="C488" s="63" t="s">
        <v>135</v>
      </c>
      <c r="D488" s="63" t="s">
        <v>1157</v>
      </c>
      <c r="E488" s="63"/>
      <c r="F488" s="63"/>
      <c r="G488" s="63" t="s">
        <v>3</v>
      </c>
      <c r="H488" s="64">
        <v>100</v>
      </c>
      <c r="I488" s="64">
        <v>339</v>
      </c>
      <c r="J488" s="63" t="s">
        <v>738</v>
      </c>
      <c r="K488" s="63" t="s">
        <v>4</v>
      </c>
      <c r="L488" s="63"/>
      <c r="M488" s="63"/>
      <c r="N488" s="8" t="str">
        <f t="shared" si="7"/>
        <v>1</v>
      </c>
      <c r="O488" s="8" t="str">
        <f>INDEX(Кат!$H:$H,MATCH($A488,Кат!$A:$A,0))</f>
        <v>Китай БЕСТ ПАРТНЕР</v>
      </c>
    </row>
    <row r="489" spans="1:15" ht="30" x14ac:dyDescent="0.25">
      <c r="A489" s="62">
        <v>217223</v>
      </c>
      <c r="B489" s="62">
        <v>10040</v>
      </c>
      <c r="C489" s="63" t="s">
        <v>136</v>
      </c>
      <c r="D489" s="63" t="s">
        <v>1157</v>
      </c>
      <c r="E489" s="63"/>
      <c r="F489" s="63"/>
      <c r="G489" s="63" t="s">
        <v>3</v>
      </c>
      <c r="H489" s="64">
        <v>200</v>
      </c>
      <c r="I489" s="64">
        <v>339</v>
      </c>
      <c r="J489" s="63" t="s">
        <v>1457</v>
      </c>
      <c r="K489" s="63" t="s">
        <v>4</v>
      </c>
      <c r="L489" s="63"/>
      <c r="M489" s="63"/>
      <c r="N489" s="8" t="str">
        <f t="shared" si="7"/>
        <v>1</v>
      </c>
      <c r="O489" s="8" t="str">
        <f>INDEX(Кат!$H:$H,MATCH($A489,Кат!$A:$A,0))</f>
        <v>Китай БЕСТ ПАРТНЕР</v>
      </c>
    </row>
    <row r="490" spans="1:15" ht="30" x14ac:dyDescent="0.25">
      <c r="A490" s="62">
        <v>217225</v>
      </c>
      <c r="B490" s="62">
        <v>10041</v>
      </c>
      <c r="C490" s="63" t="s">
        <v>137</v>
      </c>
      <c r="D490" s="63" t="s">
        <v>1157</v>
      </c>
      <c r="E490" s="63"/>
      <c r="F490" s="63"/>
      <c r="G490" s="63" t="s">
        <v>3</v>
      </c>
      <c r="H490" s="64">
        <v>100</v>
      </c>
      <c r="I490" s="64">
        <v>319</v>
      </c>
      <c r="J490" s="63"/>
      <c r="K490" s="63" t="s">
        <v>4</v>
      </c>
      <c r="L490" s="63"/>
      <c r="M490" s="63"/>
      <c r="N490" s="8" t="str">
        <f t="shared" si="7"/>
        <v>1</v>
      </c>
      <c r="O490" s="8" t="str">
        <f>INDEX(Кат!$H:$H,MATCH($A490,Кат!$A:$A,0))</f>
        <v>Китай БЕСТ ПАРТНЕР</v>
      </c>
    </row>
    <row r="491" spans="1:15" ht="30" x14ac:dyDescent="0.25">
      <c r="A491" s="62">
        <v>217226</v>
      </c>
      <c r="B491" s="62">
        <v>10043</v>
      </c>
      <c r="C491" s="63" t="s">
        <v>138</v>
      </c>
      <c r="D491" s="63" t="s">
        <v>1157</v>
      </c>
      <c r="E491" s="63"/>
      <c r="F491" s="63"/>
      <c r="G491" s="63" t="s">
        <v>3</v>
      </c>
      <c r="H491" s="64">
        <v>100</v>
      </c>
      <c r="I491" s="64">
        <v>339</v>
      </c>
      <c r="J491" s="63" t="s">
        <v>906</v>
      </c>
      <c r="K491" s="63" t="s">
        <v>4</v>
      </c>
      <c r="L491" s="63"/>
      <c r="M491" s="63"/>
      <c r="N491" s="8" t="str">
        <f t="shared" si="7"/>
        <v>1</v>
      </c>
      <c r="O491" s="8" t="str">
        <f>INDEX(Кат!$H:$H,MATCH($A491,Кат!$A:$A,0))</f>
        <v>Китай БЕСТ ПАРТНЕР</v>
      </c>
    </row>
    <row r="492" spans="1:15" ht="30" x14ac:dyDescent="0.25">
      <c r="A492" s="62">
        <v>217247</v>
      </c>
      <c r="B492" s="62">
        <v>13146</v>
      </c>
      <c r="C492" s="63" t="s">
        <v>1232</v>
      </c>
      <c r="D492" s="63" t="s">
        <v>1155</v>
      </c>
      <c r="E492" s="63" t="s">
        <v>821</v>
      </c>
      <c r="F492" s="63"/>
      <c r="G492" s="63" t="s">
        <v>3</v>
      </c>
      <c r="H492" s="64">
        <v>1400</v>
      </c>
      <c r="I492" s="64">
        <v>1890</v>
      </c>
      <c r="J492" s="63"/>
      <c r="K492" s="63" t="s">
        <v>4</v>
      </c>
      <c r="L492" s="63"/>
      <c r="M492" s="63"/>
      <c r="N492" s="8" t="str">
        <f t="shared" si="7"/>
        <v>1</v>
      </c>
      <c r="O492" s="8" t="str">
        <f>INDEX(Кат!$H:$H,MATCH($A492,Кат!$A:$A,0))</f>
        <v>Китай БЕСТ ПАРТНЕР</v>
      </c>
    </row>
    <row r="493" spans="1:15" ht="30" x14ac:dyDescent="0.25">
      <c r="A493" s="62">
        <v>217246</v>
      </c>
      <c r="B493" s="62">
        <v>13161</v>
      </c>
      <c r="C493" s="63" t="s">
        <v>1233</v>
      </c>
      <c r="D493" s="63" t="s">
        <v>1155</v>
      </c>
      <c r="E493" s="63" t="s">
        <v>1234</v>
      </c>
      <c r="F493" s="63"/>
      <c r="G493" s="63" t="s">
        <v>3</v>
      </c>
      <c r="H493" s="64">
        <v>700</v>
      </c>
      <c r="I493" s="64">
        <v>1090</v>
      </c>
      <c r="J493" s="63"/>
      <c r="K493" s="63" t="s">
        <v>4</v>
      </c>
      <c r="L493" s="63"/>
      <c r="M493" s="63"/>
      <c r="N493" s="8" t="str">
        <f t="shared" si="7"/>
        <v>1</v>
      </c>
      <c r="O493" s="8" t="str">
        <f>INDEX(Кат!$H:$H,MATCH($A493,Кат!$A:$A,0))</f>
        <v>Китай БЕСТ ПАРТНЕР</v>
      </c>
    </row>
    <row r="494" spans="1:15" ht="45" x14ac:dyDescent="0.25">
      <c r="A494" s="62">
        <v>217449</v>
      </c>
      <c r="B494" s="62">
        <v>11439</v>
      </c>
      <c r="C494" s="63" t="s">
        <v>1517</v>
      </c>
      <c r="D494" s="63" t="s">
        <v>1155</v>
      </c>
      <c r="E494" s="63"/>
      <c r="F494" s="63"/>
      <c r="G494" s="63" t="s">
        <v>3</v>
      </c>
      <c r="H494" s="64">
        <v>700</v>
      </c>
      <c r="I494" s="64">
        <v>1190</v>
      </c>
      <c r="J494" s="63" t="s">
        <v>1518</v>
      </c>
      <c r="K494" s="63" t="s">
        <v>4</v>
      </c>
      <c r="L494" s="63"/>
      <c r="M494" s="63"/>
      <c r="N494" s="8" t="str">
        <f t="shared" si="7"/>
        <v>1</v>
      </c>
      <c r="O494" s="8" t="str">
        <f>INDEX(Кат!$H:$H,MATCH($A494,Кат!$A:$A,0))</f>
        <v>Китай БЕСТ ПАРТНЕР</v>
      </c>
    </row>
    <row r="495" spans="1:15" ht="30" x14ac:dyDescent="0.25">
      <c r="A495" s="62">
        <v>218502</v>
      </c>
      <c r="B495" s="62">
        <v>17752</v>
      </c>
      <c r="C495" s="63" t="s">
        <v>159</v>
      </c>
      <c r="D495" s="63" t="s">
        <v>1155</v>
      </c>
      <c r="E495" s="63"/>
      <c r="F495" s="63"/>
      <c r="G495" s="63" t="s">
        <v>3</v>
      </c>
      <c r="H495" s="64">
        <v>0</v>
      </c>
      <c r="I495" s="64">
        <v>319</v>
      </c>
      <c r="J495" s="63"/>
      <c r="K495" s="63" t="s">
        <v>4</v>
      </c>
      <c r="L495" s="63" t="s">
        <v>456</v>
      </c>
      <c r="M495" s="63"/>
      <c r="N495" s="8" t="str">
        <f t="shared" si="7"/>
        <v>1ск6</v>
      </c>
      <c r="O495" s="8" t="str">
        <f>INDEX(Кат!$H:$H,MATCH($A495,Кат!$A:$A,0))</f>
        <v>Китай БЕСТ ПАРТНЕР</v>
      </c>
    </row>
    <row r="496" spans="1:15" ht="45" x14ac:dyDescent="0.25">
      <c r="A496" s="62">
        <v>256651</v>
      </c>
      <c r="B496" s="62">
        <v>196118</v>
      </c>
      <c r="C496" s="63" t="s">
        <v>1235</v>
      </c>
      <c r="D496" s="63" t="s">
        <v>1155</v>
      </c>
      <c r="E496" s="63" t="s">
        <v>1381</v>
      </c>
      <c r="F496" s="63"/>
      <c r="G496" s="63" t="s">
        <v>3</v>
      </c>
      <c r="H496" s="64">
        <v>3300</v>
      </c>
      <c r="I496" s="64">
        <v>4490</v>
      </c>
      <c r="J496" s="63" t="s">
        <v>1357</v>
      </c>
      <c r="K496" s="63" t="s">
        <v>4</v>
      </c>
      <c r="L496" s="63"/>
      <c r="M496" s="63"/>
      <c r="N496" s="8" t="str">
        <f t="shared" si="7"/>
        <v>1</v>
      </c>
      <c r="O496" s="8" t="str">
        <f>INDEX(Кат!$H:$H,MATCH($A496,Кат!$A:$A,0))</f>
        <v>Китай БЕСТ ПАРТНЕР</v>
      </c>
    </row>
    <row r="497" spans="1:15" ht="45" x14ac:dyDescent="0.25">
      <c r="A497" s="62">
        <v>220053</v>
      </c>
      <c r="B497" s="62">
        <v>4679</v>
      </c>
      <c r="C497" s="63" t="s">
        <v>481</v>
      </c>
      <c r="D497" s="63" t="s">
        <v>1155</v>
      </c>
      <c r="E497" s="63" t="s">
        <v>1236</v>
      </c>
      <c r="F497" s="63" t="s">
        <v>1236</v>
      </c>
      <c r="G497" s="63" t="s">
        <v>3</v>
      </c>
      <c r="H497" s="64">
        <v>2900</v>
      </c>
      <c r="I497" s="64">
        <v>4190</v>
      </c>
      <c r="J497" s="63" t="s">
        <v>875</v>
      </c>
      <c r="K497" s="63" t="s">
        <v>4</v>
      </c>
      <c r="L497" s="63"/>
      <c r="M497" s="63"/>
      <c r="N497" s="8" t="str">
        <f t="shared" si="7"/>
        <v>1</v>
      </c>
      <c r="O497" s="8" t="str">
        <f>INDEX(Кат!$H:$H,MATCH($A497,Кат!$A:$A,0))</f>
        <v>Китай БЕСТ ПАРТНЕР</v>
      </c>
    </row>
    <row r="498" spans="1:15" ht="45" x14ac:dyDescent="0.25">
      <c r="A498" s="62">
        <v>220054</v>
      </c>
      <c r="B498" s="62">
        <v>4684</v>
      </c>
      <c r="C498" s="63" t="s">
        <v>482</v>
      </c>
      <c r="D498" s="63" t="s">
        <v>1155</v>
      </c>
      <c r="E498" s="63"/>
      <c r="F498" s="63"/>
      <c r="G498" s="63" t="s">
        <v>3</v>
      </c>
      <c r="H498" s="64">
        <v>3100</v>
      </c>
      <c r="I498" s="64">
        <v>4190</v>
      </c>
      <c r="J498" s="63" t="s">
        <v>880</v>
      </c>
      <c r="K498" s="63" t="s">
        <v>1156</v>
      </c>
      <c r="L498" s="63"/>
      <c r="M498" s="63" t="s">
        <v>1155</v>
      </c>
      <c r="N498" s="8" t="str">
        <f t="shared" si="7"/>
        <v>0</v>
      </c>
      <c r="O498" s="8" t="str">
        <f>INDEX(Кат!$H:$H,MATCH($A498,Кат!$A:$A,0))</f>
        <v>Китай БЕСТ ПАРТНЕР</v>
      </c>
    </row>
    <row r="499" spans="1:15" ht="45" x14ac:dyDescent="0.25">
      <c r="A499" s="62">
        <v>220055</v>
      </c>
      <c r="B499" s="62">
        <v>4682</v>
      </c>
      <c r="C499" s="63" t="s">
        <v>1382</v>
      </c>
      <c r="D499" s="63" t="s">
        <v>1155</v>
      </c>
      <c r="E499" s="63" t="s">
        <v>1519</v>
      </c>
      <c r="F499" s="63"/>
      <c r="G499" s="63" t="s">
        <v>3</v>
      </c>
      <c r="H499" s="64">
        <v>3100</v>
      </c>
      <c r="I499" s="64">
        <v>3990</v>
      </c>
      <c r="J499" s="63" t="s">
        <v>876</v>
      </c>
      <c r="K499" s="63" t="s">
        <v>4</v>
      </c>
      <c r="L499" s="63"/>
      <c r="M499" s="63"/>
      <c r="N499" s="8" t="str">
        <f t="shared" si="7"/>
        <v>1</v>
      </c>
      <c r="O499" s="8" t="str">
        <f>INDEX(Кат!$H:$H,MATCH($A499,Кат!$A:$A,0))</f>
        <v>Китай БЕСТ ПАРТНЕР</v>
      </c>
    </row>
    <row r="500" spans="1:15" ht="30" x14ac:dyDescent="0.25">
      <c r="A500" s="62">
        <v>222851</v>
      </c>
      <c r="B500" s="62">
        <v>4661</v>
      </c>
      <c r="C500" s="63" t="s">
        <v>480</v>
      </c>
      <c r="D500" s="63" t="s">
        <v>1155</v>
      </c>
      <c r="E500" s="63"/>
      <c r="F500" s="63"/>
      <c r="G500" s="63" t="s">
        <v>3</v>
      </c>
      <c r="H500" s="64">
        <v>0</v>
      </c>
      <c r="I500" s="64">
        <v>7490</v>
      </c>
      <c r="J500" s="63"/>
      <c r="K500" s="63" t="s">
        <v>1156</v>
      </c>
      <c r="L500" s="63"/>
      <c r="M500" s="63"/>
      <c r="N500" s="8" t="str">
        <f t="shared" si="7"/>
        <v>0</v>
      </c>
      <c r="O500" s="8" t="str">
        <f>INDEX(Кат!$H:$H,MATCH($A500,Кат!$A:$A,0))</f>
        <v>Китай БЕСТ ПАРТНЕР</v>
      </c>
    </row>
    <row r="501" spans="1:15" ht="45" x14ac:dyDescent="0.25">
      <c r="A501" s="62">
        <v>222868</v>
      </c>
      <c r="B501" s="62">
        <v>60449</v>
      </c>
      <c r="C501" s="63" t="s">
        <v>679</v>
      </c>
      <c r="D501" s="63" t="s">
        <v>1155</v>
      </c>
      <c r="E501" s="63"/>
      <c r="F501" s="63"/>
      <c r="G501" s="63" t="s">
        <v>3</v>
      </c>
      <c r="H501" s="64">
        <v>25000</v>
      </c>
      <c r="I501" s="64">
        <v>33190</v>
      </c>
      <c r="J501" s="63" t="s">
        <v>755</v>
      </c>
      <c r="K501" s="63" t="s">
        <v>4</v>
      </c>
      <c r="L501" s="63"/>
      <c r="M501" s="63"/>
      <c r="N501" s="8" t="str">
        <f t="shared" si="7"/>
        <v>1</v>
      </c>
      <c r="O501" s="8" t="str">
        <f>INDEX(Кат!$H:$H,MATCH($A501,Кат!$A:$A,0))</f>
        <v>Китай БЕСТ ПАРТНЕР</v>
      </c>
    </row>
    <row r="502" spans="1:15" ht="45" x14ac:dyDescent="0.25">
      <c r="A502" s="62">
        <v>222869</v>
      </c>
      <c r="B502" s="62">
        <v>38134</v>
      </c>
      <c r="C502" s="63" t="s">
        <v>296</v>
      </c>
      <c r="D502" s="63" t="s">
        <v>1155</v>
      </c>
      <c r="E502" s="63"/>
      <c r="F502" s="63"/>
      <c r="G502" s="63" t="s">
        <v>3</v>
      </c>
      <c r="H502" s="64">
        <v>19000</v>
      </c>
      <c r="I502" s="64">
        <v>26490</v>
      </c>
      <c r="J502" s="63" t="s">
        <v>792</v>
      </c>
      <c r="K502" s="63" t="s">
        <v>4</v>
      </c>
      <c r="L502" s="63"/>
      <c r="M502" s="63"/>
      <c r="N502" s="8" t="str">
        <f t="shared" si="7"/>
        <v>1</v>
      </c>
      <c r="O502" s="8" t="str">
        <f>INDEX(Кат!$H:$H,MATCH($A502,Кат!$A:$A,0))</f>
        <v>Китай БЕСТ ПАРТНЕР</v>
      </c>
    </row>
    <row r="503" spans="1:15" ht="45" x14ac:dyDescent="0.25">
      <c r="A503" s="62">
        <v>264881</v>
      </c>
      <c r="B503" s="62">
        <v>203061</v>
      </c>
      <c r="C503" s="63" t="s">
        <v>1135</v>
      </c>
      <c r="D503" s="63" t="s">
        <v>1155</v>
      </c>
      <c r="E503" s="63" t="s">
        <v>1383</v>
      </c>
      <c r="F503" s="63"/>
      <c r="G503" s="63" t="s">
        <v>3</v>
      </c>
      <c r="H503" s="64">
        <v>19500</v>
      </c>
      <c r="I503" s="64">
        <v>26090</v>
      </c>
      <c r="J503" s="63" t="s">
        <v>1356</v>
      </c>
      <c r="K503" s="63" t="s">
        <v>4</v>
      </c>
      <c r="L503" s="63"/>
      <c r="M503" s="63"/>
      <c r="N503" s="8" t="str">
        <f t="shared" si="7"/>
        <v>1</v>
      </c>
      <c r="O503" s="8" t="str">
        <f>INDEX(Кат!$H:$H,MATCH($A503,Кат!$A:$A,0))</f>
        <v>Китай БЕСТ ПАРТНЕР</v>
      </c>
    </row>
    <row r="504" spans="1:15" ht="45" x14ac:dyDescent="0.25">
      <c r="A504" s="62">
        <v>264882</v>
      </c>
      <c r="B504" s="62">
        <v>203069</v>
      </c>
      <c r="C504" s="63" t="s">
        <v>1136</v>
      </c>
      <c r="D504" s="63" t="s">
        <v>1155</v>
      </c>
      <c r="E504" s="63"/>
      <c r="F504" s="63"/>
      <c r="G504" s="63" t="s">
        <v>3</v>
      </c>
      <c r="H504" s="64">
        <v>25000</v>
      </c>
      <c r="I504" s="64">
        <v>32890</v>
      </c>
      <c r="J504" s="63" t="s">
        <v>1355</v>
      </c>
      <c r="K504" s="63" t="s">
        <v>4</v>
      </c>
      <c r="L504" s="63"/>
      <c r="M504" s="63"/>
      <c r="N504" s="8" t="str">
        <f t="shared" si="7"/>
        <v>1</v>
      </c>
      <c r="O504" s="8" t="str">
        <f>INDEX(Кат!$H:$H,MATCH($A504,Кат!$A:$A,0))</f>
        <v>Китай БЕСТ ПАРТНЕР</v>
      </c>
    </row>
    <row r="505" spans="1:15" ht="30" x14ac:dyDescent="0.25">
      <c r="A505" s="62">
        <v>222870</v>
      </c>
      <c r="B505" s="62">
        <v>4648</v>
      </c>
      <c r="C505" s="63" t="s">
        <v>478</v>
      </c>
      <c r="D505" s="63" t="s">
        <v>1155</v>
      </c>
      <c r="E505" s="63"/>
      <c r="F505" s="63"/>
      <c r="G505" s="63" t="s">
        <v>3</v>
      </c>
      <c r="H505" s="64">
        <v>3900</v>
      </c>
      <c r="I505" s="64">
        <v>4990</v>
      </c>
      <c r="J505" s="63"/>
      <c r="K505" s="63" t="s">
        <v>1156</v>
      </c>
      <c r="L505" s="63"/>
      <c r="M505" s="63" t="s">
        <v>1155</v>
      </c>
      <c r="N505" s="8" t="str">
        <f t="shared" si="7"/>
        <v>0</v>
      </c>
      <c r="O505" s="8" t="str">
        <f>INDEX(Кат!$H:$H,MATCH($A505,Кат!$A:$A,0))</f>
        <v>Китай БЕСТ ПАРТНЕР</v>
      </c>
    </row>
    <row r="506" spans="1:15" ht="45" x14ac:dyDescent="0.25">
      <c r="A506" s="62">
        <v>222871</v>
      </c>
      <c r="B506" s="62">
        <v>4651</v>
      </c>
      <c r="C506" s="63" t="s">
        <v>479</v>
      </c>
      <c r="D506" s="63" t="s">
        <v>1155</v>
      </c>
      <c r="E506" s="63"/>
      <c r="F506" s="63"/>
      <c r="G506" s="63" t="s">
        <v>3</v>
      </c>
      <c r="H506" s="64">
        <v>5500</v>
      </c>
      <c r="I506" s="64">
        <v>8690</v>
      </c>
      <c r="J506" s="63" t="s">
        <v>1237</v>
      </c>
      <c r="K506" s="63" t="s">
        <v>4</v>
      </c>
      <c r="L506" s="63"/>
      <c r="M506" s="63"/>
      <c r="N506" s="8" t="str">
        <f t="shared" si="7"/>
        <v>1</v>
      </c>
      <c r="O506" s="8" t="str">
        <f>INDEX(Кат!$H:$H,MATCH($A506,Кат!$A:$A,0))</f>
        <v>Китай БЕСТ ПАРТНЕР</v>
      </c>
    </row>
    <row r="507" spans="1:15" ht="30" x14ac:dyDescent="0.25">
      <c r="A507" s="62">
        <v>223061</v>
      </c>
      <c r="B507" s="62">
        <v>8285</v>
      </c>
      <c r="C507" s="63" t="s">
        <v>533</v>
      </c>
      <c r="D507" s="63" t="s">
        <v>1155</v>
      </c>
      <c r="E507" s="63" t="s">
        <v>534</v>
      </c>
      <c r="F507" s="63"/>
      <c r="G507" s="63" t="s">
        <v>3</v>
      </c>
      <c r="H507" s="64">
        <v>600</v>
      </c>
      <c r="I507" s="64">
        <v>869</v>
      </c>
      <c r="J507" s="63"/>
      <c r="K507" s="63" t="s">
        <v>4</v>
      </c>
      <c r="L507" s="63"/>
      <c r="M507" s="63"/>
      <c r="N507" s="8" t="str">
        <f t="shared" si="7"/>
        <v>1</v>
      </c>
      <c r="O507" s="8" t="str">
        <f>INDEX(Кат!$H:$H,MATCH($A507,Кат!$A:$A,0))</f>
        <v>Китай БЕСТ ПАРТНЕР</v>
      </c>
    </row>
    <row r="508" spans="1:15" ht="30" x14ac:dyDescent="0.25">
      <c r="A508" s="62">
        <v>223062</v>
      </c>
      <c r="B508" s="62">
        <v>8303</v>
      </c>
      <c r="C508" s="63" t="s">
        <v>382</v>
      </c>
      <c r="D508" s="63" t="s">
        <v>1155</v>
      </c>
      <c r="E508" s="63" t="s">
        <v>552</v>
      </c>
      <c r="F508" s="63"/>
      <c r="G508" s="63" t="s">
        <v>3</v>
      </c>
      <c r="H508" s="64">
        <v>2450</v>
      </c>
      <c r="I508" s="64">
        <v>3190</v>
      </c>
      <c r="J508" s="63"/>
      <c r="K508" s="63" t="s">
        <v>4</v>
      </c>
      <c r="L508" s="63"/>
      <c r="M508" s="63"/>
      <c r="N508" s="8" t="str">
        <f t="shared" si="7"/>
        <v>1</v>
      </c>
      <c r="O508" s="8" t="str">
        <f>INDEX(Кат!$H:$H,MATCH($A508,Кат!$A:$A,0))</f>
        <v>Китай БЕСТ ПАРТНЕР</v>
      </c>
    </row>
    <row r="509" spans="1:15" ht="30" x14ac:dyDescent="0.25">
      <c r="A509" s="62">
        <v>223063</v>
      </c>
      <c r="B509" s="62">
        <v>8299</v>
      </c>
      <c r="C509" s="63" t="s">
        <v>385</v>
      </c>
      <c r="D509" s="63" t="s">
        <v>1155</v>
      </c>
      <c r="E509" s="63" t="s">
        <v>548</v>
      </c>
      <c r="F509" s="63"/>
      <c r="G509" s="63" t="s">
        <v>3</v>
      </c>
      <c r="H509" s="64">
        <v>850</v>
      </c>
      <c r="I509" s="64">
        <v>1290</v>
      </c>
      <c r="J509" s="63"/>
      <c r="K509" s="63" t="s">
        <v>4</v>
      </c>
      <c r="L509" s="63"/>
      <c r="M509" s="63"/>
      <c r="N509" s="8" t="str">
        <f t="shared" si="7"/>
        <v>1</v>
      </c>
      <c r="O509" s="8" t="str">
        <f>INDEX(Кат!$H:$H,MATCH($A509,Кат!$A:$A,0))</f>
        <v>Китай БЕСТ ПАРТНЕР</v>
      </c>
    </row>
    <row r="510" spans="1:15" ht="30" x14ac:dyDescent="0.25">
      <c r="A510" s="62">
        <v>223064</v>
      </c>
      <c r="B510" s="62">
        <v>8300</v>
      </c>
      <c r="C510" s="63" t="s">
        <v>384</v>
      </c>
      <c r="D510" s="63" t="s">
        <v>1155</v>
      </c>
      <c r="E510" s="63" t="s">
        <v>549</v>
      </c>
      <c r="F510" s="63"/>
      <c r="G510" s="63" t="s">
        <v>3</v>
      </c>
      <c r="H510" s="64">
        <v>1600</v>
      </c>
      <c r="I510" s="64">
        <v>2090</v>
      </c>
      <c r="J510" s="63"/>
      <c r="K510" s="63" t="s">
        <v>4</v>
      </c>
      <c r="L510" s="63"/>
      <c r="M510" s="63"/>
      <c r="N510" s="8" t="str">
        <f t="shared" si="7"/>
        <v>1</v>
      </c>
      <c r="O510" s="8" t="str">
        <f>INDEX(Кат!$H:$H,MATCH($A510,Кат!$A:$A,0))</f>
        <v>Китай БЕСТ ПАРТНЕР</v>
      </c>
    </row>
    <row r="511" spans="1:15" ht="30" x14ac:dyDescent="0.25">
      <c r="A511" s="62">
        <v>223065</v>
      </c>
      <c r="B511" s="62">
        <v>8302</v>
      </c>
      <c r="C511" s="63" t="s">
        <v>383</v>
      </c>
      <c r="D511" s="63" t="s">
        <v>1155</v>
      </c>
      <c r="E511" s="63" t="s">
        <v>551</v>
      </c>
      <c r="F511" s="63"/>
      <c r="G511" s="63" t="s">
        <v>3</v>
      </c>
      <c r="H511" s="64">
        <v>1100</v>
      </c>
      <c r="I511" s="64">
        <v>1490</v>
      </c>
      <c r="J511" s="63"/>
      <c r="K511" s="63" t="s">
        <v>4</v>
      </c>
      <c r="L511" s="63"/>
      <c r="M511" s="63"/>
      <c r="N511" s="8" t="str">
        <f t="shared" si="7"/>
        <v>1</v>
      </c>
      <c r="O511" s="8" t="str">
        <f>INDEX(Кат!$H:$H,MATCH($A511,Кат!$A:$A,0))</f>
        <v>Китай БЕСТ ПАРТНЕР</v>
      </c>
    </row>
    <row r="512" spans="1:15" ht="30" x14ac:dyDescent="0.25">
      <c r="A512" s="62">
        <v>223066</v>
      </c>
      <c r="B512" s="62">
        <v>8304</v>
      </c>
      <c r="C512" s="63" t="s">
        <v>381</v>
      </c>
      <c r="D512" s="63" t="s">
        <v>1155</v>
      </c>
      <c r="E512" s="63" t="s">
        <v>553</v>
      </c>
      <c r="F512" s="63"/>
      <c r="G512" s="63" t="s">
        <v>3</v>
      </c>
      <c r="H512" s="64">
        <v>1100</v>
      </c>
      <c r="I512" s="64">
        <v>1490</v>
      </c>
      <c r="J512" s="63"/>
      <c r="K512" s="63" t="s">
        <v>4</v>
      </c>
      <c r="L512" s="63"/>
      <c r="M512" s="63"/>
      <c r="N512" s="8" t="str">
        <f t="shared" si="7"/>
        <v>1</v>
      </c>
      <c r="O512" s="8" t="str">
        <f>INDEX(Кат!$H:$H,MATCH($A512,Кат!$A:$A,0))</f>
        <v>Китай БЕСТ ПАРТНЕР</v>
      </c>
    </row>
    <row r="513" spans="1:15" ht="30" x14ac:dyDescent="0.25">
      <c r="A513" s="62">
        <v>223067</v>
      </c>
      <c r="B513" s="62">
        <v>8305</v>
      </c>
      <c r="C513" s="63" t="s">
        <v>380</v>
      </c>
      <c r="D513" s="63" t="s">
        <v>1155</v>
      </c>
      <c r="E513" s="63" t="s">
        <v>554</v>
      </c>
      <c r="F513" s="63"/>
      <c r="G513" s="63" t="s">
        <v>3</v>
      </c>
      <c r="H513" s="64">
        <v>2000</v>
      </c>
      <c r="I513" s="64">
        <v>2590</v>
      </c>
      <c r="J513" s="63"/>
      <c r="K513" s="63" t="s">
        <v>4</v>
      </c>
      <c r="L513" s="63"/>
      <c r="M513" s="63"/>
      <c r="N513" s="8" t="str">
        <f t="shared" si="7"/>
        <v>1</v>
      </c>
      <c r="O513" s="8" t="str">
        <f>INDEX(Кат!$H:$H,MATCH($A513,Кат!$A:$A,0))</f>
        <v>Китай БЕСТ ПАРТНЕР</v>
      </c>
    </row>
    <row r="514" spans="1:15" ht="30" x14ac:dyDescent="0.25">
      <c r="A514" s="62">
        <v>264884</v>
      </c>
      <c r="B514" s="62">
        <v>208921</v>
      </c>
      <c r="C514" s="63" t="s">
        <v>1238</v>
      </c>
      <c r="D514" s="63" t="s">
        <v>1155</v>
      </c>
      <c r="E514" s="63" t="s">
        <v>1239</v>
      </c>
      <c r="F514" s="63"/>
      <c r="G514" s="63" t="s">
        <v>3</v>
      </c>
      <c r="H514" s="64">
        <v>1000</v>
      </c>
      <c r="I514" s="64">
        <v>1290</v>
      </c>
      <c r="J514" s="63"/>
      <c r="K514" s="63" t="s">
        <v>1156</v>
      </c>
      <c r="L514" s="63"/>
      <c r="M514" s="63"/>
      <c r="N514" s="8" t="str">
        <f t="shared" si="7"/>
        <v>0</v>
      </c>
      <c r="O514" s="8" t="str">
        <f>INDEX(Кат!$H:$H,MATCH($A514,Кат!$A:$A,0))</f>
        <v>Китай БЕСТ ПАРТНЕР</v>
      </c>
    </row>
    <row r="515" spans="1:15" ht="30" x14ac:dyDescent="0.25">
      <c r="A515" s="62">
        <v>223071</v>
      </c>
      <c r="B515" s="62">
        <v>8275</v>
      </c>
      <c r="C515" s="63" t="s">
        <v>103</v>
      </c>
      <c r="D515" s="63" t="s">
        <v>1155</v>
      </c>
      <c r="E515" s="63" t="s">
        <v>523</v>
      </c>
      <c r="F515" s="63"/>
      <c r="G515" s="63" t="s">
        <v>3</v>
      </c>
      <c r="H515" s="64">
        <v>0</v>
      </c>
      <c r="I515" s="64">
        <v>1190</v>
      </c>
      <c r="J515" s="63"/>
      <c r="K515" s="63" t="s">
        <v>1156</v>
      </c>
      <c r="L515" s="63"/>
      <c r="M515" s="63"/>
      <c r="N515" s="8" t="str">
        <f t="shared" ref="N515:N578" si="8">_xlfn.CONCAT(K515,IF(L515&lt;&gt;"",_xlfn.CONCAT("ск",L515),""))</f>
        <v>0</v>
      </c>
      <c r="O515" s="8" t="str">
        <f>INDEX(Кат!$H:$H,MATCH($A515,Кат!$A:$A,0))</f>
        <v>Китай БЕСТ ПАРТНЕР</v>
      </c>
    </row>
    <row r="516" spans="1:15" ht="30" x14ac:dyDescent="0.25">
      <c r="A516" s="62">
        <v>223072</v>
      </c>
      <c r="B516" s="62">
        <v>8277</v>
      </c>
      <c r="C516" s="63" t="s">
        <v>105</v>
      </c>
      <c r="D516" s="63" t="s">
        <v>1155</v>
      </c>
      <c r="E516" s="63" t="s">
        <v>525</v>
      </c>
      <c r="F516" s="63"/>
      <c r="G516" s="63" t="s">
        <v>3</v>
      </c>
      <c r="H516" s="64">
        <v>950</v>
      </c>
      <c r="I516" s="64">
        <v>1390</v>
      </c>
      <c r="J516" s="63"/>
      <c r="K516" s="63" t="s">
        <v>4</v>
      </c>
      <c r="L516" s="63"/>
      <c r="M516" s="63"/>
      <c r="N516" s="8" t="str">
        <f t="shared" si="8"/>
        <v>1</v>
      </c>
      <c r="O516" s="8" t="str">
        <f>INDEX(Кат!$H:$H,MATCH($A516,Кат!$A:$A,0))</f>
        <v>Китай БЕСТ ПАРТНЕР</v>
      </c>
    </row>
    <row r="517" spans="1:15" ht="30" x14ac:dyDescent="0.25">
      <c r="A517" s="62">
        <v>223073</v>
      </c>
      <c r="B517" s="62">
        <v>8276</v>
      </c>
      <c r="C517" s="63" t="s">
        <v>104</v>
      </c>
      <c r="D517" s="63" t="s">
        <v>1155</v>
      </c>
      <c r="E517" s="63" t="s">
        <v>524</v>
      </c>
      <c r="F517" s="63"/>
      <c r="G517" s="63" t="s">
        <v>3</v>
      </c>
      <c r="H517" s="64">
        <v>900</v>
      </c>
      <c r="I517" s="64">
        <v>1390</v>
      </c>
      <c r="J517" s="63"/>
      <c r="K517" s="63" t="s">
        <v>4</v>
      </c>
      <c r="L517" s="63"/>
      <c r="M517" s="63" t="s">
        <v>1155</v>
      </c>
      <c r="N517" s="8" t="str">
        <f t="shared" si="8"/>
        <v>1</v>
      </c>
      <c r="O517" s="8" t="str">
        <f>INDEX(Кат!$H:$H,MATCH($A517,Кат!$A:$A,0))</f>
        <v>Китай БЕСТ ПАРТНЕР</v>
      </c>
    </row>
    <row r="518" spans="1:15" ht="30" x14ac:dyDescent="0.25">
      <c r="A518" s="62">
        <v>223074</v>
      </c>
      <c r="B518" s="62">
        <v>8278</v>
      </c>
      <c r="C518" s="63" t="s">
        <v>106</v>
      </c>
      <c r="D518" s="63" t="s">
        <v>1155</v>
      </c>
      <c r="E518" s="63" t="s">
        <v>526</v>
      </c>
      <c r="F518" s="63"/>
      <c r="G518" s="63" t="s">
        <v>3</v>
      </c>
      <c r="H518" s="64">
        <v>1100</v>
      </c>
      <c r="I518" s="64">
        <v>1490</v>
      </c>
      <c r="J518" s="63"/>
      <c r="K518" s="63" t="s">
        <v>4</v>
      </c>
      <c r="L518" s="63"/>
      <c r="M518" s="63"/>
      <c r="N518" s="8" t="str">
        <f t="shared" si="8"/>
        <v>1</v>
      </c>
      <c r="O518" s="8" t="str">
        <f>INDEX(Кат!$H:$H,MATCH($A518,Кат!$A:$A,0))</f>
        <v>Китай БЕСТ ПАРТНЕР</v>
      </c>
    </row>
    <row r="519" spans="1:15" ht="30" x14ac:dyDescent="0.25">
      <c r="A519" s="62">
        <v>223075</v>
      </c>
      <c r="B519" s="62">
        <v>8263</v>
      </c>
      <c r="C519" s="63" t="s">
        <v>91</v>
      </c>
      <c r="D519" s="63" t="s">
        <v>1155</v>
      </c>
      <c r="E519" s="63" t="s">
        <v>511</v>
      </c>
      <c r="F519" s="63"/>
      <c r="G519" s="63" t="s">
        <v>3</v>
      </c>
      <c r="H519" s="64">
        <v>900</v>
      </c>
      <c r="I519" s="64">
        <v>1390</v>
      </c>
      <c r="J519" s="63"/>
      <c r="K519" s="63" t="s">
        <v>1156</v>
      </c>
      <c r="L519" s="63"/>
      <c r="M519" s="63"/>
      <c r="N519" s="8" t="str">
        <f t="shared" si="8"/>
        <v>0</v>
      </c>
      <c r="O519" s="8" t="str">
        <f>INDEX(Кат!$H:$H,MATCH($A519,Кат!$A:$A,0))</f>
        <v>Китай БЕСТ ПАРТНЕР</v>
      </c>
    </row>
    <row r="520" spans="1:15" ht="30" x14ac:dyDescent="0.25">
      <c r="A520" s="62">
        <v>223076</v>
      </c>
      <c r="B520" s="62">
        <v>8264</v>
      </c>
      <c r="C520" s="63" t="s">
        <v>92</v>
      </c>
      <c r="D520" s="63" t="s">
        <v>1155</v>
      </c>
      <c r="E520" s="63" t="s">
        <v>512</v>
      </c>
      <c r="F520" s="63"/>
      <c r="G520" s="63" t="s">
        <v>3</v>
      </c>
      <c r="H520" s="64">
        <v>500</v>
      </c>
      <c r="I520" s="64">
        <v>729</v>
      </c>
      <c r="J520" s="63"/>
      <c r="K520" s="63" t="s">
        <v>1156</v>
      </c>
      <c r="L520" s="63"/>
      <c r="M520" s="63"/>
      <c r="N520" s="8" t="str">
        <f t="shared" si="8"/>
        <v>0</v>
      </c>
      <c r="O520" s="8" t="str">
        <f>INDEX(Кат!$H:$H,MATCH($A520,Кат!$A:$A,0))</f>
        <v>Китай БЕСТ ПАРТНЕР</v>
      </c>
    </row>
    <row r="521" spans="1:15" ht="30" x14ac:dyDescent="0.25">
      <c r="A521" s="62">
        <v>223077</v>
      </c>
      <c r="B521" s="62">
        <v>8265</v>
      </c>
      <c r="C521" s="63" t="s">
        <v>93</v>
      </c>
      <c r="D521" s="63" t="s">
        <v>1155</v>
      </c>
      <c r="E521" s="63" t="s">
        <v>513</v>
      </c>
      <c r="F521" s="63"/>
      <c r="G521" s="63" t="s">
        <v>3</v>
      </c>
      <c r="H521" s="64">
        <v>550</v>
      </c>
      <c r="I521" s="64">
        <v>799</v>
      </c>
      <c r="J521" s="63"/>
      <c r="K521" s="63" t="s">
        <v>4</v>
      </c>
      <c r="L521" s="63"/>
      <c r="M521" s="63"/>
      <c r="N521" s="8" t="str">
        <f t="shared" si="8"/>
        <v>1</v>
      </c>
      <c r="O521" s="8" t="str">
        <f>INDEX(Кат!$H:$H,MATCH($A521,Кат!$A:$A,0))</f>
        <v>Китай БЕСТ ПАРТНЕР</v>
      </c>
    </row>
    <row r="522" spans="1:15" ht="30" x14ac:dyDescent="0.25">
      <c r="A522" s="62">
        <v>223078</v>
      </c>
      <c r="B522" s="62">
        <v>8266</v>
      </c>
      <c r="C522" s="63" t="s">
        <v>94</v>
      </c>
      <c r="D522" s="63" t="s">
        <v>1155</v>
      </c>
      <c r="E522" s="63" t="s">
        <v>514</v>
      </c>
      <c r="F522" s="63"/>
      <c r="G522" s="63" t="s">
        <v>3</v>
      </c>
      <c r="H522" s="64">
        <v>500</v>
      </c>
      <c r="I522" s="64">
        <v>729</v>
      </c>
      <c r="J522" s="63"/>
      <c r="K522" s="63" t="s">
        <v>4</v>
      </c>
      <c r="L522" s="63"/>
      <c r="M522" s="63"/>
      <c r="N522" s="8" t="str">
        <f t="shared" si="8"/>
        <v>1</v>
      </c>
      <c r="O522" s="8" t="str">
        <f>INDEX(Кат!$H:$H,MATCH($A522,Кат!$A:$A,0))</f>
        <v>Китай БЕСТ ПАРТНЕР</v>
      </c>
    </row>
    <row r="523" spans="1:15" ht="30" x14ac:dyDescent="0.25">
      <c r="A523" s="62">
        <v>223079</v>
      </c>
      <c r="B523" s="62">
        <v>8267</v>
      </c>
      <c r="C523" s="63" t="s">
        <v>95</v>
      </c>
      <c r="D523" s="63" t="s">
        <v>1155</v>
      </c>
      <c r="E523" s="63" t="s">
        <v>515</v>
      </c>
      <c r="F523" s="63"/>
      <c r="G523" s="63" t="s">
        <v>3</v>
      </c>
      <c r="H523" s="64">
        <v>750</v>
      </c>
      <c r="I523" s="64">
        <v>1090</v>
      </c>
      <c r="J523" s="63"/>
      <c r="K523" s="63" t="s">
        <v>4</v>
      </c>
      <c r="L523" s="63"/>
      <c r="M523" s="63"/>
      <c r="N523" s="8" t="str">
        <f t="shared" si="8"/>
        <v>1</v>
      </c>
      <c r="O523" s="8" t="str">
        <f>INDEX(Кат!$H:$H,MATCH($A523,Кат!$A:$A,0))</f>
        <v>Китай БЕСТ ПАРТНЕР</v>
      </c>
    </row>
    <row r="524" spans="1:15" ht="30" x14ac:dyDescent="0.25">
      <c r="A524" s="62">
        <v>223080</v>
      </c>
      <c r="B524" s="62">
        <v>8268</v>
      </c>
      <c r="C524" s="63" t="s">
        <v>96</v>
      </c>
      <c r="D524" s="63" t="s">
        <v>1155</v>
      </c>
      <c r="E524" s="63" t="s">
        <v>516</v>
      </c>
      <c r="F524" s="63"/>
      <c r="G524" s="63" t="s">
        <v>3</v>
      </c>
      <c r="H524" s="64">
        <v>600</v>
      </c>
      <c r="I524" s="64">
        <v>869</v>
      </c>
      <c r="J524" s="63"/>
      <c r="K524" s="63" t="s">
        <v>4</v>
      </c>
      <c r="L524" s="63"/>
      <c r="M524" s="63"/>
      <c r="N524" s="8" t="str">
        <f t="shared" si="8"/>
        <v>1</v>
      </c>
      <c r="O524" s="8" t="str">
        <f>INDEX(Кат!$H:$H,MATCH($A524,Кат!$A:$A,0))</f>
        <v>Китай БЕСТ ПАРТНЕР</v>
      </c>
    </row>
    <row r="525" spans="1:15" ht="30" x14ac:dyDescent="0.25">
      <c r="A525" s="62">
        <v>223081</v>
      </c>
      <c r="B525" s="62">
        <v>8270</v>
      </c>
      <c r="C525" s="63" t="s">
        <v>98</v>
      </c>
      <c r="D525" s="63" t="s">
        <v>1155</v>
      </c>
      <c r="E525" s="63" t="s">
        <v>518</v>
      </c>
      <c r="F525" s="63"/>
      <c r="G525" s="63" t="s">
        <v>3</v>
      </c>
      <c r="H525" s="64">
        <v>0</v>
      </c>
      <c r="I525" s="64">
        <v>799</v>
      </c>
      <c r="J525" s="63"/>
      <c r="K525" s="63" t="s">
        <v>1156</v>
      </c>
      <c r="L525" s="63"/>
      <c r="M525" s="63"/>
      <c r="N525" s="8" t="str">
        <f t="shared" si="8"/>
        <v>0</v>
      </c>
      <c r="O525" s="8" t="str">
        <f>INDEX(Кат!$H:$H,MATCH($A525,Кат!$A:$A,0))</f>
        <v>Китай БЕСТ ПАРТНЕР</v>
      </c>
    </row>
    <row r="526" spans="1:15" ht="30" x14ac:dyDescent="0.25">
      <c r="A526" s="62">
        <v>223082</v>
      </c>
      <c r="B526" s="62">
        <v>8269</v>
      </c>
      <c r="C526" s="63" t="s">
        <v>97</v>
      </c>
      <c r="D526" s="63" t="s">
        <v>1155</v>
      </c>
      <c r="E526" s="63" t="s">
        <v>517</v>
      </c>
      <c r="F526" s="63"/>
      <c r="G526" s="63" t="s">
        <v>3</v>
      </c>
      <c r="H526" s="64">
        <v>0</v>
      </c>
      <c r="I526" s="64">
        <v>799</v>
      </c>
      <c r="J526" s="63"/>
      <c r="K526" s="63" t="s">
        <v>1156</v>
      </c>
      <c r="L526" s="63"/>
      <c r="M526" s="63"/>
      <c r="N526" s="8" t="str">
        <f t="shared" si="8"/>
        <v>0</v>
      </c>
      <c r="O526" s="8" t="str">
        <f>INDEX(Кат!$H:$H,MATCH($A526,Кат!$A:$A,0))</f>
        <v>Китай БЕСТ ПАРТНЕР</v>
      </c>
    </row>
    <row r="527" spans="1:15" ht="30" x14ac:dyDescent="0.25">
      <c r="A527" s="62">
        <v>223083</v>
      </c>
      <c r="B527" s="62">
        <v>8272</v>
      </c>
      <c r="C527" s="63" t="s">
        <v>100</v>
      </c>
      <c r="D527" s="63" t="s">
        <v>1155</v>
      </c>
      <c r="E527" s="63" t="s">
        <v>520</v>
      </c>
      <c r="F527" s="63"/>
      <c r="G527" s="63" t="s">
        <v>3</v>
      </c>
      <c r="H527" s="64">
        <v>800</v>
      </c>
      <c r="I527" s="64">
        <v>1190</v>
      </c>
      <c r="J527" s="63"/>
      <c r="K527" s="63" t="s">
        <v>4</v>
      </c>
      <c r="L527" s="63"/>
      <c r="M527" s="63"/>
      <c r="N527" s="8" t="str">
        <f t="shared" si="8"/>
        <v>1</v>
      </c>
      <c r="O527" s="8" t="str">
        <f>INDEX(Кат!$H:$H,MATCH($A527,Кат!$A:$A,0))</f>
        <v>Китай БЕСТ ПАРТНЕР</v>
      </c>
    </row>
    <row r="528" spans="1:15" ht="30" x14ac:dyDescent="0.25">
      <c r="A528" s="62">
        <v>223084</v>
      </c>
      <c r="B528" s="62">
        <v>8271</v>
      </c>
      <c r="C528" s="63" t="s">
        <v>99</v>
      </c>
      <c r="D528" s="63" t="s">
        <v>1155</v>
      </c>
      <c r="E528" s="63" t="s">
        <v>519</v>
      </c>
      <c r="F528" s="63"/>
      <c r="G528" s="63" t="s">
        <v>3</v>
      </c>
      <c r="H528" s="64">
        <v>0</v>
      </c>
      <c r="I528" s="64">
        <v>799</v>
      </c>
      <c r="J528" s="63"/>
      <c r="K528" s="63" t="s">
        <v>1156</v>
      </c>
      <c r="L528" s="63"/>
      <c r="M528" s="63"/>
      <c r="N528" s="8" t="str">
        <f t="shared" si="8"/>
        <v>0</v>
      </c>
      <c r="O528" s="8" t="str">
        <f>INDEX(Кат!$H:$H,MATCH($A528,Кат!$A:$A,0))</f>
        <v>Китай БЕСТ ПАРТНЕР</v>
      </c>
    </row>
    <row r="529" spans="1:15" ht="30" x14ac:dyDescent="0.25">
      <c r="A529" s="62">
        <v>223085</v>
      </c>
      <c r="B529" s="62">
        <v>8273</v>
      </c>
      <c r="C529" s="63" t="s">
        <v>101</v>
      </c>
      <c r="D529" s="63" t="s">
        <v>1155</v>
      </c>
      <c r="E529" s="63" t="s">
        <v>521</v>
      </c>
      <c r="F529" s="63"/>
      <c r="G529" s="63" t="s">
        <v>3</v>
      </c>
      <c r="H529" s="64">
        <v>650</v>
      </c>
      <c r="I529" s="64">
        <v>949</v>
      </c>
      <c r="J529" s="63"/>
      <c r="K529" s="63" t="s">
        <v>4</v>
      </c>
      <c r="L529" s="63"/>
      <c r="M529" s="63"/>
      <c r="N529" s="8" t="str">
        <f t="shared" si="8"/>
        <v>1</v>
      </c>
      <c r="O529" s="8" t="str">
        <f>INDEX(Кат!$H:$H,MATCH($A529,Кат!$A:$A,0))</f>
        <v>Китай БЕСТ ПАРТНЕР</v>
      </c>
    </row>
    <row r="530" spans="1:15" ht="30" x14ac:dyDescent="0.25">
      <c r="A530" s="62">
        <v>223086</v>
      </c>
      <c r="B530" s="62">
        <v>8274</v>
      </c>
      <c r="C530" s="63" t="s">
        <v>102</v>
      </c>
      <c r="D530" s="63" t="s">
        <v>1155</v>
      </c>
      <c r="E530" s="63" t="s">
        <v>522</v>
      </c>
      <c r="F530" s="63"/>
      <c r="G530" s="63" t="s">
        <v>3</v>
      </c>
      <c r="H530" s="64">
        <v>950</v>
      </c>
      <c r="I530" s="64">
        <v>1390</v>
      </c>
      <c r="J530" s="63"/>
      <c r="K530" s="63" t="s">
        <v>4</v>
      </c>
      <c r="L530" s="63"/>
      <c r="M530" s="63"/>
      <c r="N530" s="8" t="str">
        <f t="shared" si="8"/>
        <v>1</v>
      </c>
      <c r="O530" s="8" t="str">
        <f>INDEX(Кат!$H:$H,MATCH($A530,Кат!$A:$A,0))</f>
        <v>Китай БЕСТ ПАРТНЕР</v>
      </c>
    </row>
    <row r="531" spans="1:15" ht="30" x14ac:dyDescent="0.25">
      <c r="A531" s="62">
        <v>223087</v>
      </c>
      <c r="B531" s="62">
        <v>8279</v>
      </c>
      <c r="C531" s="63" t="s">
        <v>107</v>
      </c>
      <c r="D531" s="63" t="s">
        <v>1155</v>
      </c>
      <c r="E531" s="63" t="s">
        <v>527</v>
      </c>
      <c r="F531" s="63"/>
      <c r="G531" s="63" t="s">
        <v>3</v>
      </c>
      <c r="H531" s="64">
        <v>0</v>
      </c>
      <c r="I531" s="64">
        <v>689</v>
      </c>
      <c r="J531" s="63"/>
      <c r="K531" s="63" t="s">
        <v>1156</v>
      </c>
      <c r="L531" s="63"/>
      <c r="M531" s="63"/>
      <c r="N531" s="8" t="str">
        <f t="shared" si="8"/>
        <v>0</v>
      </c>
      <c r="O531" s="8" t="str">
        <f>INDEX(Кат!$H:$H,MATCH($A531,Кат!$A:$A,0))</f>
        <v>Китай БЕСТ ПАРТНЕР</v>
      </c>
    </row>
    <row r="532" spans="1:15" ht="30" x14ac:dyDescent="0.25">
      <c r="A532" s="62">
        <v>223088</v>
      </c>
      <c r="B532" s="62">
        <v>8280</v>
      </c>
      <c r="C532" s="63" t="s">
        <v>108</v>
      </c>
      <c r="D532" s="63" t="s">
        <v>1155</v>
      </c>
      <c r="E532" s="63" t="s">
        <v>528</v>
      </c>
      <c r="F532" s="63"/>
      <c r="G532" s="63" t="s">
        <v>3</v>
      </c>
      <c r="H532" s="64">
        <v>450</v>
      </c>
      <c r="I532" s="64">
        <v>789</v>
      </c>
      <c r="J532" s="63"/>
      <c r="K532" s="63" t="s">
        <v>4</v>
      </c>
      <c r="L532" s="63"/>
      <c r="M532" s="63"/>
      <c r="N532" s="8" t="str">
        <f t="shared" si="8"/>
        <v>1</v>
      </c>
      <c r="O532" s="8" t="str">
        <f>INDEX(Кат!$H:$H,MATCH($A532,Кат!$A:$A,0))</f>
        <v>Китай БЕСТ ПАРТНЕР</v>
      </c>
    </row>
    <row r="533" spans="1:15" ht="30" x14ac:dyDescent="0.25">
      <c r="A533" s="62">
        <v>223089</v>
      </c>
      <c r="B533" s="62">
        <v>8281</v>
      </c>
      <c r="C533" s="63" t="s">
        <v>109</v>
      </c>
      <c r="D533" s="63" t="s">
        <v>1155</v>
      </c>
      <c r="E533" s="63" t="s">
        <v>529</v>
      </c>
      <c r="F533" s="63"/>
      <c r="G533" s="63" t="s">
        <v>3</v>
      </c>
      <c r="H533" s="64">
        <v>2000</v>
      </c>
      <c r="I533" s="64">
        <v>2590</v>
      </c>
      <c r="J533" s="63"/>
      <c r="K533" s="63" t="s">
        <v>4</v>
      </c>
      <c r="L533" s="63"/>
      <c r="M533" s="63"/>
      <c r="N533" s="8" t="str">
        <f t="shared" si="8"/>
        <v>1</v>
      </c>
      <c r="O533" s="8" t="str">
        <f>INDEX(Кат!$H:$H,MATCH($A533,Кат!$A:$A,0))</f>
        <v>Китай БЕСТ ПАРТНЕР</v>
      </c>
    </row>
    <row r="534" spans="1:15" ht="30" x14ac:dyDescent="0.25">
      <c r="A534" s="62">
        <v>223090</v>
      </c>
      <c r="B534" s="62">
        <v>8282</v>
      </c>
      <c r="C534" s="63" t="s">
        <v>110</v>
      </c>
      <c r="D534" s="63" t="s">
        <v>1155</v>
      </c>
      <c r="E534" s="63" t="s">
        <v>530</v>
      </c>
      <c r="F534" s="63"/>
      <c r="G534" s="63" t="s">
        <v>3</v>
      </c>
      <c r="H534" s="64">
        <v>1900</v>
      </c>
      <c r="I534" s="64">
        <v>2490</v>
      </c>
      <c r="J534" s="63"/>
      <c r="K534" s="63" t="s">
        <v>1156</v>
      </c>
      <c r="L534" s="63"/>
      <c r="M534" s="63"/>
      <c r="N534" s="8" t="str">
        <f t="shared" si="8"/>
        <v>0</v>
      </c>
      <c r="O534" s="8" t="str">
        <f>INDEX(Кат!$H:$H,MATCH($A534,Кат!$A:$A,0))</f>
        <v>Китай БЕСТ ПАРТНЕР</v>
      </c>
    </row>
    <row r="535" spans="1:15" ht="30" x14ac:dyDescent="0.25">
      <c r="A535" s="62">
        <v>223091</v>
      </c>
      <c r="B535" s="62">
        <v>8283</v>
      </c>
      <c r="C535" s="63" t="s">
        <v>111</v>
      </c>
      <c r="D535" s="63" t="s">
        <v>1155</v>
      </c>
      <c r="E535" s="63" t="s">
        <v>531</v>
      </c>
      <c r="F535" s="63"/>
      <c r="G535" s="63" t="s">
        <v>3</v>
      </c>
      <c r="H535" s="64">
        <v>1800</v>
      </c>
      <c r="I535" s="64">
        <v>2390</v>
      </c>
      <c r="J535" s="63"/>
      <c r="K535" s="63" t="s">
        <v>4</v>
      </c>
      <c r="L535" s="63"/>
      <c r="M535" s="63"/>
      <c r="N535" s="8" t="str">
        <f t="shared" si="8"/>
        <v>1</v>
      </c>
      <c r="O535" s="8" t="str">
        <f>INDEX(Кат!$H:$H,MATCH($A535,Кат!$A:$A,0))</f>
        <v>Китай БЕСТ ПАРТНЕР</v>
      </c>
    </row>
    <row r="536" spans="1:15" ht="30" x14ac:dyDescent="0.25">
      <c r="A536" s="62">
        <v>223092</v>
      </c>
      <c r="B536" s="62">
        <v>8286</v>
      </c>
      <c r="C536" s="63" t="s">
        <v>113</v>
      </c>
      <c r="D536" s="63" t="s">
        <v>1155</v>
      </c>
      <c r="E536" s="63" t="s">
        <v>535</v>
      </c>
      <c r="F536" s="63"/>
      <c r="G536" s="63" t="s">
        <v>3</v>
      </c>
      <c r="H536" s="64">
        <v>0</v>
      </c>
      <c r="I536" s="64">
        <v>3290</v>
      </c>
      <c r="J536" s="63"/>
      <c r="K536" s="63" t="s">
        <v>1156</v>
      </c>
      <c r="L536" s="63"/>
      <c r="M536" s="63"/>
      <c r="N536" s="8" t="str">
        <f t="shared" si="8"/>
        <v>0</v>
      </c>
      <c r="O536" s="8" t="str">
        <f>INDEX(Кат!$H:$H,MATCH($A536,Кат!$A:$A,0))</f>
        <v>Китай БЕСТ ПАРТНЕР</v>
      </c>
    </row>
    <row r="537" spans="1:15" ht="30" x14ac:dyDescent="0.25">
      <c r="A537" s="62">
        <v>223093</v>
      </c>
      <c r="B537" s="62">
        <v>8284</v>
      </c>
      <c r="C537" s="63" t="s">
        <v>112</v>
      </c>
      <c r="D537" s="63" t="s">
        <v>1155</v>
      </c>
      <c r="E537" s="63" t="s">
        <v>532</v>
      </c>
      <c r="F537" s="63"/>
      <c r="G537" s="63" t="s">
        <v>3</v>
      </c>
      <c r="H537" s="64">
        <v>1600</v>
      </c>
      <c r="I537" s="64">
        <v>2090</v>
      </c>
      <c r="J537" s="63"/>
      <c r="K537" s="63" t="s">
        <v>4</v>
      </c>
      <c r="L537" s="63"/>
      <c r="M537" s="63"/>
      <c r="N537" s="8" t="str">
        <f t="shared" si="8"/>
        <v>1</v>
      </c>
      <c r="O537" s="8" t="str">
        <f>INDEX(Кат!$H:$H,MATCH($A537,Кат!$A:$A,0))</f>
        <v>Китай БЕСТ ПАРТНЕР</v>
      </c>
    </row>
    <row r="538" spans="1:15" ht="30" x14ac:dyDescent="0.25">
      <c r="A538" s="62">
        <v>223094</v>
      </c>
      <c r="B538" s="62">
        <v>8287</v>
      </c>
      <c r="C538" s="63" t="s">
        <v>114</v>
      </c>
      <c r="D538" s="63" t="s">
        <v>1155</v>
      </c>
      <c r="E538" s="63" t="s">
        <v>536</v>
      </c>
      <c r="F538" s="63"/>
      <c r="G538" s="63" t="s">
        <v>3</v>
      </c>
      <c r="H538" s="64">
        <v>800</v>
      </c>
      <c r="I538" s="64">
        <v>1190</v>
      </c>
      <c r="J538" s="63"/>
      <c r="K538" s="63" t="s">
        <v>4</v>
      </c>
      <c r="L538" s="63"/>
      <c r="M538" s="63"/>
      <c r="N538" s="8" t="str">
        <f t="shared" si="8"/>
        <v>1</v>
      </c>
      <c r="O538" s="8" t="str">
        <f>INDEX(Кат!$H:$H,MATCH($A538,Кат!$A:$A,0))</f>
        <v>Китай БЕСТ ПАРТНЕР</v>
      </c>
    </row>
    <row r="539" spans="1:15" ht="30" x14ac:dyDescent="0.25">
      <c r="A539" s="62">
        <v>223095</v>
      </c>
      <c r="B539" s="62">
        <v>8288</v>
      </c>
      <c r="C539" s="63" t="s">
        <v>115</v>
      </c>
      <c r="D539" s="63" t="s">
        <v>1155</v>
      </c>
      <c r="E539" s="63" t="s">
        <v>537</v>
      </c>
      <c r="F539" s="63"/>
      <c r="G539" s="63" t="s">
        <v>3</v>
      </c>
      <c r="H539" s="64">
        <v>750</v>
      </c>
      <c r="I539" s="64">
        <v>1090</v>
      </c>
      <c r="J539" s="63"/>
      <c r="K539" s="63" t="s">
        <v>4</v>
      </c>
      <c r="L539" s="63"/>
      <c r="M539" s="63"/>
      <c r="N539" s="8" t="str">
        <f t="shared" si="8"/>
        <v>1</v>
      </c>
      <c r="O539" s="8" t="str">
        <f>INDEX(Кат!$H:$H,MATCH($A539,Кат!$A:$A,0))</f>
        <v>Китай БЕСТ ПАРТНЕР</v>
      </c>
    </row>
    <row r="540" spans="1:15" ht="30" x14ac:dyDescent="0.25">
      <c r="A540" s="62">
        <v>223096</v>
      </c>
      <c r="B540" s="62">
        <v>8289</v>
      </c>
      <c r="C540" s="63" t="s">
        <v>116</v>
      </c>
      <c r="D540" s="63" t="s">
        <v>1155</v>
      </c>
      <c r="E540" s="63" t="s">
        <v>538</v>
      </c>
      <c r="F540" s="63"/>
      <c r="G540" s="63" t="s">
        <v>3</v>
      </c>
      <c r="H540" s="64">
        <v>650</v>
      </c>
      <c r="I540" s="64">
        <v>949</v>
      </c>
      <c r="J540" s="63"/>
      <c r="K540" s="63" t="s">
        <v>4</v>
      </c>
      <c r="L540" s="63"/>
      <c r="M540" s="63"/>
      <c r="N540" s="8" t="str">
        <f t="shared" si="8"/>
        <v>1</v>
      </c>
      <c r="O540" s="8" t="str">
        <f>INDEX(Кат!$H:$H,MATCH($A540,Кат!$A:$A,0))</f>
        <v>Китай БЕСТ ПАРТНЕР</v>
      </c>
    </row>
    <row r="541" spans="1:15" ht="30" x14ac:dyDescent="0.25">
      <c r="A541" s="62">
        <v>223097</v>
      </c>
      <c r="B541" s="62">
        <v>8290</v>
      </c>
      <c r="C541" s="63" t="s">
        <v>117</v>
      </c>
      <c r="D541" s="63" t="s">
        <v>1155</v>
      </c>
      <c r="E541" s="63" t="s">
        <v>539</v>
      </c>
      <c r="F541" s="63"/>
      <c r="G541" s="63" t="s">
        <v>3</v>
      </c>
      <c r="H541" s="64">
        <v>0</v>
      </c>
      <c r="I541" s="64">
        <v>749</v>
      </c>
      <c r="J541" s="63"/>
      <c r="K541" s="63" t="s">
        <v>1156</v>
      </c>
      <c r="L541" s="63"/>
      <c r="M541" s="63"/>
      <c r="N541" s="8" t="str">
        <f t="shared" si="8"/>
        <v>0</v>
      </c>
      <c r="O541" s="8" t="str">
        <f>INDEX(Кат!$H:$H,MATCH($A541,Кат!$A:$A,0))</f>
        <v>Китай БЕСТ ПАРТНЕР</v>
      </c>
    </row>
    <row r="542" spans="1:15" ht="30" x14ac:dyDescent="0.25">
      <c r="A542" s="62">
        <v>223098</v>
      </c>
      <c r="B542" s="62">
        <v>8291</v>
      </c>
      <c r="C542" s="63" t="s">
        <v>118</v>
      </c>
      <c r="D542" s="63" t="s">
        <v>1155</v>
      </c>
      <c r="E542" s="63" t="s">
        <v>540</v>
      </c>
      <c r="F542" s="63"/>
      <c r="G542" s="63" t="s">
        <v>3</v>
      </c>
      <c r="H542" s="64">
        <v>0</v>
      </c>
      <c r="I542" s="64">
        <v>689</v>
      </c>
      <c r="J542" s="63"/>
      <c r="K542" s="63" t="s">
        <v>1156</v>
      </c>
      <c r="L542" s="63"/>
      <c r="M542" s="63"/>
      <c r="N542" s="8" t="str">
        <f t="shared" si="8"/>
        <v>0</v>
      </c>
      <c r="O542" s="8" t="str">
        <f>INDEX(Кат!$H:$H,MATCH($A542,Кат!$A:$A,0))</f>
        <v>Китай БЕСТ ПАРТНЕР</v>
      </c>
    </row>
    <row r="543" spans="1:15" ht="30" x14ac:dyDescent="0.25">
      <c r="A543" s="62">
        <v>223099</v>
      </c>
      <c r="B543" s="62">
        <v>8293</v>
      </c>
      <c r="C543" s="63" t="s">
        <v>120</v>
      </c>
      <c r="D543" s="63" t="s">
        <v>1155</v>
      </c>
      <c r="E543" s="63" t="s">
        <v>542</v>
      </c>
      <c r="F543" s="63"/>
      <c r="G543" s="63" t="s">
        <v>3</v>
      </c>
      <c r="H543" s="64">
        <v>900</v>
      </c>
      <c r="I543" s="64">
        <v>1390</v>
      </c>
      <c r="J543" s="63"/>
      <c r="K543" s="63" t="s">
        <v>4</v>
      </c>
      <c r="L543" s="63"/>
      <c r="M543" s="63"/>
      <c r="N543" s="8" t="str">
        <f t="shared" si="8"/>
        <v>1</v>
      </c>
      <c r="O543" s="8" t="str">
        <f>INDEX(Кат!$H:$H,MATCH($A543,Кат!$A:$A,0))</f>
        <v>Китай БЕСТ ПАРТНЕР</v>
      </c>
    </row>
    <row r="544" spans="1:15" ht="30" x14ac:dyDescent="0.25">
      <c r="A544" s="62">
        <v>223100</v>
      </c>
      <c r="B544" s="62">
        <v>8292</v>
      </c>
      <c r="C544" s="63" t="s">
        <v>119</v>
      </c>
      <c r="D544" s="63" t="s">
        <v>1155</v>
      </c>
      <c r="E544" s="63" t="s">
        <v>541</v>
      </c>
      <c r="F544" s="63"/>
      <c r="G544" s="63" t="s">
        <v>3</v>
      </c>
      <c r="H544" s="64">
        <v>850</v>
      </c>
      <c r="I544" s="64">
        <v>1290</v>
      </c>
      <c r="J544" s="63"/>
      <c r="K544" s="63" t="s">
        <v>4</v>
      </c>
      <c r="L544" s="63"/>
      <c r="M544" s="63"/>
      <c r="N544" s="8" t="str">
        <f t="shared" si="8"/>
        <v>1</v>
      </c>
      <c r="O544" s="8" t="str">
        <f>INDEX(Кат!$H:$H,MATCH($A544,Кат!$A:$A,0))</f>
        <v>Китай БЕСТ ПАРТНЕР</v>
      </c>
    </row>
    <row r="545" spans="1:15" ht="30" x14ac:dyDescent="0.25">
      <c r="A545" s="62">
        <v>223101</v>
      </c>
      <c r="B545" s="62">
        <v>8294</v>
      </c>
      <c r="C545" s="63" t="s">
        <v>121</v>
      </c>
      <c r="D545" s="63" t="s">
        <v>1155</v>
      </c>
      <c r="E545" s="63" t="s">
        <v>543</v>
      </c>
      <c r="F545" s="63"/>
      <c r="G545" s="63" t="s">
        <v>3</v>
      </c>
      <c r="H545" s="64">
        <v>900</v>
      </c>
      <c r="I545" s="64">
        <v>1390</v>
      </c>
      <c r="J545" s="63"/>
      <c r="K545" s="63" t="s">
        <v>4</v>
      </c>
      <c r="L545" s="63"/>
      <c r="M545" s="63"/>
      <c r="N545" s="8" t="str">
        <f t="shared" si="8"/>
        <v>1</v>
      </c>
      <c r="O545" s="8" t="str">
        <f>INDEX(Кат!$H:$H,MATCH($A545,Кат!$A:$A,0))</f>
        <v>Китай БЕСТ ПАРТНЕР</v>
      </c>
    </row>
    <row r="546" spans="1:15" ht="30" x14ac:dyDescent="0.25">
      <c r="A546" s="62">
        <v>223102</v>
      </c>
      <c r="B546" s="62">
        <v>8295</v>
      </c>
      <c r="C546" s="63" t="s">
        <v>122</v>
      </c>
      <c r="D546" s="63" t="s">
        <v>1155</v>
      </c>
      <c r="E546" s="63" t="s">
        <v>544</v>
      </c>
      <c r="F546" s="63"/>
      <c r="G546" s="63" t="s">
        <v>3</v>
      </c>
      <c r="H546" s="64">
        <v>400</v>
      </c>
      <c r="I546" s="64">
        <v>699</v>
      </c>
      <c r="J546" s="63"/>
      <c r="K546" s="63" t="s">
        <v>1156</v>
      </c>
      <c r="L546" s="63"/>
      <c r="M546" s="63"/>
      <c r="N546" s="8" t="str">
        <f t="shared" si="8"/>
        <v>0</v>
      </c>
      <c r="O546" s="8" t="str">
        <f>INDEX(Кат!$H:$H,MATCH($A546,Кат!$A:$A,0))</f>
        <v>Китай БЕСТ ПАРТНЕР</v>
      </c>
    </row>
    <row r="547" spans="1:15" ht="30" x14ac:dyDescent="0.25">
      <c r="A547" s="62">
        <v>223103</v>
      </c>
      <c r="B547" s="62">
        <v>8297</v>
      </c>
      <c r="C547" s="63" t="s">
        <v>124</v>
      </c>
      <c r="D547" s="63" t="s">
        <v>1155</v>
      </c>
      <c r="E547" s="63" t="s">
        <v>546</v>
      </c>
      <c r="F547" s="63"/>
      <c r="G547" s="63" t="s">
        <v>3</v>
      </c>
      <c r="H547" s="64">
        <v>950</v>
      </c>
      <c r="I547" s="64">
        <v>1390</v>
      </c>
      <c r="J547" s="63"/>
      <c r="K547" s="63" t="s">
        <v>4</v>
      </c>
      <c r="L547" s="63"/>
      <c r="M547" s="63"/>
      <c r="N547" s="8" t="str">
        <f t="shared" si="8"/>
        <v>1</v>
      </c>
      <c r="O547" s="8" t="str">
        <f>INDEX(Кат!$H:$H,MATCH($A547,Кат!$A:$A,0))</f>
        <v>Китай БЕСТ ПАРТНЕР</v>
      </c>
    </row>
    <row r="548" spans="1:15" ht="30" x14ac:dyDescent="0.25">
      <c r="A548" s="62">
        <v>223104</v>
      </c>
      <c r="B548" s="62">
        <v>8298</v>
      </c>
      <c r="C548" s="63" t="s">
        <v>125</v>
      </c>
      <c r="D548" s="63" t="s">
        <v>1155</v>
      </c>
      <c r="E548" s="63" t="s">
        <v>547</v>
      </c>
      <c r="F548" s="63"/>
      <c r="G548" s="63" t="s">
        <v>3</v>
      </c>
      <c r="H548" s="64">
        <v>1200</v>
      </c>
      <c r="I548" s="64">
        <v>1590</v>
      </c>
      <c r="J548" s="63"/>
      <c r="K548" s="63" t="s">
        <v>4</v>
      </c>
      <c r="L548" s="63"/>
      <c r="M548" s="63"/>
      <c r="N548" s="8" t="str">
        <f t="shared" si="8"/>
        <v>1</v>
      </c>
      <c r="O548" s="8" t="str">
        <f>INDEX(Кат!$H:$H,MATCH($A548,Кат!$A:$A,0))</f>
        <v>Китай БЕСТ ПАРТНЕР</v>
      </c>
    </row>
    <row r="549" spans="1:15" ht="30" x14ac:dyDescent="0.25">
      <c r="A549" s="62">
        <v>223107</v>
      </c>
      <c r="B549" s="62">
        <v>8296</v>
      </c>
      <c r="C549" s="63" t="s">
        <v>123</v>
      </c>
      <c r="D549" s="63" t="s">
        <v>1155</v>
      </c>
      <c r="E549" s="63" t="s">
        <v>545</v>
      </c>
      <c r="F549" s="63"/>
      <c r="G549" s="63" t="s">
        <v>3</v>
      </c>
      <c r="H549" s="64">
        <v>0</v>
      </c>
      <c r="I549" s="64">
        <v>749</v>
      </c>
      <c r="J549" s="63"/>
      <c r="K549" s="63" t="s">
        <v>1156</v>
      </c>
      <c r="L549" s="63"/>
      <c r="M549" s="63"/>
      <c r="N549" s="8" t="str">
        <f t="shared" si="8"/>
        <v>0</v>
      </c>
      <c r="O549" s="8" t="str">
        <f>INDEX(Кат!$H:$H,MATCH($A549,Кат!$A:$A,0))</f>
        <v>Китай БЕСТ ПАРТНЕР</v>
      </c>
    </row>
    <row r="550" spans="1:15" ht="30" x14ac:dyDescent="0.25">
      <c r="A550" s="62">
        <v>223108</v>
      </c>
      <c r="B550" s="62">
        <v>8301</v>
      </c>
      <c r="C550" s="63" t="s">
        <v>126</v>
      </c>
      <c r="D550" s="63" t="s">
        <v>1155</v>
      </c>
      <c r="E550" s="63" t="s">
        <v>550</v>
      </c>
      <c r="F550" s="63"/>
      <c r="G550" s="63" t="s">
        <v>3</v>
      </c>
      <c r="H550" s="64">
        <v>800</v>
      </c>
      <c r="I550" s="64">
        <v>1190</v>
      </c>
      <c r="J550" s="63"/>
      <c r="K550" s="63" t="s">
        <v>4</v>
      </c>
      <c r="L550" s="63"/>
      <c r="M550" s="63"/>
      <c r="N550" s="8" t="str">
        <f t="shared" si="8"/>
        <v>1</v>
      </c>
      <c r="O550" s="8" t="str">
        <f>INDEX(Кат!$H:$H,MATCH($A550,Кат!$A:$A,0))</f>
        <v>Китай БЕСТ ПАРТНЕР</v>
      </c>
    </row>
    <row r="551" spans="1:15" ht="30" x14ac:dyDescent="0.25">
      <c r="A551" s="62">
        <v>223109</v>
      </c>
      <c r="B551" s="62">
        <v>8307</v>
      </c>
      <c r="C551" s="63" t="s">
        <v>128</v>
      </c>
      <c r="D551" s="63" t="s">
        <v>1155</v>
      </c>
      <c r="E551" s="63" t="s">
        <v>556</v>
      </c>
      <c r="F551" s="63"/>
      <c r="G551" s="63" t="s">
        <v>3</v>
      </c>
      <c r="H551" s="64">
        <v>600</v>
      </c>
      <c r="I551" s="64">
        <v>869</v>
      </c>
      <c r="J551" s="63"/>
      <c r="K551" s="63" t="s">
        <v>4</v>
      </c>
      <c r="L551" s="63"/>
      <c r="M551" s="63"/>
      <c r="N551" s="8" t="str">
        <f t="shared" si="8"/>
        <v>1</v>
      </c>
      <c r="O551" s="8" t="str">
        <f>INDEX(Кат!$H:$H,MATCH($A551,Кат!$A:$A,0))</f>
        <v>Китай БЕСТ ПАРТНЕР</v>
      </c>
    </row>
    <row r="552" spans="1:15" ht="30" x14ac:dyDescent="0.25">
      <c r="A552" s="62">
        <v>223110</v>
      </c>
      <c r="B552" s="62">
        <v>8308</v>
      </c>
      <c r="C552" s="63" t="s">
        <v>129</v>
      </c>
      <c r="D552" s="63" t="s">
        <v>1155</v>
      </c>
      <c r="E552" s="63" t="s">
        <v>557</v>
      </c>
      <c r="F552" s="63"/>
      <c r="G552" s="63" t="s">
        <v>3</v>
      </c>
      <c r="H552" s="64">
        <v>670</v>
      </c>
      <c r="I552" s="64">
        <v>979</v>
      </c>
      <c r="J552" s="63"/>
      <c r="K552" s="63" t="s">
        <v>4</v>
      </c>
      <c r="L552" s="63"/>
      <c r="M552" s="63"/>
      <c r="N552" s="8" t="str">
        <f t="shared" si="8"/>
        <v>1</v>
      </c>
      <c r="O552" s="8" t="str">
        <f>INDEX(Кат!$H:$H,MATCH($A552,Кат!$A:$A,0))</f>
        <v>Китай БЕСТ ПАРТНЕР</v>
      </c>
    </row>
    <row r="553" spans="1:15" ht="30" x14ac:dyDescent="0.25">
      <c r="A553" s="62">
        <v>223111</v>
      </c>
      <c r="B553" s="62">
        <v>8309</v>
      </c>
      <c r="C553" s="63" t="s">
        <v>130</v>
      </c>
      <c r="D553" s="63" t="s">
        <v>1155</v>
      </c>
      <c r="E553" s="63" t="s">
        <v>558</v>
      </c>
      <c r="F553" s="63"/>
      <c r="G553" s="63" t="s">
        <v>3</v>
      </c>
      <c r="H553" s="64">
        <v>600</v>
      </c>
      <c r="I553" s="64">
        <v>869</v>
      </c>
      <c r="J553" s="63"/>
      <c r="K553" s="63" t="s">
        <v>4</v>
      </c>
      <c r="L553" s="63"/>
      <c r="M553" s="63"/>
      <c r="N553" s="8" t="str">
        <f t="shared" si="8"/>
        <v>1</v>
      </c>
      <c r="O553" s="8" t="str">
        <f>INDEX(Кат!$H:$H,MATCH($A553,Кат!$A:$A,0))</f>
        <v>Китай БЕСТ ПАРТНЕР</v>
      </c>
    </row>
    <row r="554" spans="1:15" ht="30" x14ac:dyDescent="0.25">
      <c r="A554" s="62">
        <v>223112</v>
      </c>
      <c r="B554" s="62">
        <v>8306</v>
      </c>
      <c r="C554" s="63" t="s">
        <v>127</v>
      </c>
      <c r="D554" s="63" t="s">
        <v>1155</v>
      </c>
      <c r="E554" s="63" t="s">
        <v>555</v>
      </c>
      <c r="F554" s="63"/>
      <c r="G554" s="63" t="s">
        <v>3</v>
      </c>
      <c r="H554" s="64">
        <v>650</v>
      </c>
      <c r="I554" s="64">
        <v>949</v>
      </c>
      <c r="J554" s="63"/>
      <c r="K554" s="63" t="s">
        <v>4</v>
      </c>
      <c r="L554" s="63"/>
      <c r="M554" s="63"/>
      <c r="N554" s="8" t="str">
        <f t="shared" si="8"/>
        <v>1</v>
      </c>
      <c r="O554" s="8" t="str">
        <f>INDEX(Кат!$H:$H,MATCH($A554,Кат!$A:$A,0))</f>
        <v>Китай БЕСТ ПАРТНЕР</v>
      </c>
    </row>
    <row r="555" spans="1:15" ht="30" x14ac:dyDescent="0.25">
      <c r="A555" s="62">
        <v>223116</v>
      </c>
      <c r="B555" s="62">
        <v>5504</v>
      </c>
      <c r="C555" s="63" t="s">
        <v>53</v>
      </c>
      <c r="D555" s="63" t="s">
        <v>1155</v>
      </c>
      <c r="E555" s="63" t="s">
        <v>1004</v>
      </c>
      <c r="F555" s="63"/>
      <c r="G555" s="63" t="s">
        <v>3</v>
      </c>
      <c r="H555" s="64">
        <v>350</v>
      </c>
      <c r="I555" s="64">
        <v>619</v>
      </c>
      <c r="J555" s="63"/>
      <c r="K555" s="63" t="s">
        <v>1156</v>
      </c>
      <c r="L555" s="63"/>
      <c r="M555" s="63"/>
      <c r="N555" s="8" t="str">
        <f t="shared" si="8"/>
        <v>0</v>
      </c>
      <c r="O555" s="8" t="str">
        <f>INDEX(Кат!$H:$H,MATCH($A555,Кат!$A:$A,0))</f>
        <v>Китай БЕСТ ПАРТНЕР</v>
      </c>
    </row>
    <row r="556" spans="1:15" ht="30" x14ac:dyDescent="0.25">
      <c r="A556" s="62">
        <v>223117</v>
      </c>
      <c r="B556" s="62">
        <v>5500</v>
      </c>
      <c r="C556" s="63" t="s">
        <v>52</v>
      </c>
      <c r="D556" s="63" t="s">
        <v>1155</v>
      </c>
      <c r="E556" s="63" t="s">
        <v>1003</v>
      </c>
      <c r="F556" s="63"/>
      <c r="G556" s="63" t="s">
        <v>3</v>
      </c>
      <c r="H556" s="64">
        <v>350</v>
      </c>
      <c r="I556" s="64">
        <v>619</v>
      </c>
      <c r="J556" s="63"/>
      <c r="K556" s="63" t="s">
        <v>1156</v>
      </c>
      <c r="L556" s="63"/>
      <c r="M556" s="63"/>
      <c r="N556" s="8" t="str">
        <f t="shared" si="8"/>
        <v>0</v>
      </c>
      <c r="O556" s="8" t="str">
        <f>INDEX(Кат!$H:$H,MATCH($A556,Кат!$A:$A,0))</f>
        <v>Китай БЕСТ ПАРТНЕР</v>
      </c>
    </row>
    <row r="557" spans="1:15" ht="30" x14ac:dyDescent="0.25">
      <c r="A557" s="62">
        <v>223118</v>
      </c>
      <c r="B557" s="62">
        <v>5508</v>
      </c>
      <c r="C557" s="63" t="s">
        <v>54</v>
      </c>
      <c r="D557" s="63" t="s">
        <v>1155</v>
      </c>
      <c r="E557" s="63" t="s">
        <v>1006</v>
      </c>
      <c r="F557" s="63"/>
      <c r="G557" s="63" t="s">
        <v>3</v>
      </c>
      <c r="H557" s="64">
        <v>350</v>
      </c>
      <c r="I557" s="64">
        <v>619</v>
      </c>
      <c r="J557" s="63"/>
      <c r="K557" s="63" t="s">
        <v>1156</v>
      </c>
      <c r="L557" s="63"/>
      <c r="M557" s="63"/>
      <c r="N557" s="8" t="str">
        <f t="shared" si="8"/>
        <v>0</v>
      </c>
      <c r="O557" s="8" t="str">
        <f>INDEX(Кат!$H:$H,MATCH($A557,Кат!$A:$A,0))</f>
        <v>Китай БЕСТ ПАРТНЕР</v>
      </c>
    </row>
    <row r="558" spans="1:15" ht="30" x14ac:dyDescent="0.25">
      <c r="A558" s="62">
        <v>223119</v>
      </c>
      <c r="B558" s="62">
        <v>5506</v>
      </c>
      <c r="C558" s="63" t="s">
        <v>406</v>
      </c>
      <c r="D558" s="63" t="s">
        <v>1155</v>
      </c>
      <c r="E558" s="63" t="s">
        <v>1005</v>
      </c>
      <c r="F558" s="63"/>
      <c r="G558" s="63" t="s">
        <v>3</v>
      </c>
      <c r="H558" s="64">
        <v>0</v>
      </c>
      <c r="I558" s="64">
        <v>689</v>
      </c>
      <c r="J558" s="63"/>
      <c r="K558" s="63" t="s">
        <v>1156</v>
      </c>
      <c r="L558" s="63"/>
      <c r="M558" s="63"/>
      <c r="N558" s="8" t="str">
        <f t="shared" si="8"/>
        <v>0</v>
      </c>
      <c r="O558" s="8" t="str">
        <f>INDEX(Кат!$H:$H,MATCH($A558,Кат!$A:$A,0))</f>
        <v>Китай БЕСТ ПАРТНЕР</v>
      </c>
    </row>
    <row r="559" spans="1:15" ht="45" x14ac:dyDescent="0.25">
      <c r="A559" s="62">
        <v>223714</v>
      </c>
      <c r="B559" s="62">
        <v>11438</v>
      </c>
      <c r="C559" s="63" t="s">
        <v>374</v>
      </c>
      <c r="D559" s="63" t="s">
        <v>1155</v>
      </c>
      <c r="E559" s="63"/>
      <c r="F559" s="63"/>
      <c r="G559" s="63" t="s">
        <v>3</v>
      </c>
      <c r="H559" s="64">
        <v>2600</v>
      </c>
      <c r="I559" s="64">
        <v>3390</v>
      </c>
      <c r="J559" s="63"/>
      <c r="K559" s="63" t="s">
        <v>4</v>
      </c>
      <c r="L559" s="63"/>
      <c r="M559" s="63"/>
      <c r="N559" s="8" t="str">
        <f t="shared" si="8"/>
        <v>1</v>
      </c>
      <c r="O559" s="8" t="str">
        <f>INDEX(Кат!$H:$H,MATCH($A559,Кат!$A:$A,0))</f>
        <v>Китай БЕСТ ПАРТНЕР</v>
      </c>
    </row>
    <row r="560" spans="1:15" ht="30" x14ac:dyDescent="0.25">
      <c r="A560" s="62">
        <v>223838</v>
      </c>
      <c r="B560" s="62">
        <v>32342</v>
      </c>
      <c r="C560" s="63" t="s">
        <v>827</v>
      </c>
      <c r="D560" s="63" t="s">
        <v>1155</v>
      </c>
      <c r="E560" s="63"/>
      <c r="F560" s="63"/>
      <c r="G560" s="63" t="s">
        <v>3</v>
      </c>
      <c r="H560" s="64">
        <v>2650</v>
      </c>
      <c r="I560" s="64">
        <v>3990</v>
      </c>
      <c r="J560" s="63" t="s">
        <v>894</v>
      </c>
      <c r="K560" s="63" t="s">
        <v>4</v>
      </c>
      <c r="L560" s="63"/>
      <c r="M560" s="63"/>
      <c r="N560" s="8" t="str">
        <f t="shared" si="8"/>
        <v>1</v>
      </c>
      <c r="O560" s="8" t="str">
        <f>INDEX(Кат!$H:$H,MATCH($A560,Кат!$A:$A,0))</f>
        <v>Китай БЕСТ ПАРТНЕР</v>
      </c>
    </row>
    <row r="561" spans="1:15" ht="30" x14ac:dyDescent="0.25">
      <c r="A561" s="62">
        <v>223861</v>
      </c>
      <c r="B561" s="62">
        <v>32344</v>
      </c>
      <c r="C561" s="63" t="s">
        <v>828</v>
      </c>
      <c r="D561" s="63" t="s">
        <v>1155</v>
      </c>
      <c r="E561" s="63"/>
      <c r="F561" s="63"/>
      <c r="G561" s="63" t="s">
        <v>3</v>
      </c>
      <c r="H561" s="64">
        <v>2650</v>
      </c>
      <c r="I561" s="64">
        <v>3990</v>
      </c>
      <c r="J561" s="63" t="s">
        <v>895</v>
      </c>
      <c r="K561" s="63" t="s">
        <v>4</v>
      </c>
      <c r="L561" s="63"/>
      <c r="M561" s="63"/>
      <c r="N561" s="8" t="str">
        <f t="shared" si="8"/>
        <v>1</v>
      </c>
      <c r="O561" s="8" t="str">
        <f>INDEX(Кат!$H:$H,MATCH($A561,Кат!$A:$A,0))</f>
        <v>Китай БЕСТ ПАРТНЕР</v>
      </c>
    </row>
    <row r="562" spans="1:15" ht="45" x14ac:dyDescent="0.25">
      <c r="A562" s="62">
        <v>256787</v>
      </c>
      <c r="B562" s="62">
        <v>183518</v>
      </c>
      <c r="C562" s="63" t="s">
        <v>1132</v>
      </c>
      <c r="D562" s="63" t="s">
        <v>1155</v>
      </c>
      <c r="E562" s="63" t="s">
        <v>1384</v>
      </c>
      <c r="F562" s="63"/>
      <c r="G562" s="63" t="s">
        <v>3</v>
      </c>
      <c r="H562" s="64">
        <v>25000</v>
      </c>
      <c r="I562" s="64">
        <v>32890</v>
      </c>
      <c r="J562" s="63" t="s">
        <v>1359</v>
      </c>
      <c r="K562" s="63" t="s">
        <v>4</v>
      </c>
      <c r="L562" s="63" t="s">
        <v>4</v>
      </c>
      <c r="M562" s="63"/>
      <c r="N562" s="8" t="str">
        <f t="shared" si="8"/>
        <v>1ск1</v>
      </c>
      <c r="O562" s="8" t="str">
        <f>INDEX(Кат!$H:$H,MATCH($A562,Кат!$A:$A,0))</f>
        <v>Китай БЕСТ ПАРТНЕР</v>
      </c>
    </row>
    <row r="563" spans="1:15" ht="45" x14ac:dyDescent="0.25">
      <c r="A563" s="62">
        <v>256788</v>
      </c>
      <c r="B563" s="62">
        <v>183533</v>
      </c>
      <c r="C563" s="63" t="s">
        <v>1133</v>
      </c>
      <c r="D563" s="63" t="s">
        <v>1155</v>
      </c>
      <c r="E563" s="63" t="s">
        <v>1134</v>
      </c>
      <c r="F563" s="63" t="s">
        <v>1134</v>
      </c>
      <c r="G563" s="63" t="s">
        <v>3</v>
      </c>
      <c r="H563" s="64">
        <v>16000</v>
      </c>
      <c r="I563" s="64">
        <v>22590</v>
      </c>
      <c r="J563" s="63" t="s">
        <v>1358</v>
      </c>
      <c r="K563" s="63" t="s">
        <v>4</v>
      </c>
      <c r="L563" s="63"/>
      <c r="M563" s="63"/>
      <c r="N563" s="8" t="str">
        <f t="shared" si="8"/>
        <v>1</v>
      </c>
      <c r="O563" s="8" t="str">
        <f>INDEX(Кат!$H:$H,MATCH($A563,Кат!$A:$A,0))</f>
        <v>Китай БЕСТ ПАРТНЕР</v>
      </c>
    </row>
    <row r="564" spans="1:15" ht="45" x14ac:dyDescent="0.25">
      <c r="A564" s="62">
        <v>274200</v>
      </c>
      <c r="B564" s="62">
        <v>218839</v>
      </c>
      <c r="C564" s="63" t="s">
        <v>1240</v>
      </c>
      <c r="D564" s="63" t="s">
        <v>1155</v>
      </c>
      <c r="E564" s="63"/>
      <c r="F564" s="63"/>
      <c r="G564" s="63" t="s">
        <v>3</v>
      </c>
      <c r="H564" s="64">
        <v>19500</v>
      </c>
      <c r="I564" s="64">
        <v>26090</v>
      </c>
      <c r="J564" s="63" t="s">
        <v>1273</v>
      </c>
      <c r="K564" s="63" t="s">
        <v>4</v>
      </c>
      <c r="L564" s="63"/>
      <c r="M564" s="63"/>
      <c r="N564" s="8" t="str">
        <f t="shared" si="8"/>
        <v>1</v>
      </c>
      <c r="O564" s="8" t="str">
        <f>INDEX(Кат!$H:$H,MATCH($A564,Кат!$A:$A,0))</f>
        <v>Китай БЕСТ ПАРТНЕР</v>
      </c>
    </row>
    <row r="565" spans="1:15" ht="45" x14ac:dyDescent="0.25">
      <c r="A565" s="62">
        <v>223945</v>
      </c>
      <c r="B565" s="62">
        <v>4818</v>
      </c>
      <c r="C565" s="63" t="s">
        <v>438</v>
      </c>
      <c r="D565" s="63" t="s">
        <v>1155</v>
      </c>
      <c r="E565" s="63"/>
      <c r="F565" s="63"/>
      <c r="G565" s="63" t="s">
        <v>3</v>
      </c>
      <c r="H565" s="64">
        <v>6300</v>
      </c>
      <c r="I565" s="64">
        <v>11990</v>
      </c>
      <c r="J565" s="63" t="s">
        <v>892</v>
      </c>
      <c r="K565" s="63" t="s">
        <v>1156</v>
      </c>
      <c r="L565" s="63"/>
      <c r="M565" s="63"/>
      <c r="N565" s="8" t="str">
        <f t="shared" si="8"/>
        <v>0</v>
      </c>
      <c r="O565" s="8" t="str">
        <f>INDEX(Кат!$H:$H,MATCH($A565,Кат!$A:$A,0))</f>
        <v>Китай БЕСТ ПАРТНЕР</v>
      </c>
    </row>
    <row r="566" spans="1:15" ht="45" x14ac:dyDescent="0.25">
      <c r="A566" s="62">
        <v>223949</v>
      </c>
      <c r="B566" s="62">
        <v>12123</v>
      </c>
      <c r="C566" s="63" t="s">
        <v>820</v>
      </c>
      <c r="D566" s="63" t="s">
        <v>1155</v>
      </c>
      <c r="E566" s="63" t="s">
        <v>577</v>
      </c>
      <c r="F566" s="63"/>
      <c r="G566" s="63" t="s">
        <v>3</v>
      </c>
      <c r="H566" s="64">
        <v>3300</v>
      </c>
      <c r="I566" s="64">
        <v>4390</v>
      </c>
      <c r="J566" s="63" t="s">
        <v>883</v>
      </c>
      <c r="K566" s="63" t="s">
        <v>4</v>
      </c>
      <c r="L566" s="63"/>
      <c r="M566" s="63"/>
      <c r="N566" s="8" t="str">
        <f t="shared" si="8"/>
        <v>1</v>
      </c>
      <c r="O566" s="8" t="str">
        <f>INDEX(Кат!$H:$H,MATCH($A566,Кат!$A:$A,0))</f>
        <v>Китай БЕСТ ПАРТНЕР</v>
      </c>
    </row>
    <row r="567" spans="1:15" ht="45" x14ac:dyDescent="0.25">
      <c r="A567" s="62">
        <v>223950</v>
      </c>
      <c r="B567" s="62">
        <v>5115</v>
      </c>
      <c r="C567" s="63" t="s">
        <v>412</v>
      </c>
      <c r="D567" s="63" t="s">
        <v>1155</v>
      </c>
      <c r="E567" s="63" t="s">
        <v>492</v>
      </c>
      <c r="F567" s="63"/>
      <c r="G567" s="63" t="s">
        <v>3</v>
      </c>
      <c r="H567" s="64">
        <v>2900</v>
      </c>
      <c r="I567" s="64">
        <v>4390</v>
      </c>
      <c r="J567" s="63" t="s">
        <v>882</v>
      </c>
      <c r="K567" s="63" t="s">
        <v>4</v>
      </c>
      <c r="L567" s="63"/>
      <c r="M567" s="63"/>
      <c r="N567" s="8" t="str">
        <f t="shared" si="8"/>
        <v>1</v>
      </c>
      <c r="O567" s="8" t="str">
        <f>INDEX(Кат!$H:$H,MATCH($A567,Кат!$A:$A,0))</f>
        <v>Китай БЕСТ ПАРТНЕР</v>
      </c>
    </row>
    <row r="568" spans="1:15" ht="30" x14ac:dyDescent="0.25">
      <c r="A568" s="62">
        <v>223951</v>
      </c>
      <c r="B568" s="62">
        <v>4856</v>
      </c>
      <c r="C568" s="63" t="s">
        <v>432</v>
      </c>
      <c r="D568" s="63" t="s">
        <v>1155</v>
      </c>
      <c r="E568" s="63"/>
      <c r="F568" s="63"/>
      <c r="G568" s="63" t="s">
        <v>3</v>
      </c>
      <c r="H568" s="64">
        <v>3600</v>
      </c>
      <c r="I568" s="64">
        <v>4590</v>
      </c>
      <c r="J568" s="63"/>
      <c r="K568" s="63" t="s">
        <v>1156</v>
      </c>
      <c r="L568" s="63"/>
      <c r="M568" s="63"/>
      <c r="N568" s="8" t="str">
        <f t="shared" si="8"/>
        <v>0</v>
      </c>
      <c r="O568" s="8" t="str">
        <f>INDEX(Кат!$H:$H,MATCH($A568,Кат!$A:$A,0))</f>
        <v>Китай БЕСТ ПАРТНЕР</v>
      </c>
    </row>
    <row r="569" spans="1:15" ht="60" x14ac:dyDescent="0.25">
      <c r="A569" s="62">
        <v>223954</v>
      </c>
      <c r="B569" s="62">
        <v>18211</v>
      </c>
      <c r="C569" s="63" t="s">
        <v>339</v>
      </c>
      <c r="D569" s="63" t="s">
        <v>1155</v>
      </c>
      <c r="E569" s="63" t="s">
        <v>594</v>
      </c>
      <c r="F569" s="63"/>
      <c r="G569" s="63" t="s">
        <v>3</v>
      </c>
      <c r="H569" s="64">
        <v>5000</v>
      </c>
      <c r="I569" s="64">
        <v>8490</v>
      </c>
      <c r="J569" s="63" t="s">
        <v>1361</v>
      </c>
      <c r="K569" s="63" t="s">
        <v>4</v>
      </c>
      <c r="L569" s="63"/>
      <c r="M569" s="63"/>
      <c r="N569" s="8" t="str">
        <f t="shared" si="8"/>
        <v>1</v>
      </c>
      <c r="O569" s="8" t="str">
        <f>INDEX(Кат!$H:$H,MATCH($A569,Кат!$A:$A,0))</f>
        <v>Китай БЕСТ ПАРТНЕР</v>
      </c>
    </row>
    <row r="570" spans="1:15" ht="30" x14ac:dyDescent="0.25">
      <c r="A570" s="62">
        <v>223955</v>
      </c>
      <c r="B570" s="62">
        <v>4852</v>
      </c>
      <c r="C570" s="63" t="s">
        <v>433</v>
      </c>
      <c r="D570" s="63" t="s">
        <v>1155</v>
      </c>
      <c r="E570" s="63"/>
      <c r="F570" s="63"/>
      <c r="G570" s="63" t="s">
        <v>3</v>
      </c>
      <c r="H570" s="64">
        <v>0</v>
      </c>
      <c r="I570" s="64">
        <v>8290</v>
      </c>
      <c r="J570" s="63"/>
      <c r="K570" s="63" t="s">
        <v>1156</v>
      </c>
      <c r="L570" s="63"/>
      <c r="M570" s="63"/>
      <c r="N570" s="8" t="str">
        <f t="shared" si="8"/>
        <v>0</v>
      </c>
      <c r="O570" s="8" t="str">
        <f>INDEX(Кат!$H:$H,MATCH($A570,Кат!$A:$A,0))</f>
        <v>Китай БЕСТ ПАРТНЕР</v>
      </c>
    </row>
    <row r="571" spans="1:15" ht="30" x14ac:dyDescent="0.25">
      <c r="A571" s="62">
        <v>223963</v>
      </c>
      <c r="B571" s="62">
        <v>17801</v>
      </c>
      <c r="C571" s="63" t="s">
        <v>340</v>
      </c>
      <c r="D571" s="63" t="s">
        <v>1155</v>
      </c>
      <c r="E571" s="63"/>
      <c r="F571" s="63"/>
      <c r="G571" s="63" t="s">
        <v>3</v>
      </c>
      <c r="H571" s="64">
        <v>5100</v>
      </c>
      <c r="I571" s="64">
        <v>6690</v>
      </c>
      <c r="J571" s="63"/>
      <c r="K571" s="63" t="s">
        <v>1156</v>
      </c>
      <c r="L571" s="63"/>
      <c r="M571" s="63"/>
      <c r="N571" s="8" t="str">
        <f t="shared" si="8"/>
        <v>0</v>
      </c>
      <c r="O571" s="8" t="str">
        <f>INDEX(Кат!$H:$H,MATCH($A571,Кат!$A:$A,0))</f>
        <v>Китай БЕСТ ПАРТНЕР</v>
      </c>
    </row>
    <row r="572" spans="1:15" ht="45" x14ac:dyDescent="0.25">
      <c r="A572" s="62">
        <v>224160</v>
      </c>
      <c r="B572" s="62">
        <v>18901</v>
      </c>
      <c r="C572" s="63" t="s">
        <v>325</v>
      </c>
      <c r="D572" s="63" t="s">
        <v>1155</v>
      </c>
      <c r="E572" s="63" t="s">
        <v>613</v>
      </c>
      <c r="F572" s="63"/>
      <c r="G572" s="63" t="s">
        <v>3</v>
      </c>
      <c r="H572" s="64">
        <v>3500</v>
      </c>
      <c r="I572" s="64">
        <v>4590</v>
      </c>
      <c r="J572" s="63" t="s">
        <v>780</v>
      </c>
      <c r="K572" s="63" t="s">
        <v>4</v>
      </c>
      <c r="L572" s="63"/>
      <c r="M572" s="63"/>
      <c r="N572" s="8" t="str">
        <f t="shared" si="8"/>
        <v>1</v>
      </c>
      <c r="O572" s="8" t="str">
        <f>INDEX(Кат!$H:$H,MATCH($A572,Кат!$A:$A,0))</f>
        <v>Китай БЕСТ ПАРТНЕР</v>
      </c>
    </row>
    <row r="573" spans="1:15" ht="45" x14ac:dyDescent="0.25">
      <c r="A573" s="62">
        <v>224161</v>
      </c>
      <c r="B573" s="62">
        <v>18899</v>
      </c>
      <c r="C573" s="63" t="s">
        <v>326</v>
      </c>
      <c r="D573" s="63" t="s">
        <v>1155</v>
      </c>
      <c r="E573" s="63"/>
      <c r="F573" s="63"/>
      <c r="G573" s="63" t="s">
        <v>3</v>
      </c>
      <c r="H573" s="64">
        <v>3500</v>
      </c>
      <c r="I573" s="64">
        <v>4590</v>
      </c>
      <c r="J573" s="63" t="s">
        <v>781</v>
      </c>
      <c r="K573" s="63" t="s">
        <v>4</v>
      </c>
      <c r="L573" s="63"/>
      <c r="M573" s="63"/>
      <c r="N573" s="8" t="str">
        <f t="shared" si="8"/>
        <v>1</v>
      </c>
      <c r="O573" s="8" t="str">
        <f>INDEX(Кат!$H:$H,MATCH($A573,Кат!$A:$A,0))</f>
        <v>Китай БЕСТ ПАРТНЕР</v>
      </c>
    </row>
    <row r="574" spans="1:15" ht="45" x14ac:dyDescent="0.25">
      <c r="A574" s="62">
        <v>274203</v>
      </c>
      <c r="B574" s="62">
        <v>216059</v>
      </c>
      <c r="C574" s="63" t="s">
        <v>1241</v>
      </c>
      <c r="D574" s="63" t="s">
        <v>1155</v>
      </c>
      <c r="E574" s="63"/>
      <c r="F574" s="63"/>
      <c r="G574" s="63" t="s">
        <v>3</v>
      </c>
      <c r="H574" s="64">
        <v>3100</v>
      </c>
      <c r="I574" s="64">
        <v>3990</v>
      </c>
      <c r="J574" s="63" t="s">
        <v>1272</v>
      </c>
      <c r="K574" s="63" t="s">
        <v>4</v>
      </c>
      <c r="L574" s="63"/>
      <c r="M574" s="63"/>
      <c r="N574" s="8" t="str">
        <f t="shared" si="8"/>
        <v>1</v>
      </c>
      <c r="O574" s="8" t="str">
        <f>INDEX(Кат!$H:$H,MATCH($A574,Кат!$A:$A,0))</f>
        <v>Китай БЕСТ ПАРТНЕР</v>
      </c>
    </row>
    <row r="575" spans="1:15" ht="45" x14ac:dyDescent="0.25">
      <c r="A575" s="62">
        <v>224256</v>
      </c>
      <c r="B575" s="62">
        <v>29127</v>
      </c>
      <c r="C575" s="63" t="s">
        <v>1278</v>
      </c>
      <c r="D575" s="63" t="s">
        <v>1155</v>
      </c>
      <c r="E575" s="63" t="s">
        <v>1385</v>
      </c>
      <c r="F575" s="63"/>
      <c r="G575" s="63" t="s">
        <v>3</v>
      </c>
      <c r="H575" s="64">
        <v>400</v>
      </c>
      <c r="I575" s="64">
        <v>989</v>
      </c>
      <c r="J575" s="63" t="s">
        <v>1353</v>
      </c>
      <c r="K575" s="63" t="s">
        <v>4</v>
      </c>
      <c r="L575" s="63"/>
      <c r="M575" s="63"/>
      <c r="N575" s="8" t="str">
        <f t="shared" si="8"/>
        <v>1</v>
      </c>
      <c r="O575" s="8" t="str">
        <f>INDEX(Кат!$H:$H,MATCH($A575,Кат!$A:$A,0))</f>
        <v>Китай БЕСТ ПАРТНЕР</v>
      </c>
    </row>
    <row r="576" spans="1:15" ht="30" x14ac:dyDescent="0.25">
      <c r="A576" s="62">
        <v>224464</v>
      </c>
      <c r="B576" s="62">
        <v>8134</v>
      </c>
      <c r="C576" s="63" t="s">
        <v>84</v>
      </c>
      <c r="D576" s="63" t="s">
        <v>1155</v>
      </c>
      <c r="E576" s="63" t="s">
        <v>510</v>
      </c>
      <c r="F576" s="63"/>
      <c r="G576" s="63" t="s">
        <v>3</v>
      </c>
      <c r="H576" s="64">
        <v>150</v>
      </c>
      <c r="I576" s="64">
        <v>319</v>
      </c>
      <c r="J576" s="63"/>
      <c r="K576" s="63" t="s">
        <v>1156</v>
      </c>
      <c r="L576" s="63"/>
      <c r="M576" s="63"/>
      <c r="N576" s="8" t="str">
        <f t="shared" si="8"/>
        <v>0</v>
      </c>
      <c r="O576" s="8" t="str">
        <f>INDEX(Кат!$H:$H,MATCH($A576,Кат!$A:$A,0))</f>
        <v>Китай БЕСТ ПАРТНЕР</v>
      </c>
    </row>
    <row r="577" spans="1:15" ht="30" x14ac:dyDescent="0.25">
      <c r="A577" s="62">
        <v>224465</v>
      </c>
      <c r="B577" s="62">
        <v>8142</v>
      </c>
      <c r="C577" s="63" t="s">
        <v>86</v>
      </c>
      <c r="D577" s="63" t="s">
        <v>1155</v>
      </c>
      <c r="E577" s="63" t="s">
        <v>1033</v>
      </c>
      <c r="F577" s="63"/>
      <c r="G577" s="63" t="s">
        <v>3</v>
      </c>
      <c r="H577" s="64">
        <v>150</v>
      </c>
      <c r="I577" s="64">
        <v>319</v>
      </c>
      <c r="J577" s="63"/>
      <c r="K577" s="63" t="s">
        <v>4</v>
      </c>
      <c r="L577" s="63"/>
      <c r="M577" s="63"/>
      <c r="N577" s="8" t="str">
        <f t="shared" si="8"/>
        <v>1</v>
      </c>
      <c r="O577" s="8" t="str">
        <f>INDEX(Кат!$H:$H,MATCH($A577,Кат!$A:$A,0))</f>
        <v>Китай БЕСТ ПАРТНЕР</v>
      </c>
    </row>
    <row r="578" spans="1:15" ht="30" x14ac:dyDescent="0.25">
      <c r="A578" s="62">
        <v>224466</v>
      </c>
      <c r="B578" s="62">
        <v>8135</v>
      </c>
      <c r="C578" s="63" t="s">
        <v>85</v>
      </c>
      <c r="D578" s="63" t="s">
        <v>1155</v>
      </c>
      <c r="E578" s="63" t="s">
        <v>1032</v>
      </c>
      <c r="F578" s="63"/>
      <c r="G578" s="63" t="s">
        <v>3</v>
      </c>
      <c r="H578" s="64">
        <v>150</v>
      </c>
      <c r="I578" s="64">
        <v>319</v>
      </c>
      <c r="J578" s="63"/>
      <c r="K578" s="63" t="s">
        <v>4</v>
      </c>
      <c r="L578" s="63"/>
      <c r="M578" s="63"/>
      <c r="N578" s="8" t="str">
        <f t="shared" si="8"/>
        <v>1</v>
      </c>
      <c r="O578" s="8" t="str">
        <f>INDEX(Кат!$H:$H,MATCH($A578,Кат!$A:$A,0))</f>
        <v>Китай БЕСТ ПАРТНЕР</v>
      </c>
    </row>
    <row r="579" spans="1:15" ht="30" x14ac:dyDescent="0.25">
      <c r="A579" s="62">
        <v>224467</v>
      </c>
      <c r="B579" s="62">
        <v>34599</v>
      </c>
      <c r="C579" s="63" t="s">
        <v>273</v>
      </c>
      <c r="D579" s="63" t="s">
        <v>1155</v>
      </c>
      <c r="E579" s="63"/>
      <c r="F579" s="63"/>
      <c r="G579" s="63" t="s">
        <v>3</v>
      </c>
      <c r="H579" s="64">
        <v>350</v>
      </c>
      <c r="I579" s="64">
        <v>619</v>
      </c>
      <c r="J579" s="63"/>
      <c r="K579" s="63" t="s">
        <v>4</v>
      </c>
      <c r="L579" s="63"/>
      <c r="M579" s="63"/>
      <c r="N579" s="8" t="str">
        <f t="shared" ref="N579:N590" si="9">_xlfn.CONCAT(K579,IF(L579&lt;&gt;"",_xlfn.CONCAT("ск",L579),""))</f>
        <v>1</v>
      </c>
      <c r="O579" s="8" t="str">
        <f>INDEX(Кат!$H:$H,MATCH($A579,Кат!$A:$A,0))</f>
        <v>Китай БЕСТ ПАРТНЕР</v>
      </c>
    </row>
    <row r="580" spans="1:15" ht="30" x14ac:dyDescent="0.25">
      <c r="A580" s="62">
        <v>224468</v>
      </c>
      <c r="B580" s="62">
        <v>8149</v>
      </c>
      <c r="C580" s="63" t="s">
        <v>88</v>
      </c>
      <c r="D580" s="63" t="s">
        <v>1155</v>
      </c>
      <c r="E580" s="63" t="s">
        <v>1035</v>
      </c>
      <c r="F580" s="63"/>
      <c r="G580" s="63" t="s">
        <v>3</v>
      </c>
      <c r="H580" s="64">
        <v>350</v>
      </c>
      <c r="I580" s="64">
        <v>619</v>
      </c>
      <c r="J580" s="63"/>
      <c r="K580" s="63" t="s">
        <v>4</v>
      </c>
      <c r="L580" s="63"/>
      <c r="M580" s="63"/>
      <c r="N580" s="8" t="str">
        <f t="shared" si="9"/>
        <v>1</v>
      </c>
      <c r="O580" s="8" t="str">
        <f>INDEX(Кат!$H:$H,MATCH($A580,Кат!$A:$A,0))</f>
        <v>Китай БЕСТ ПАРТНЕР</v>
      </c>
    </row>
    <row r="581" spans="1:15" ht="30" x14ac:dyDescent="0.25">
      <c r="A581" s="62">
        <v>224469</v>
      </c>
      <c r="B581" s="62">
        <v>8150</v>
      </c>
      <c r="C581" s="63" t="s">
        <v>89</v>
      </c>
      <c r="D581" s="63" t="s">
        <v>1155</v>
      </c>
      <c r="E581" s="63" t="s">
        <v>1036</v>
      </c>
      <c r="F581" s="63"/>
      <c r="G581" s="63" t="s">
        <v>3</v>
      </c>
      <c r="H581" s="64">
        <v>500</v>
      </c>
      <c r="I581" s="64">
        <v>729</v>
      </c>
      <c r="J581" s="63"/>
      <c r="K581" s="63" t="s">
        <v>4</v>
      </c>
      <c r="L581" s="63"/>
      <c r="M581" s="63"/>
      <c r="N581" s="8" t="str">
        <f t="shared" si="9"/>
        <v>1</v>
      </c>
      <c r="O581" s="8" t="str">
        <f>INDEX(Кат!$H:$H,MATCH($A581,Кат!$A:$A,0))</f>
        <v>Китай БЕСТ ПАРТНЕР</v>
      </c>
    </row>
    <row r="582" spans="1:15" ht="30" x14ac:dyDescent="0.25">
      <c r="A582" s="62">
        <v>224470</v>
      </c>
      <c r="B582" s="62">
        <v>8151</v>
      </c>
      <c r="C582" s="63" t="s">
        <v>90</v>
      </c>
      <c r="D582" s="63" t="s">
        <v>1155</v>
      </c>
      <c r="E582" s="63" t="s">
        <v>1037</v>
      </c>
      <c r="F582" s="63"/>
      <c r="G582" s="63" t="s">
        <v>3</v>
      </c>
      <c r="H582" s="64">
        <v>500</v>
      </c>
      <c r="I582" s="64">
        <v>729</v>
      </c>
      <c r="J582" s="63"/>
      <c r="K582" s="63" t="s">
        <v>4</v>
      </c>
      <c r="L582" s="63"/>
      <c r="M582" s="63"/>
      <c r="N582" s="8" t="str">
        <f t="shared" si="9"/>
        <v>1</v>
      </c>
      <c r="O582" s="8" t="str">
        <f>INDEX(Кат!$H:$H,MATCH($A582,Кат!$A:$A,0))</f>
        <v>Китай БЕСТ ПАРТНЕР</v>
      </c>
    </row>
    <row r="583" spans="1:15" ht="30" x14ac:dyDescent="0.25">
      <c r="A583" s="62">
        <v>224471</v>
      </c>
      <c r="B583" s="62">
        <v>34598</v>
      </c>
      <c r="C583" s="63" t="s">
        <v>272</v>
      </c>
      <c r="D583" s="63" t="s">
        <v>1155</v>
      </c>
      <c r="E583" s="63"/>
      <c r="F583" s="63"/>
      <c r="G583" s="63" t="s">
        <v>3</v>
      </c>
      <c r="H583" s="64">
        <v>300</v>
      </c>
      <c r="I583" s="64">
        <v>529</v>
      </c>
      <c r="J583" s="63"/>
      <c r="K583" s="63" t="s">
        <v>4</v>
      </c>
      <c r="L583" s="63"/>
      <c r="M583" s="63"/>
      <c r="N583" s="8" t="str">
        <f t="shared" si="9"/>
        <v>1</v>
      </c>
      <c r="O583" s="8" t="str">
        <f>INDEX(Кат!$H:$H,MATCH($A583,Кат!$A:$A,0))</f>
        <v>Китай БЕСТ ПАРТНЕР</v>
      </c>
    </row>
    <row r="584" spans="1:15" ht="30" x14ac:dyDescent="0.25">
      <c r="A584" s="62">
        <v>224472</v>
      </c>
      <c r="B584" s="62">
        <v>8126</v>
      </c>
      <c r="C584" s="63" t="s">
        <v>83</v>
      </c>
      <c r="D584" s="63" t="s">
        <v>1155</v>
      </c>
      <c r="E584" s="63" t="s">
        <v>456</v>
      </c>
      <c r="F584" s="63"/>
      <c r="G584" s="63" t="s">
        <v>3</v>
      </c>
      <c r="H584" s="64">
        <v>250</v>
      </c>
      <c r="I584" s="64">
        <v>529</v>
      </c>
      <c r="J584" s="63"/>
      <c r="K584" s="63" t="s">
        <v>4</v>
      </c>
      <c r="L584" s="63"/>
      <c r="M584" s="63"/>
      <c r="N584" s="8" t="str">
        <f t="shared" si="9"/>
        <v>1</v>
      </c>
      <c r="O584" s="8" t="str">
        <f>INDEX(Кат!$H:$H,MATCH($A584,Кат!$A:$A,0))</f>
        <v>Китай БЕСТ ПАРТНЕР</v>
      </c>
    </row>
    <row r="585" spans="1:15" ht="30" x14ac:dyDescent="0.25">
      <c r="A585" s="62">
        <v>224473</v>
      </c>
      <c r="B585" s="62">
        <v>8145</v>
      </c>
      <c r="C585" s="63" t="s">
        <v>87</v>
      </c>
      <c r="D585" s="63" t="s">
        <v>1155</v>
      </c>
      <c r="E585" s="63" t="s">
        <v>1034</v>
      </c>
      <c r="F585" s="63"/>
      <c r="G585" s="63" t="s">
        <v>3</v>
      </c>
      <c r="H585" s="64">
        <v>500</v>
      </c>
      <c r="I585" s="64">
        <v>729</v>
      </c>
      <c r="J585" s="63"/>
      <c r="K585" s="63" t="s">
        <v>4</v>
      </c>
      <c r="L585" s="63"/>
      <c r="M585" s="63"/>
      <c r="N585" s="8" t="str">
        <f t="shared" si="9"/>
        <v>1</v>
      </c>
      <c r="O585" s="8" t="str">
        <f>INDEX(Кат!$H:$H,MATCH($A585,Кат!$A:$A,0))</f>
        <v>Китай БЕСТ ПАРТНЕР</v>
      </c>
    </row>
    <row r="586" spans="1:15" ht="30" x14ac:dyDescent="0.25">
      <c r="A586" s="62">
        <v>224474</v>
      </c>
      <c r="B586" s="62">
        <v>33179</v>
      </c>
      <c r="C586" s="63" t="s">
        <v>276</v>
      </c>
      <c r="D586" s="63" t="s">
        <v>1155</v>
      </c>
      <c r="E586" s="63" t="s">
        <v>277</v>
      </c>
      <c r="F586" s="63" t="s">
        <v>277</v>
      </c>
      <c r="G586" s="63" t="s">
        <v>3</v>
      </c>
      <c r="H586" s="64">
        <v>150</v>
      </c>
      <c r="I586" s="64">
        <v>319</v>
      </c>
      <c r="J586" s="63"/>
      <c r="K586" s="63" t="s">
        <v>4</v>
      </c>
      <c r="L586" s="63"/>
      <c r="M586" s="63"/>
      <c r="N586" s="8" t="str">
        <f t="shared" si="9"/>
        <v>1</v>
      </c>
      <c r="O586" s="8" t="str">
        <f>INDEX(Кат!$H:$H,MATCH($A586,Кат!$A:$A,0))</f>
        <v>Китай БЕСТ ПАРТНЕР</v>
      </c>
    </row>
    <row r="587" spans="1:15" ht="30" x14ac:dyDescent="0.25">
      <c r="A587" s="62">
        <v>226469</v>
      </c>
      <c r="B587" s="62">
        <v>12108</v>
      </c>
      <c r="C587" s="63" t="s">
        <v>360</v>
      </c>
      <c r="D587" s="63" t="s">
        <v>1155</v>
      </c>
      <c r="E587" s="63"/>
      <c r="F587" s="63"/>
      <c r="G587" s="63" t="s">
        <v>3</v>
      </c>
      <c r="H587" s="64">
        <v>4800</v>
      </c>
      <c r="I587" s="64">
        <v>6090</v>
      </c>
      <c r="J587" s="63"/>
      <c r="K587" s="63" t="s">
        <v>1156</v>
      </c>
      <c r="L587" s="63"/>
      <c r="M587" s="63"/>
      <c r="N587" s="8" t="str">
        <f t="shared" si="9"/>
        <v>0</v>
      </c>
      <c r="O587" s="8" t="str">
        <f>INDEX(Кат!$H:$H,MATCH($A587,Кат!$A:$A,0))</f>
        <v>Китай БЕСТ ПАРТНЕР</v>
      </c>
    </row>
    <row r="588" spans="1:15" ht="30" x14ac:dyDescent="0.25">
      <c r="A588" s="62">
        <v>226470</v>
      </c>
      <c r="B588" s="62">
        <v>4820</v>
      </c>
      <c r="C588" s="63" t="s">
        <v>436</v>
      </c>
      <c r="D588" s="63" t="s">
        <v>1155</v>
      </c>
      <c r="E588" s="63"/>
      <c r="F588" s="63"/>
      <c r="G588" s="63" t="s">
        <v>3</v>
      </c>
      <c r="H588" s="64">
        <v>0</v>
      </c>
      <c r="I588" s="64">
        <v>2390</v>
      </c>
      <c r="J588" s="63"/>
      <c r="K588" s="63" t="s">
        <v>1156</v>
      </c>
      <c r="L588" s="63"/>
      <c r="M588" s="63"/>
      <c r="N588" s="8" t="str">
        <f t="shared" si="9"/>
        <v>0</v>
      </c>
      <c r="O588" s="8" t="str">
        <f>INDEX(Кат!$H:$H,MATCH($A588,Кат!$A:$A,0))</f>
        <v>Китай БЕСТ ПАРТНЕР</v>
      </c>
    </row>
    <row r="589" spans="1:15" ht="30" x14ac:dyDescent="0.25">
      <c r="A589" s="62">
        <v>226471</v>
      </c>
      <c r="B589" s="62">
        <v>4819</v>
      </c>
      <c r="C589" s="63" t="s">
        <v>437</v>
      </c>
      <c r="D589" s="63" t="s">
        <v>1155</v>
      </c>
      <c r="E589" s="63"/>
      <c r="F589" s="63"/>
      <c r="G589" s="63" t="s">
        <v>3</v>
      </c>
      <c r="H589" s="64">
        <v>1800</v>
      </c>
      <c r="I589" s="64">
        <v>2390</v>
      </c>
      <c r="J589" s="63"/>
      <c r="K589" s="63" t="s">
        <v>4</v>
      </c>
      <c r="L589" s="63"/>
      <c r="M589" s="63"/>
      <c r="N589" s="8" t="str">
        <f t="shared" si="9"/>
        <v>1</v>
      </c>
      <c r="O589" s="8" t="str">
        <f>INDEX(Кат!$H:$H,MATCH($A589,Кат!$A:$A,0))</f>
        <v>Китай БЕСТ ПАРТНЕР</v>
      </c>
    </row>
    <row r="590" spans="1:15" ht="30" x14ac:dyDescent="0.25">
      <c r="A590" s="62">
        <v>226472</v>
      </c>
      <c r="B590" s="62">
        <v>12107</v>
      </c>
      <c r="C590" s="63" t="s">
        <v>361</v>
      </c>
      <c r="D590" s="63" t="s">
        <v>1155</v>
      </c>
      <c r="E590" s="63"/>
      <c r="F590" s="63"/>
      <c r="G590" s="63" t="s">
        <v>3</v>
      </c>
      <c r="H590" s="64">
        <v>4700</v>
      </c>
      <c r="I590" s="64">
        <v>5990</v>
      </c>
      <c r="J590" s="63"/>
      <c r="K590" s="63" t="s">
        <v>1156</v>
      </c>
      <c r="L590" s="63"/>
      <c r="M590" s="63"/>
      <c r="N590" s="8" t="str">
        <f t="shared" si="9"/>
        <v>0</v>
      </c>
      <c r="O590" s="8" t="str">
        <f>INDEX(Кат!$H:$H,MATCH($A590,Кат!$A:$A,0))</f>
        <v>Китай БЕСТ ПАРТНЕР</v>
      </c>
    </row>
  </sheetData>
  <autoFilter ref="A1:O590" xr:uid="{00000000-0009-0000-0000-000002000000}"/>
  <pageMargins left="0.75" right="0.75" top="1" bottom="1" header="0.5" footer="0.5"/>
  <pageSetup paperSize="9" orientation="portrait" verticalDpi="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68F7D5-781D-4103-8F10-1ABF010F8D71}">
  <sheetPr codeName="Лист6">
    <outlinePr summaryBelow="0"/>
  </sheetPr>
  <dimension ref="A1:R146"/>
  <sheetViews>
    <sheetView showRuler="0" zoomScaleNormal="100" workbookViewId="0">
      <pane ySplit="1" topLeftCell="A2" activePane="bottomLeft" state="frozen"/>
      <selection pane="bottomLeft" activeCell="A3" sqref="A3"/>
    </sheetView>
  </sheetViews>
  <sheetFormatPr defaultRowHeight="15" x14ac:dyDescent="0.25"/>
  <cols>
    <col min="1" max="1" width="45.85546875" style="11" bestFit="1" customWidth="1"/>
    <col min="2" max="2" width="7" style="11" bestFit="1" customWidth="1"/>
    <col min="3" max="3" width="9.42578125" style="11" bestFit="1" customWidth="1"/>
    <col min="4" max="4" width="45" style="11" customWidth="1"/>
    <col min="5" max="5" width="7.5703125" style="11" bestFit="1" customWidth="1"/>
    <col min="6" max="6" width="5.42578125" style="11" customWidth="1"/>
    <col min="7" max="7" width="16.85546875" style="11" bestFit="1" customWidth="1"/>
    <col min="8" max="8" width="14.140625" style="11" bestFit="1" customWidth="1"/>
    <col min="9" max="9" width="13.28515625" style="11" bestFit="1" customWidth="1"/>
    <col min="10" max="10" width="8.42578125" style="11" bestFit="1" customWidth="1"/>
    <col min="11" max="11" width="10.85546875" style="11" bestFit="1" customWidth="1"/>
    <col min="12" max="12" width="39.28515625" style="11" bestFit="1" customWidth="1"/>
    <col min="13" max="13" width="9.5703125" style="11" bestFit="1" customWidth="1"/>
    <col min="14" max="14" width="5.42578125" style="11" bestFit="1" customWidth="1"/>
    <col min="15" max="15" width="8" style="11" bestFit="1" customWidth="1"/>
    <col min="16" max="16" width="4.85546875" style="11" bestFit="1" customWidth="1"/>
    <col min="17" max="17" width="11" style="11" customWidth="1"/>
    <col min="18" max="18" width="8.5703125" style="11" bestFit="1" customWidth="1"/>
    <col min="19" max="16384" width="9.140625" style="11"/>
  </cols>
  <sheetData>
    <row r="1" spans="1:18" s="12" customFormat="1" ht="30" x14ac:dyDescent="0.25">
      <c r="A1" s="65" t="s">
        <v>1279</v>
      </c>
      <c r="B1" s="65" t="s">
        <v>0</v>
      </c>
      <c r="C1" s="65" t="s">
        <v>1242</v>
      </c>
      <c r="D1" s="65" t="s">
        <v>1150</v>
      </c>
      <c r="E1" s="65" t="s">
        <v>1151</v>
      </c>
      <c r="F1" s="65"/>
      <c r="G1" s="65" t="s">
        <v>1276</v>
      </c>
      <c r="H1" s="65" t="s">
        <v>1277</v>
      </c>
      <c r="I1" s="65" t="s">
        <v>1</v>
      </c>
      <c r="J1" s="65" t="s">
        <v>285</v>
      </c>
      <c r="K1" s="65" t="s">
        <v>284</v>
      </c>
      <c r="L1" s="65" t="s">
        <v>813</v>
      </c>
      <c r="M1" s="65" t="s">
        <v>1153</v>
      </c>
      <c r="N1" s="65" t="s">
        <v>1280</v>
      </c>
      <c r="O1" s="65" t="s">
        <v>2</v>
      </c>
      <c r="P1" s="8"/>
      <c r="Q1" s="69"/>
    </row>
    <row r="2" spans="1:18" ht="30" x14ac:dyDescent="0.25">
      <c r="A2" s="67" t="s">
        <v>948</v>
      </c>
      <c r="B2" s="66">
        <v>138535</v>
      </c>
      <c r="C2" s="66">
        <v>79216</v>
      </c>
      <c r="D2" s="67" t="s">
        <v>737</v>
      </c>
      <c r="E2" s="67" t="s">
        <v>1155</v>
      </c>
      <c r="F2" s="67"/>
      <c r="G2" s="67"/>
      <c r="H2" s="67"/>
      <c r="I2" s="67" t="s">
        <v>3</v>
      </c>
      <c r="J2" s="68">
        <v>650</v>
      </c>
      <c r="K2" s="68">
        <v>1090</v>
      </c>
      <c r="L2" s="67"/>
      <c r="M2" s="66">
        <v>0</v>
      </c>
      <c r="N2" s="66"/>
      <c r="O2" s="67"/>
      <c r="P2" s="8" t="str">
        <f>_xlfn.CONCAT(M2,IF(N2&lt;&gt;"",_xlfn.CONCAT("ск",N2),""))</f>
        <v>0</v>
      </c>
      <c r="Q2" s="69" t="str">
        <f>INDEX(Торг!$H:$H,MATCH($B2,Торг!$B:$B,0))</f>
        <v>Китай БЕСТ ПАРТНЕР</v>
      </c>
      <c r="R2" s="11" t="b">
        <f>+EXACT(A2,VLOOKUP(A2,Торг!$A:$A,1,0))</f>
        <v>1</v>
      </c>
    </row>
    <row r="3" spans="1:18" ht="30" x14ac:dyDescent="0.25">
      <c r="A3" s="67" t="s">
        <v>948</v>
      </c>
      <c r="B3" s="66">
        <v>138536</v>
      </c>
      <c r="C3" s="66">
        <v>79217</v>
      </c>
      <c r="D3" s="67" t="s">
        <v>736</v>
      </c>
      <c r="E3" s="67" t="s">
        <v>1155</v>
      </c>
      <c r="F3" s="67"/>
      <c r="G3" s="67"/>
      <c r="H3" s="67"/>
      <c r="I3" s="67" t="s">
        <v>3</v>
      </c>
      <c r="J3" s="68">
        <v>650</v>
      </c>
      <c r="K3" s="68">
        <v>1090</v>
      </c>
      <c r="L3" s="67"/>
      <c r="M3" s="66">
        <v>0</v>
      </c>
      <c r="N3" s="66"/>
      <c r="O3" s="67"/>
      <c r="P3" s="8" t="str">
        <f t="shared" ref="P3:P66" si="0">_xlfn.CONCAT(M3,IF(N3&lt;&gt;"",_xlfn.CONCAT("ск",N3),""))</f>
        <v>0</v>
      </c>
      <c r="Q3" s="69" t="str">
        <f>INDEX(Торг!$H:$H,MATCH($B3,Торг!$B:$B,0))</f>
        <v>Китай БЕСТ ПАРТНЕР</v>
      </c>
      <c r="R3" s="11" t="b">
        <f>+EXACT(A3,VLOOKUP(A3,Торг!$A:$A,1,0))</f>
        <v>1</v>
      </c>
    </row>
    <row r="4" spans="1:18" ht="45" x14ac:dyDescent="0.25">
      <c r="A4" s="67" t="s">
        <v>161</v>
      </c>
      <c r="B4" s="66">
        <v>243499</v>
      </c>
      <c r="C4" s="66">
        <v>182083</v>
      </c>
      <c r="D4" s="67" t="s">
        <v>949</v>
      </c>
      <c r="E4" s="67" t="s">
        <v>1155</v>
      </c>
      <c r="F4" s="67"/>
      <c r="G4" s="67" t="s">
        <v>950</v>
      </c>
      <c r="H4" s="67"/>
      <c r="I4" s="67" t="s">
        <v>3</v>
      </c>
      <c r="J4" s="68">
        <v>2600</v>
      </c>
      <c r="K4" s="68">
        <v>3590</v>
      </c>
      <c r="L4" s="67"/>
      <c r="M4" s="66">
        <v>1</v>
      </c>
      <c r="N4" s="66">
        <v>2</v>
      </c>
      <c r="O4" s="67"/>
      <c r="P4" s="8" t="str">
        <f t="shared" si="0"/>
        <v>1ск2</v>
      </c>
      <c r="Q4" s="69" t="str">
        <f>INDEX(Торг!$H:$H,MATCH($B4,Торг!$B:$B,0))</f>
        <v>Китай БЕСТ ПАРТНЕР</v>
      </c>
      <c r="R4" s="11" t="b">
        <f>+EXACT(A4,VLOOKUP(A4,Торг!$A:$A,1,0))</f>
        <v>1</v>
      </c>
    </row>
    <row r="5" spans="1:18" ht="60" x14ac:dyDescent="0.25">
      <c r="A5" s="67" t="s">
        <v>161</v>
      </c>
      <c r="B5" s="66">
        <v>243500</v>
      </c>
      <c r="C5" s="66">
        <v>182086</v>
      </c>
      <c r="D5" s="67" t="s">
        <v>951</v>
      </c>
      <c r="E5" s="67" t="s">
        <v>1155</v>
      </c>
      <c r="F5" s="67"/>
      <c r="G5" s="67" t="s">
        <v>950</v>
      </c>
      <c r="H5" s="67"/>
      <c r="I5" s="67" t="s">
        <v>3</v>
      </c>
      <c r="J5" s="68">
        <v>3050</v>
      </c>
      <c r="K5" s="68">
        <v>4190</v>
      </c>
      <c r="L5" s="67"/>
      <c r="M5" s="66">
        <v>1</v>
      </c>
      <c r="N5" s="66"/>
      <c r="O5" s="67"/>
      <c r="P5" s="8" t="str">
        <f t="shared" si="0"/>
        <v>1</v>
      </c>
      <c r="Q5" s="69" t="str">
        <f>INDEX(Торг!$H:$H,MATCH($B5,Торг!$B:$B,0))</f>
        <v>Китай БЕСТ ПАРТНЕР</v>
      </c>
      <c r="R5" s="11" t="b">
        <f>+EXACT(A5,VLOOKUP(A5,Торг!$A:$A,1,0))</f>
        <v>1</v>
      </c>
    </row>
    <row r="6" spans="1:18" ht="45" x14ac:dyDescent="0.25">
      <c r="A6" s="67" t="s">
        <v>161</v>
      </c>
      <c r="B6" s="66">
        <v>243501</v>
      </c>
      <c r="C6" s="66">
        <v>182087</v>
      </c>
      <c r="D6" s="67" t="s">
        <v>952</v>
      </c>
      <c r="E6" s="67" t="s">
        <v>1155</v>
      </c>
      <c r="F6" s="67"/>
      <c r="G6" s="67" t="s">
        <v>950</v>
      </c>
      <c r="H6" s="67"/>
      <c r="I6" s="67" t="s">
        <v>3</v>
      </c>
      <c r="J6" s="68">
        <v>3050</v>
      </c>
      <c r="K6" s="68">
        <v>4190</v>
      </c>
      <c r="L6" s="67"/>
      <c r="M6" s="66">
        <v>1</v>
      </c>
      <c r="N6" s="66"/>
      <c r="O6" s="67"/>
      <c r="P6" s="8" t="str">
        <f t="shared" si="0"/>
        <v>1</v>
      </c>
      <c r="Q6" s="69" t="str">
        <f>INDEX(Торг!$H:$H,MATCH($B6,Торг!$B:$B,0))</f>
        <v>Китай БЕСТ ПАРТНЕР</v>
      </c>
      <c r="R6" s="11" t="b">
        <f>+EXACT(A6,VLOOKUP(A6,Торг!$A:$A,1,0))</f>
        <v>1</v>
      </c>
    </row>
    <row r="7" spans="1:18" ht="45" x14ac:dyDescent="0.25">
      <c r="A7" s="67" t="s">
        <v>161</v>
      </c>
      <c r="B7" s="66">
        <v>243502</v>
      </c>
      <c r="C7" s="66">
        <v>182088</v>
      </c>
      <c r="D7" s="67" t="s">
        <v>953</v>
      </c>
      <c r="E7" s="67" t="s">
        <v>1155</v>
      </c>
      <c r="F7" s="67"/>
      <c r="G7" s="67" t="s">
        <v>950</v>
      </c>
      <c r="H7" s="67"/>
      <c r="I7" s="67" t="s">
        <v>3</v>
      </c>
      <c r="J7" s="68">
        <v>3050</v>
      </c>
      <c r="K7" s="68">
        <v>4190</v>
      </c>
      <c r="L7" s="67"/>
      <c r="M7" s="66">
        <v>1</v>
      </c>
      <c r="N7" s="66"/>
      <c r="O7" s="67"/>
      <c r="P7" s="8" t="str">
        <f t="shared" si="0"/>
        <v>1</v>
      </c>
      <c r="Q7" s="69" t="str">
        <f>INDEX(Торг!$H:$H,MATCH($B7,Торг!$B:$B,0))</f>
        <v>Китай БЕСТ ПАРТНЕР</v>
      </c>
      <c r="R7" s="11" t="b">
        <f>+EXACT(A7,VLOOKUP(A7,Торг!$A:$A,1,0))</f>
        <v>1</v>
      </c>
    </row>
    <row r="8" spans="1:18" ht="45" x14ac:dyDescent="0.25">
      <c r="A8" s="67" t="s">
        <v>161</v>
      </c>
      <c r="B8" s="66">
        <v>243503</v>
      </c>
      <c r="C8" s="66">
        <v>182089</v>
      </c>
      <c r="D8" s="67" t="s">
        <v>954</v>
      </c>
      <c r="E8" s="67" t="s">
        <v>1155</v>
      </c>
      <c r="F8" s="67"/>
      <c r="G8" s="67" t="s">
        <v>950</v>
      </c>
      <c r="H8" s="67"/>
      <c r="I8" s="67" t="s">
        <v>3</v>
      </c>
      <c r="J8" s="68">
        <v>3050</v>
      </c>
      <c r="K8" s="68">
        <v>4190</v>
      </c>
      <c r="L8" s="67"/>
      <c r="M8" s="66">
        <v>1</v>
      </c>
      <c r="N8" s="66"/>
      <c r="O8" s="67"/>
      <c r="P8" s="8" t="str">
        <f t="shared" si="0"/>
        <v>1</v>
      </c>
      <c r="Q8" s="69" t="str">
        <f>INDEX(Торг!$H:$H,MATCH($B8,Торг!$B:$B,0))</f>
        <v>Китай БЕСТ ПАРТНЕР</v>
      </c>
      <c r="R8" s="11" t="b">
        <f>+EXACT(A8,VLOOKUP(A8,Торг!$A:$A,1,0))</f>
        <v>1</v>
      </c>
    </row>
    <row r="9" spans="1:18" ht="60" x14ac:dyDescent="0.25">
      <c r="A9" s="67" t="s">
        <v>161</v>
      </c>
      <c r="B9" s="66">
        <v>243504</v>
      </c>
      <c r="C9" s="66">
        <v>182090</v>
      </c>
      <c r="D9" s="67" t="s">
        <v>955</v>
      </c>
      <c r="E9" s="67" t="s">
        <v>1155</v>
      </c>
      <c r="F9" s="67"/>
      <c r="G9" s="67" t="s">
        <v>950</v>
      </c>
      <c r="H9" s="67"/>
      <c r="I9" s="67" t="s">
        <v>3</v>
      </c>
      <c r="J9" s="68">
        <v>3050</v>
      </c>
      <c r="K9" s="68">
        <v>4190</v>
      </c>
      <c r="L9" s="67"/>
      <c r="M9" s="66">
        <v>1</v>
      </c>
      <c r="N9" s="66"/>
      <c r="O9" s="67"/>
      <c r="P9" s="8" t="str">
        <f t="shared" si="0"/>
        <v>1</v>
      </c>
      <c r="Q9" s="69" t="str">
        <f>INDEX(Торг!$H:$H,MATCH($B9,Торг!$B:$B,0))</f>
        <v>Китай БЕСТ ПАРТНЕР</v>
      </c>
      <c r="R9" s="11" t="b">
        <f>+EXACT(A9,VLOOKUP(A9,Торг!$A:$A,1,0))</f>
        <v>1</v>
      </c>
    </row>
    <row r="10" spans="1:18" ht="60" x14ac:dyDescent="0.25">
      <c r="A10" s="67" t="s">
        <v>161</v>
      </c>
      <c r="B10" s="66">
        <v>243505</v>
      </c>
      <c r="C10" s="66">
        <v>182091</v>
      </c>
      <c r="D10" s="67" t="s">
        <v>956</v>
      </c>
      <c r="E10" s="67" t="s">
        <v>1155</v>
      </c>
      <c r="F10" s="67"/>
      <c r="G10" s="67" t="s">
        <v>950</v>
      </c>
      <c r="H10" s="67"/>
      <c r="I10" s="67" t="s">
        <v>3</v>
      </c>
      <c r="J10" s="68">
        <v>3050</v>
      </c>
      <c r="K10" s="68">
        <v>4190</v>
      </c>
      <c r="L10" s="67"/>
      <c r="M10" s="66">
        <v>1</v>
      </c>
      <c r="N10" s="66"/>
      <c r="O10" s="67"/>
      <c r="P10" s="8" t="str">
        <f t="shared" si="0"/>
        <v>1</v>
      </c>
      <c r="Q10" s="69" t="str">
        <f>INDEX(Торг!$H:$H,MATCH($B10,Торг!$B:$B,0))</f>
        <v>Китай БЕСТ ПАРТНЕР</v>
      </c>
      <c r="R10" s="11" t="b">
        <f>+EXACT(A10,VLOOKUP(A10,Торг!$A:$A,1,0))</f>
        <v>1</v>
      </c>
    </row>
    <row r="11" spans="1:18" ht="45" x14ac:dyDescent="0.25">
      <c r="A11" s="67" t="s">
        <v>161</v>
      </c>
      <c r="B11" s="66">
        <v>243506</v>
      </c>
      <c r="C11" s="66">
        <v>182092</v>
      </c>
      <c r="D11" s="67" t="s">
        <v>957</v>
      </c>
      <c r="E11" s="67" t="s">
        <v>1155</v>
      </c>
      <c r="F11" s="67"/>
      <c r="G11" s="67" t="s">
        <v>950</v>
      </c>
      <c r="H11" s="67"/>
      <c r="I11" s="67" t="s">
        <v>3</v>
      </c>
      <c r="J11" s="68">
        <v>3050</v>
      </c>
      <c r="K11" s="68">
        <v>4190</v>
      </c>
      <c r="L11" s="67"/>
      <c r="M11" s="66">
        <v>1</v>
      </c>
      <c r="N11" s="66"/>
      <c r="O11" s="67"/>
      <c r="P11" s="8" t="str">
        <f t="shared" si="0"/>
        <v>1</v>
      </c>
      <c r="Q11" s="69" t="str">
        <f>INDEX(Торг!$H:$H,MATCH($B11,Торг!$B:$B,0))</f>
        <v>Китай БЕСТ ПАРТНЕР</v>
      </c>
      <c r="R11" s="11" t="b">
        <f>+EXACT(A11,VLOOKUP(A11,Торг!$A:$A,1,0))</f>
        <v>1</v>
      </c>
    </row>
    <row r="12" spans="1:18" ht="45" x14ac:dyDescent="0.25">
      <c r="A12" s="67" t="s">
        <v>161</v>
      </c>
      <c r="B12" s="66">
        <v>243507</v>
      </c>
      <c r="C12" s="66">
        <v>182093</v>
      </c>
      <c r="D12" s="67" t="s">
        <v>958</v>
      </c>
      <c r="E12" s="67" t="s">
        <v>1155</v>
      </c>
      <c r="F12" s="67"/>
      <c r="G12" s="67" t="s">
        <v>950</v>
      </c>
      <c r="H12" s="67"/>
      <c r="I12" s="67" t="s">
        <v>3</v>
      </c>
      <c r="J12" s="68">
        <v>3050</v>
      </c>
      <c r="K12" s="68">
        <v>4190</v>
      </c>
      <c r="L12" s="67"/>
      <c r="M12" s="66">
        <v>1</v>
      </c>
      <c r="N12" s="66"/>
      <c r="O12" s="67"/>
      <c r="P12" s="8" t="str">
        <f t="shared" si="0"/>
        <v>1</v>
      </c>
      <c r="Q12" s="69" t="str">
        <f>INDEX(Торг!$H:$H,MATCH($B12,Торг!$B:$B,0))</f>
        <v>Китай БЕСТ ПАРТНЕР</v>
      </c>
      <c r="R12" s="11" t="b">
        <f>+EXACT(A12,VLOOKUP(A12,Торг!$A:$A,1,0))</f>
        <v>1</v>
      </c>
    </row>
    <row r="13" spans="1:18" ht="60" x14ac:dyDescent="0.25">
      <c r="A13" s="67" t="s">
        <v>161</v>
      </c>
      <c r="B13" s="66">
        <v>243508</v>
      </c>
      <c r="C13" s="66">
        <v>182094</v>
      </c>
      <c r="D13" s="67" t="s">
        <v>959</v>
      </c>
      <c r="E13" s="67" t="s">
        <v>1155</v>
      </c>
      <c r="F13" s="67"/>
      <c r="G13" s="67" t="s">
        <v>950</v>
      </c>
      <c r="H13" s="67"/>
      <c r="I13" s="67" t="s">
        <v>3</v>
      </c>
      <c r="J13" s="68">
        <v>3050</v>
      </c>
      <c r="K13" s="68">
        <v>4190</v>
      </c>
      <c r="L13" s="67"/>
      <c r="M13" s="66">
        <v>1</v>
      </c>
      <c r="N13" s="66"/>
      <c r="O13" s="67"/>
      <c r="P13" s="8" t="str">
        <f t="shared" si="0"/>
        <v>1</v>
      </c>
      <c r="Q13" s="69" t="str">
        <f>INDEX(Торг!$H:$H,MATCH($B13,Торг!$B:$B,0))</f>
        <v>Китай БЕСТ ПАРТНЕР</v>
      </c>
      <c r="R13" s="11" t="b">
        <f>+EXACT(A13,VLOOKUP(A13,Торг!$A:$A,1,0))</f>
        <v>1</v>
      </c>
    </row>
    <row r="14" spans="1:18" ht="45" x14ac:dyDescent="0.25">
      <c r="A14" s="67" t="s">
        <v>161</v>
      </c>
      <c r="B14" s="66">
        <v>243509</v>
      </c>
      <c r="C14" s="66">
        <v>182095</v>
      </c>
      <c r="D14" s="67" t="s">
        <v>960</v>
      </c>
      <c r="E14" s="67" t="s">
        <v>1155</v>
      </c>
      <c r="F14" s="67"/>
      <c r="G14" s="67" t="s">
        <v>950</v>
      </c>
      <c r="H14" s="67"/>
      <c r="I14" s="67" t="s">
        <v>3</v>
      </c>
      <c r="J14" s="68">
        <v>3050</v>
      </c>
      <c r="K14" s="68">
        <v>4190</v>
      </c>
      <c r="L14" s="67"/>
      <c r="M14" s="66">
        <v>1</v>
      </c>
      <c r="N14" s="66"/>
      <c r="O14" s="67"/>
      <c r="P14" s="8" t="str">
        <f t="shared" si="0"/>
        <v>1</v>
      </c>
      <c r="Q14" s="69" t="str">
        <f>INDEX(Торг!$H:$H,MATCH($B14,Торг!$B:$B,0))</f>
        <v>Китай БЕСТ ПАРТНЕР</v>
      </c>
      <c r="R14" s="11" t="b">
        <f>+EXACT(A14,VLOOKUP(A14,Торг!$A:$A,1,0))</f>
        <v>1</v>
      </c>
    </row>
    <row r="15" spans="1:18" ht="60" x14ac:dyDescent="0.25">
      <c r="A15" s="67" t="s">
        <v>161</v>
      </c>
      <c r="B15" s="66">
        <v>243510</v>
      </c>
      <c r="C15" s="66">
        <v>182096</v>
      </c>
      <c r="D15" s="67" t="s">
        <v>961</v>
      </c>
      <c r="E15" s="67" t="s">
        <v>1155</v>
      </c>
      <c r="F15" s="67"/>
      <c r="G15" s="67" t="s">
        <v>950</v>
      </c>
      <c r="H15" s="67"/>
      <c r="I15" s="67" t="s">
        <v>3</v>
      </c>
      <c r="J15" s="68">
        <v>3050</v>
      </c>
      <c r="K15" s="68">
        <v>4190</v>
      </c>
      <c r="L15" s="67"/>
      <c r="M15" s="66">
        <v>1</v>
      </c>
      <c r="N15" s="66"/>
      <c r="O15" s="67"/>
      <c r="P15" s="8" t="str">
        <f t="shared" si="0"/>
        <v>1</v>
      </c>
      <c r="Q15" s="69" t="str">
        <f>INDEX(Торг!$H:$H,MATCH($B15,Торг!$B:$B,0))</f>
        <v>Китай БЕСТ ПАРТНЕР</v>
      </c>
      <c r="R15" s="11" t="b">
        <f>+EXACT(A15,VLOOKUP(A15,Торг!$A:$A,1,0))</f>
        <v>1</v>
      </c>
    </row>
    <row r="16" spans="1:18" ht="60" x14ac:dyDescent="0.25">
      <c r="A16" s="67" t="s">
        <v>161</v>
      </c>
      <c r="B16" s="66">
        <v>243511</v>
      </c>
      <c r="C16" s="66">
        <v>182097</v>
      </c>
      <c r="D16" s="67" t="s">
        <v>962</v>
      </c>
      <c r="E16" s="67" t="s">
        <v>1155</v>
      </c>
      <c r="F16" s="67"/>
      <c r="G16" s="67" t="s">
        <v>950</v>
      </c>
      <c r="H16" s="67"/>
      <c r="I16" s="67" t="s">
        <v>3</v>
      </c>
      <c r="J16" s="68">
        <v>3050</v>
      </c>
      <c r="K16" s="68">
        <v>4190</v>
      </c>
      <c r="L16" s="67"/>
      <c r="M16" s="66">
        <v>1</v>
      </c>
      <c r="N16" s="66"/>
      <c r="O16" s="67"/>
      <c r="P16" s="8" t="str">
        <f t="shared" si="0"/>
        <v>1</v>
      </c>
      <c r="Q16" s="69" t="str">
        <f>INDEX(Торг!$H:$H,MATCH($B16,Торг!$B:$B,0))</f>
        <v>Китай БЕСТ ПАРТНЕР</v>
      </c>
      <c r="R16" s="11" t="b">
        <f>+EXACT(A16,VLOOKUP(A16,Торг!$A:$A,1,0))</f>
        <v>1</v>
      </c>
    </row>
    <row r="17" spans="1:18" ht="60" x14ac:dyDescent="0.25">
      <c r="A17" s="67" t="s">
        <v>161</v>
      </c>
      <c r="B17" s="66">
        <v>243512</v>
      </c>
      <c r="C17" s="66">
        <v>182098</v>
      </c>
      <c r="D17" s="67" t="s">
        <v>963</v>
      </c>
      <c r="E17" s="67" t="s">
        <v>1155</v>
      </c>
      <c r="F17" s="67"/>
      <c r="G17" s="67" t="s">
        <v>950</v>
      </c>
      <c r="H17" s="67"/>
      <c r="I17" s="67" t="s">
        <v>3</v>
      </c>
      <c r="J17" s="68">
        <v>3050</v>
      </c>
      <c r="K17" s="68">
        <v>4190</v>
      </c>
      <c r="L17" s="67"/>
      <c r="M17" s="66">
        <v>1</v>
      </c>
      <c r="N17" s="66"/>
      <c r="O17" s="67"/>
      <c r="P17" s="8" t="str">
        <f t="shared" si="0"/>
        <v>1</v>
      </c>
      <c r="Q17" s="69" t="str">
        <f>INDEX(Торг!$H:$H,MATCH($B17,Торг!$B:$B,0))</f>
        <v>Китай БЕСТ ПАРТНЕР</v>
      </c>
      <c r="R17" s="11" t="b">
        <f>+EXACT(A17,VLOOKUP(A17,Торг!$A:$A,1,0))</f>
        <v>1</v>
      </c>
    </row>
    <row r="18" spans="1:18" ht="45" x14ac:dyDescent="0.25">
      <c r="A18" s="67" t="s">
        <v>161</v>
      </c>
      <c r="B18" s="66">
        <v>243513</v>
      </c>
      <c r="C18" s="66">
        <v>182099</v>
      </c>
      <c r="D18" s="67" t="s">
        <v>964</v>
      </c>
      <c r="E18" s="67" t="s">
        <v>1155</v>
      </c>
      <c r="F18" s="67"/>
      <c r="G18" s="67" t="s">
        <v>950</v>
      </c>
      <c r="H18" s="67"/>
      <c r="I18" s="67" t="s">
        <v>3</v>
      </c>
      <c r="J18" s="68">
        <v>3050</v>
      </c>
      <c r="K18" s="68">
        <v>4190</v>
      </c>
      <c r="L18" s="67"/>
      <c r="M18" s="66">
        <v>1</v>
      </c>
      <c r="N18" s="66"/>
      <c r="O18" s="67"/>
      <c r="P18" s="8" t="str">
        <f t="shared" si="0"/>
        <v>1</v>
      </c>
      <c r="Q18" s="69" t="str">
        <f>INDEX(Торг!$H:$H,MATCH($B18,Торг!$B:$B,0))</f>
        <v>Китай БЕСТ ПАРТНЕР</v>
      </c>
      <c r="R18" s="11" t="b">
        <f>+EXACT(A18,VLOOKUP(A18,Торг!$A:$A,1,0))</f>
        <v>1</v>
      </c>
    </row>
    <row r="19" spans="1:18" ht="45" x14ac:dyDescent="0.25">
      <c r="A19" s="67" t="s">
        <v>161</v>
      </c>
      <c r="B19" s="66">
        <v>243514</v>
      </c>
      <c r="C19" s="66">
        <v>182085</v>
      </c>
      <c r="D19" s="67" t="s">
        <v>965</v>
      </c>
      <c r="E19" s="67" t="s">
        <v>1155</v>
      </c>
      <c r="F19" s="67"/>
      <c r="G19" s="67" t="s">
        <v>950</v>
      </c>
      <c r="H19" s="67"/>
      <c r="I19" s="67" t="s">
        <v>3</v>
      </c>
      <c r="J19" s="68">
        <v>3050</v>
      </c>
      <c r="K19" s="68">
        <v>4190</v>
      </c>
      <c r="L19" s="67"/>
      <c r="M19" s="66">
        <v>1</v>
      </c>
      <c r="N19" s="66"/>
      <c r="O19" s="67"/>
      <c r="P19" s="8" t="str">
        <f t="shared" si="0"/>
        <v>1</v>
      </c>
      <c r="Q19" s="69" t="str">
        <f>INDEX(Торг!$H:$H,MATCH($B19,Торг!$B:$B,0))</f>
        <v>Китай БЕСТ ПАРТНЕР</v>
      </c>
      <c r="R19" s="11" t="b">
        <f>+EXACT(A19,VLOOKUP(A19,Торг!$A:$A,1,0))</f>
        <v>1</v>
      </c>
    </row>
    <row r="20" spans="1:18" ht="60" x14ac:dyDescent="0.25">
      <c r="A20" s="67" t="s">
        <v>161</v>
      </c>
      <c r="B20" s="66">
        <v>243515</v>
      </c>
      <c r="C20" s="66">
        <v>182100</v>
      </c>
      <c r="D20" s="67" t="s">
        <v>966</v>
      </c>
      <c r="E20" s="67" t="s">
        <v>1155</v>
      </c>
      <c r="F20" s="67"/>
      <c r="G20" s="67" t="s">
        <v>950</v>
      </c>
      <c r="H20" s="67"/>
      <c r="I20" s="67" t="s">
        <v>3</v>
      </c>
      <c r="J20" s="68">
        <v>3050</v>
      </c>
      <c r="K20" s="68">
        <v>4190</v>
      </c>
      <c r="L20" s="67"/>
      <c r="M20" s="66">
        <v>1</v>
      </c>
      <c r="N20" s="66"/>
      <c r="O20" s="67"/>
      <c r="P20" s="8" t="str">
        <f t="shared" si="0"/>
        <v>1</v>
      </c>
      <c r="Q20" s="69" t="str">
        <f>INDEX(Торг!$H:$H,MATCH($B20,Торг!$B:$B,0))</f>
        <v>Китай БЕСТ ПАРТНЕР</v>
      </c>
      <c r="R20" s="11" t="b">
        <f>+EXACT(A20,VLOOKUP(A20,Торг!$A:$A,1,0))</f>
        <v>1</v>
      </c>
    </row>
    <row r="21" spans="1:18" ht="60" x14ac:dyDescent="0.25">
      <c r="A21" s="67" t="s">
        <v>161</v>
      </c>
      <c r="B21" s="66">
        <v>243516</v>
      </c>
      <c r="C21" s="66">
        <v>182101</v>
      </c>
      <c r="D21" s="67" t="s">
        <v>967</v>
      </c>
      <c r="E21" s="67" t="s">
        <v>1155</v>
      </c>
      <c r="F21" s="67"/>
      <c r="G21" s="67" t="s">
        <v>950</v>
      </c>
      <c r="H21" s="67"/>
      <c r="I21" s="67" t="s">
        <v>3</v>
      </c>
      <c r="J21" s="68">
        <v>3050</v>
      </c>
      <c r="K21" s="68">
        <v>4190</v>
      </c>
      <c r="L21" s="67"/>
      <c r="M21" s="66">
        <v>1</v>
      </c>
      <c r="N21" s="66"/>
      <c r="O21" s="67"/>
      <c r="P21" s="8" t="str">
        <f t="shared" si="0"/>
        <v>1</v>
      </c>
      <c r="Q21" s="69" t="str">
        <f>INDEX(Торг!$H:$H,MATCH($B21,Торг!$B:$B,0))</f>
        <v>Китай БЕСТ ПАРТНЕР</v>
      </c>
      <c r="R21" s="11" t="b">
        <f>+EXACT(A21,VLOOKUP(A21,Торг!$A:$A,1,0))</f>
        <v>1</v>
      </c>
    </row>
    <row r="22" spans="1:18" ht="45" x14ac:dyDescent="0.25">
      <c r="A22" s="67" t="s">
        <v>595</v>
      </c>
      <c r="B22" s="66">
        <v>243517</v>
      </c>
      <c r="C22" s="66">
        <v>182063</v>
      </c>
      <c r="D22" s="67" t="s">
        <v>968</v>
      </c>
      <c r="E22" s="67" t="s">
        <v>1155</v>
      </c>
      <c r="F22" s="67"/>
      <c r="G22" s="67" t="s">
        <v>596</v>
      </c>
      <c r="H22" s="67"/>
      <c r="I22" s="67" t="s">
        <v>3</v>
      </c>
      <c r="J22" s="68">
        <v>2300</v>
      </c>
      <c r="K22" s="68">
        <v>3190</v>
      </c>
      <c r="L22" s="67"/>
      <c r="M22" s="66">
        <v>1</v>
      </c>
      <c r="N22" s="66"/>
      <c r="O22" s="67"/>
      <c r="P22" s="8" t="str">
        <f t="shared" si="0"/>
        <v>1</v>
      </c>
      <c r="Q22" s="69" t="str">
        <f>INDEX(Торг!$H:$H,MATCH($B22,Торг!$B:$B,0))</f>
        <v>Китай БЕСТ ПАРТНЕР</v>
      </c>
      <c r="R22" s="11" t="b">
        <f>+EXACT(A22,VLOOKUP(A22,Торг!$A:$A,1,0))</f>
        <v>1</v>
      </c>
    </row>
    <row r="23" spans="1:18" ht="45" x14ac:dyDescent="0.25">
      <c r="A23" s="67" t="s">
        <v>595</v>
      </c>
      <c r="B23" s="66">
        <v>243518</v>
      </c>
      <c r="C23" s="66">
        <v>182065</v>
      </c>
      <c r="D23" s="67" t="s">
        <v>969</v>
      </c>
      <c r="E23" s="67" t="s">
        <v>1155</v>
      </c>
      <c r="F23" s="67"/>
      <c r="G23" s="67" t="s">
        <v>596</v>
      </c>
      <c r="H23" s="67"/>
      <c r="I23" s="67" t="s">
        <v>3</v>
      </c>
      <c r="J23" s="68">
        <v>2750</v>
      </c>
      <c r="K23" s="68">
        <v>3790</v>
      </c>
      <c r="L23" s="67"/>
      <c r="M23" s="66">
        <v>1</v>
      </c>
      <c r="N23" s="66"/>
      <c r="O23" s="67"/>
      <c r="P23" s="8" t="str">
        <f t="shared" si="0"/>
        <v>1</v>
      </c>
      <c r="Q23" s="69" t="str">
        <f>INDEX(Торг!$H:$H,MATCH($B23,Торг!$B:$B,0))</f>
        <v>Китай БЕСТ ПАРТНЕР</v>
      </c>
      <c r="R23" s="11" t="b">
        <f>+EXACT(A23,VLOOKUP(A23,Торг!$A:$A,1,0))</f>
        <v>1</v>
      </c>
    </row>
    <row r="24" spans="1:18" ht="45" x14ac:dyDescent="0.25">
      <c r="A24" s="67" t="s">
        <v>595</v>
      </c>
      <c r="B24" s="66">
        <v>243519</v>
      </c>
      <c r="C24" s="66">
        <v>182066</v>
      </c>
      <c r="D24" s="67" t="s">
        <v>970</v>
      </c>
      <c r="E24" s="67" t="s">
        <v>1155</v>
      </c>
      <c r="F24" s="67"/>
      <c r="G24" s="67" t="s">
        <v>596</v>
      </c>
      <c r="H24" s="67"/>
      <c r="I24" s="67" t="s">
        <v>3</v>
      </c>
      <c r="J24" s="68">
        <v>2750</v>
      </c>
      <c r="K24" s="68">
        <v>3790</v>
      </c>
      <c r="L24" s="67"/>
      <c r="M24" s="66">
        <v>1</v>
      </c>
      <c r="N24" s="66"/>
      <c r="O24" s="67"/>
      <c r="P24" s="8" t="str">
        <f t="shared" si="0"/>
        <v>1</v>
      </c>
      <c r="Q24" s="69" t="str">
        <f>INDEX(Торг!$H:$H,MATCH($B24,Торг!$B:$B,0))</f>
        <v>Китай БЕСТ ПАРТНЕР</v>
      </c>
      <c r="R24" s="11" t="b">
        <f>+EXACT(A24,VLOOKUP(A24,Торг!$A:$A,1,0))</f>
        <v>1</v>
      </c>
    </row>
    <row r="25" spans="1:18" ht="45" x14ac:dyDescent="0.25">
      <c r="A25" s="67" t="s">
        <v>595</v>
      </c>
      <c r="B25" s="66">
        <v>243520</v>
      </c>
      <c r="C25" s="66">
        <v>182067</v>
      </c>
      <c r="D25" s="67" t="s">
        <v>971</v>
      </c>
      <c r="E25" s="67" t="s">
        <v>1155</v>
      </c>
      <c r="F25" s="67"/>
      <c r="G25" s="67" t="s">
        <v>596</v>
      </c>
      <c r="H25" s="67"/>
      <c r="I25" s="67" t="s">
        <v>3</v>
      </c>
      <c r="J25" s="68">
        <v>2750</v>
      </c>
      <c r="K25" s="68">
        <v>3790</v>
      </c>
      <c r="L25" s="67"/>
      <c r="M25" s="66">
        <v>1</v>
      </c>
      <c r="N25" s="66"/>
      <c r="O25" s="67"/>
      <c r="P25" s="8" t="str">
        <f t="shared" si="0"/>
        <v>1</v>
      </c>
      <c r="Q25" s="69" t="str">
        <f>INDEX(Торг!$H:$H,MATCH($B25,Торг!$B:$B,0))</f>
        <v>Китай БЕСТ ПАРТНЕР</v>
      </c>
      <c r="R25" s="11" t="b">
        <f>+EXACT(A25,VLOOKUP(A25,Торг!$A:$A,1,0))</f>
        <v>1</v>
      </c>
    </row>
    <row r="26" spans="1:18" ht="45" x14ac:dyDescent="0.25">
      <c r="A26" s="67" t="s">
        <v>595</v>
      </c>
      <c r="B26" s="66">
        <v>243521</v>
      </c>
      <c r="C26" s="66">
        <v>182068</v>
      </c>
      <c r="D26" s="67" t="s">
        <v>972</v>
      </c>
      <c r="E26" s="67" t="s">
        <v>1155</v>
      </c>
      <c r="F26" s="67"/>
      <c r="G26" s="67" t="s">
        <v>596</v>
      </c>
      <c r="H26" s="67"/>
      <c r="I26" s="67" t="s">
        <v>3</v>
      </c>
      <c r="J26" s="68">
        <v>2750</v>
      </c>
      <c r="K26" s="68">
        <v>3790</v>
      </c>
      <c r="L26" s="67"/>
      <c r="M26" s="66">
        <v>1</v>
      </c>
      <c r="N26" s="66"/>
      <c r="O26" s="67"/>
      <c r="P26" s="8" t="str">
        <f t="shared" si="0"/>
        <v>1</v>
      </c>
      <c r="Q26" s="69" t="str">
        <f>INDEX(Торг!$H:$H,MATCH($B26,Торг!$B:$B,0))</f>
        <v>Китай БЕСТ ПАРТНЕР</v>
      </c>
      <c r="R26" s="11" t="b">
        <f>+EXACT(A26,VLOOKUP(A26,Торг!$A:$A,1,0))</f>
        <v>1</v>
      </c>
    </row>
    <row r="27" spans="1:18" ht="45" x14ac:dyDescent="0.25">
      <c r="A27" s="67" t="s">
        <v>595</v>
      </c>
      <c r="B27" s="66">
        <v>243522</v>
      </c>
      <c r="C27" s="66">
        <v>182069</v>
      </c>
      <c r="D27" s="67" t="s">
        <v>973</v>
      </c>
      <c r="E27" s="67" t="s">
        <v>1155</v>
      </c>
      <c r="F27" s="67"/>
      <c r="G27" s="67" t="s">
        <v>596</v>
      </c>
      <c r="H27" s="67"/>
      <c r="I27" s="67" t="s">
        <v>3</v>
      </c>
      <c r="J27" s="68">
        <v>2750</v>
      </c>
      <c r="K27" s="68">
        <v>3790</v>
      </c>
      <c r="L27" s="67"/>
      <c r="M27" s="66">
        <v>1</v>
      </c>
      <c r="N27" s="66"/>
      <c r="O27" s="67"/>
      <c r="P27" s="8" t="str">
        <f t="shared" si="0"/>
        <v>1</v>
      </c>
      <c r="Q27" s="69" t="str">
        <f>INDEX(Торг!$H:$H,MATCH($B27,Торг!$B:$B,0))</f>
        <v>Китай БЕСТ ПАРТНЕР</v>
      </c>
      <c r="R27" s="11" t="b">
        <f>+EXACT(A27,VLOOKUP(A27,Торг!$A:$A,1,0))</f>
        <v>1</v>
      </c>
    </row>
    <row r="28" spans="1:18" ht="45" x14ac:dyDescent="0.25">
      <c r="A28" s="67" t="s">
        <v>595</v>
      </c>
      <c r="B28" s="66">
        <v>243523</v>
      </c>
      <c r="C28" s="66">
        <v>182070</v>
      </c>
      <c r="D28" s="67" t="s">
        <v>974</v>
      </c>
      <c r="E28" s="67" t="s">
        <v>1155</v>
      </c>
      <c r="F28" s="67"/>
      <c r="G28" s="67" t="s">
        <v>596</v>
      </c>
      <c r="H28" s="67"/>
      <c r="I28" s="67" t="s">
        <v>3</v>
      </c>
      <c r="J28" s="68">
        <v>2750</v>
      </c>
      <c r="K28" s="68">
        <v>3790</v>
      </c>
      <c r="L28" s="67"/>
      <c r="M28" s="66">
        <v>1</v>
      </c>
      <c r="N28" s="66"/>
      <c r="O28" s="67"/>
      <c r="P28" s="8" t="str">
        <f t="shared" si="0"/>
        <v>1</v>
      </c>
      <c r="Q28" s="69" t="str">
        <f>INDEX(Торг!$H:$H,MATCH($B28,Торг!$B:$B,0))</f>
        <v>Китай БЕСТ ПАРТНЕР</v>
      </c>
      <c r="R28" s="11" t="b">
        <f>+EXACT(A28,VLOOKUP(A28,Торг!$A:$A,1,0))</f>
        <v>1</v>
      </c>
    </row>
    <row r="29" spans="1:18" ht="45" x14ac:dyDescent="0.25">
      <c r="A29" s="67" t="s">
        <v>595</v>
      </c>
      <c r="B29" s="66">
        <v>243524</v>
      </c>
      <c r="C29" s="66">
        <v>182071</v>
      </c>
      <c r="D29" s="67" t="s">
        <v>975</v>
      </c>
      <c r="E29" s="67" t="s">
        <v>1155</v>
      </c>
      <c r="F29" s="67"/>
      <c r="G29" s="67" t="s">
        <v>596</v>
      </c>
      <c r="H29" s="67"/>
      <c r="I29" s="67" t="s">
        <v>3</v>
      </c>
      <c r="J29" s="68">
        <v>2750</v>
      </c>
      <c r="K29" s="68">
        <v>3790</v>
      </c>
      <c r="L29" s="67"/>
      <c r="M29" s="66">
        <v>1</v>
      </c>
      <c r="N29" s="66"/>
      <c r="O29" s="67"/>
      <c r="P29" s="8" t="str">
        <f t="shared" si="0"/>
        <v>1</v>
      </c>
      <c r="Q29" s="69" t="str">
        <f>INDEX(Торг!$H:$H,MATCH($B29,Торг!$B:$B,0))</f>
        <v>Китай БЕСТ ПАРТНЕР</v>
      </c>
      <c r="R29" s="11" t="b">
        <f>+EXACT(A29,VLOOKUP(A29,Торг!$A:$A,1,0))</f>
        <v>1</v>
      </c>
    </row>
    <row r="30" spans="1:18" ht="45" x14ac:dyDescent="0.25">
      <c r="A30" s="67" t="s">
        <v>595</v>
      </c>
      <c r="B30" s="66">
        <v>243525</v>
      </c>
      <c r="C30" s="66">
        <v>182072</v>
      </c>
      <c r="D30" s="67" t="s">
        <v>976</v>
      </c>
      <c r="E30" s="67" t="s">
        <v>1155</v>
      </c>
      <c r="F30" s="67"/>
      <c r="G30" s="67" t="s">
        <v>596</v>
      </c>
      <c r="H30" s="67"/>
      <c r="I30" s="67" t="s">
        <v>3</v>
      </c>
      <c r="J30" s="68">
        <v>2750</v>
      </c>
      <c r="K30" s="68">
        <v>3790</v>
      </c>
      <c r="L30" s="67"/>
      <c r="M30" s="66">
        <v>1</v>
      </c>
      <c r="N30" s="66"/>
      <c r="O30" s="67"/>
      <c r="P30" s="8" t="str">
        <f t="shared" si="0"/>
        <v>1</v>
      </c>
      <c r="Q30" s="69" t="str">
        <f>INDEX(Торг!$H:$H,MATCH($B30,Торг!$B:$B,0))</f>
        <v>Китай БЕСТ ПАРТНЕР</v>
      </c>
      <c r="R30" s="11" t="b">
        <f>+EXACT(A30,VLOOKUP(A30,Торг!$A:$A,1,0))</f>
        <v>1</v>
      </c>
    </row>
    <row r="31" spans="1:18" ht="45" x14ac:dyDescent="0.25">
      <c r="A31" s="67" t="s">
        <v>595</v>
      </c>
      <c r="B31" s="66">
        <v>243526</v>
      </c>
      <c r="C31" s="66">
        <v>182073</v>
      </c>
      <c r="D31" s="67" t="s">
        <v>977</v>
      </c>
      <c r="E31" s="67" t="s">
        <v>1155</v>
      </c>
      <c r="F31" s="67"/>
      <c r="G31" s="67" t="s">
        <v>596</v>
      </c>
      <c r="H31" s="67"/>
      <c r="I31" s="67" t="s">
        <v>3</v>
      </c>
      <c r="J31" s="68">
        <v>2750</v>
      </c>
      <c r="K31" s="68">
        <v>3790</v>
      </c>
      <c r="L31" s="67"/>
      <c r="M31" s="66">
        <v>1</v>
      </c>
      <c r="N31" s="66"/>
      <c r="O31" s="67"/>
      <c r="P31" s="8" t="str">
        <f t="shared" si="0"/>
        <v>1</v>
      </c>
      <c r="Q31" s="69" t="str">
        <f>INDEX(Торг!$H:$H,MATCH($B31,Торг!$B:$B,0))</f>
        <v>Китай БЕСТ ПАРТНЕР</v>
      </c>
      <c r="R31" s="11" t="b">
        <f>+EXACT(A31,VLOOKUP(A31,Торг!$A:$A,1,0))</f>
        <v>1</v>
      </c>
    </row>
    <row r="32" spans="1:18" ht="45" x14ac:dyDescent="0.25">
      <c r="A32" s="67" t="s">
        <v>595</v>
      </c>
      <c r="B32" s="66">
        <v>243527</v>
      </c>
      <c r="C32" s="66">
        <v>182074</v>
      </c>
      <c r="D32" s="67" t="s">
        <v>978</v>
      </c>
      <c r="E32" s="67" t="s">
        <v>1155</v>
      </c>
      <c r="F32" s="67"/>
      <c r="G32" s="67" t="s">
        <v>596</v>
      </c>
      <c r="H32" s="67"/>
      <c r="I32" s="67" t="s">
        <v>3</v>
      </c>
      <c r="J32" s="68">
        <v>2750</v>
      </c>
      <c r="K32" s="68">
        <v>3790</v>
      </c>
      <c r="L32" s="67"/>
      <c r="M32" s="66">
        <v>1</v>
      </c>
      <c r="N32" s="66"/>
      <c r="O32" s="67"/>
      <c r="P32" s="8" t="str">
        <f t="shared" si="0"/>
        <v>1</v>
      </c>
      <c r="Q32" s="69" t="str">
        <f>INDEX(Торг!$H:$H,MATCH($B32,Торг!$B:$B,0))</f>
        <v>Китай БЕСТ ПАРТНЕР</v>
      </c>
      <c r="R32" s="11" t="b">
        <f>+EXACT(A32,VLOOKUP(A32,Торг!$A:$A,1,0))</f>
        <v>1</v>
      </c>
    </row>
    <row r="33" spans="1:18" ht="45" x14ac:dyDescent="0.25">
      <c r="A33" s="67" t="s">
        <v>595</v>
      </c>
      <c r="B33" s="66">
        <v>243528</v>
      </c>
      <c r="C33" s="66">
        <v>182075</v>
      </c>
      <c r="D33" s="67" t="s">
        <v>979</v>
      </c>
      <c r="E33" s="67" t="s">
        <v>1155</v>
      </c>
      <c r="F33" s="67"/>
      <c r="G33" s="67" t="s">
        <v>596</v>
      </c>
      <c r="H33" s="67"/>
      <c r="I33" s="67" t="s">
        <v>3</v>
      </c>
      <c r="J33" s="68">
        <v>2750</v>
      </c>
      <c r="K33" s="68">
        <v>3790</v>
      </c>
      <c r="L33" s="67"/>
      <c r="M33" s="66">
        <v>1</v>
      </c>
      <c r="N33" s="66"/>
      <c r="O33" s="67"/>
      <c r="P33" s="8" t="str">
        <f t="shared" si="0"/>
        <v>1</v>
      </c>
      <c r="Q33" s="69" t="str">
        <f>INDEX(Торг!$H:$H,MATCH($B33,Торг!$B:$B,0))</f>
        <v>Китай БЕСТ ПАРТНЕР</v>
      </c>
      <c r="R33" s="11" t="b">
        <f>+EXACT(A33,VLOOKUP(A33,Торг!$A:$A,1,0))</f>
        <v>1</v>
      </c>
    </row>
    <row r="34" spans="1:18" ht="45" x14ac:dyDescent="0.25">
      <c r="A34" s="67" t="s">
        <v>595</v>
      </c>
      <c r="B34" s="66">
        <v>243529</v>
      </c>
      <c r="C34" s="66">
        <v>182076</v>
      </c>
      <c r="D34" s="67" t="s">
        <v>980</v>
      </c>
      <c r="E34" s="67" t="s">
        <v>1155</v>
      </c>
      <c r="F34" s="67"/>
      <c r="G34" s="67" t="s">
        <v>596</v>
      </c>
      <c r="H34" s="67"/>
      <c r="I34" s="67" t="s">
        <v>3</v>
      </c>
      <c r="J34" s="68">
        <v>2750</v>
      </c>
      <c r="K34" s="68">
        <v>3790</v>
      </c>
      <c r="L34" s="67"/>
      <c r="M34" s="66">
        <v>1</v>
      </c>
      <c r="N34" s="66"/>
      <c r="O34" s="67"/>
      <c r="P34" s="8" t="str">
        <f t="shared" si="0"/>
        <v>1</v>
      </c>
      <c r="Q34" s="69" t="str">
        <f>INDEX(Торг!$H:$H,MATCH($B34,Торг!$B:$B,0))</f>
        <v>Китай БЕСТ ПАРТНЕР</v>
      </c>
      <c r="R34" s="11" t="b">
        <f>+EXACT(A34,VLOOKUP(A34,Торг!$A:$A,1,0))</f>
        <v>1</v>
      </c>
    </row>
    <row r="35" spans="1:18" ht="45" x14ac:dyDescent="0.25">
      <c r="A35" s="67" t="s">
        <v>595</v>
      </c>
      <c r="B35" s="66">
        <v>243530</v>
      </c>
      <c r="C35" s="66">
        <v>182077</v>
      </c>
      <c r="D35" s="67" t="s">
        <v>981</v>
      </c>
      <c r="E35" s="67" t="s">
        <v>1155</v>
      </c>
      <c r="F35" s="67"/>
      <c r="G35" s="67" t="s">
        <v>596</v>
      </c>
      <c r="H35" s="67"/>
      <c r="I35" s="67" t="s">
        <v>3</v>
      </c>
      <c r="J35" s="68">
        <v>2750</v>
      </c>
      <c r="K35" s="68">
        <v>3790</v>
      </c>
      <c r="L35" s="67"/>
      <c r="M35" s="66">
        <v>1</v>
      </c>
      <c r="N35" s="66"/>
      <c r="O35" s="67"/>
      <c r="P35" s="8" t="str">
        <f t="shared" si="0"/>
        <v>1</v>
      </c>
      <c r="Q35" s="69" t="str">
        <f>INDEX(Торг!$H:$H,MATCH($B35,Торг!$B:$B,0))</f>
        <v>Китай БЕСТ ПАРТНЕР</v>
      </c>
      <c r="R35" s="11" t="b">
        <f>+EXACT(A35,VLOOKUP(A35,Торг!$A:$A,1,0))</f>
        <v>1</v>
      </c>
    </row>
    <row r="36" spans="1:18" ht="45" x14ac:dyDescent="0.25">
      <c r="A36" s="67" t="s">
        <v>595</v>
      </c>
      <c r="B36" s="66">
        <v>243531</v>
      </c>
      <c r="C36" s="66">
        <v>182078</v>
      </c>
      <c r="D36" s="67" t="s">
        <v>982</v>
      </c>
      <c r="E36" s="67" t="s">
        <v>1155</v>
      </c>
      <c r="F36" s="67"/>
      <c r="G36" s="67" t="s">
        <v>596</v>
      </c>
      <c r="H36" s="67"/>
      <c r="I36" s="67" t="s">
        <v>3</v>
      </c>
      <c r="J36" s="68">
        <v>2750</v>
      </c>
      <c r="K36" s="68">
        <v>3790</v>
      </c>
      <c r="L36" s="67"/>
      <c r="M36" s="66">
        <v>1</v>
      </c>
      <c r="N36" s="66"/>
      <c r="O36" s="67"/>
      <c r="P36" s="8" t="str">
        <f t="shared" si="0"/>
        <v>1</v>
      </c>
      <c r="Q36" s="69" t="str">
        <f>INDEX(Торг!$H:$H,MATCH($B36,Торг!$B:$B,0))</f>
        <v>Китай БЕСТ ПАРТНЕР</v>
      </c>
      <c r="R36" s="11" t="b">
        <f>+EXACT(A36,VLOOKUP(A36,Торг!$A:$A,1,0))</f>
        <v>1</v>
      </c>
    </row>
    <row r="37" spans="1:18" ht="45" x14ac:dyDescent="0.25">
      <c r="A37" s="67" t="s">
        <v>595</v>
      </c>
      <c r="B37" s="66">
        <v>243532</v>
      </c>
      <c r="C37" s="66">
        <v>182064</v>
      </c>
      <c r="D37" s="67" t="s">
        <v>983</v>
      </c>
      <c r="E37" s="67" t="s">
        <v>1155</v>
      </c>
      <c r="F37" s="67"/>
      <c r="G37" s="67" t="s">
        <v>596</v>
      </c>
      <c r="H37" s="67"/>
      <c r="I37" s="67" t="s">
        <v>3</v>
      </c>
      <c r="J37" s="68">
        <v>2750</v>
      </c>
      <c r="K37" s="68">
        <v>3790</v>
      </c>
      <c r="L37" s="67"/>
      <c r="M37" s="66">
        <v>1</v>
      </c>
      <c r="N37" s="66"/>
      <c r="O37" s="67"/>
      <c r="P37" s="8" t="str">
        <f t="shared" si="0"/>
        <v>1</v>
      </c>
      <c r="Q37" s="69" t="str">
        <f>INDEX(Торг!$H:$H,MATCH($B37,Торг!$B:$B,0))</f>
        <v>Китай БЕСТ ПАРТНЕР</v>
      </c>
      <c r="R37" s="11" t="b">
        <f>+EXACT(A37,VLOOKUP(A37,Торг!$A:$A,1,0))</f>
        <v>1</v>
      </c>
    </row>
    <row r="38" spans="1:18" ht="45" x14ac:dyDescent="0.25">
      <c r="A38" s="67" t="s">
        <v>595</v>
      </c>
      <c r="B38" s="66">
        <v>243533</v>
      </c>
      <c r="C38" s="66">
        <v>182079</v>
      </c>
      <c r="D38" s="67" t="s">
        <v>984</v>
      </c>
      <c r="E38" s="67" t="s">
        <v>1155</v>
      </c>
      <c r="F38" s="67"/>
      <c r="G38" s="67" t="s">
        <v>596</v>
      </c>
      <c r="H38" s="67"/>
      <c r="I38" s="67" t="s">
        <v>3</v>
      </c>
      <c r="J38" s="68">
        <v>2750</v>
      </c>
      <c r="K38" s="68">
        <v>3790</v>
      </c>
      <c r="L38" s="67"/>
      <c r="M38" s="66">
        <v>1</v>
      </c>
      <c r="N38" s="66"/>
      <c r="O38" s="67"/>
      <c r="P38" s="8" t="str">
        <f t="shared" si="0"/>
        <v>1</v>
      </c>
      <c r="Q38" s="69" t="str">
        <f>INDEX(Торг!$H:$H,MATCH($B38,Торг!$B:$B,0))</f>
        <v>Китай БЕСТ ПАРТНЕР</v>
      </c>
      <c r="R38" s="11" t="b">
        <f>+EXACT(A38,VLOOKUP(A38,Торг!$A:$A,1,0))</f>
        <v>1</v>
      </c>
    </row>
    <row r="39" spans="1:18" ht="45" x14ac:dyDescent="0.25">
      <c r="A39" s="67" t="s">
        <v>595</v>
      </c>
      <c r="B39" s="66">
        <v>243534</v>
      </c>
      <c r="C39" s="66">
        <v>182080</v>
      </c>
      <c r="D39" s="67" t="s">
        <v>985</v>
      </c>
      <c r="E39" s="67" t="s">
        <v>1155</v>
      </c>
      <c r="F39" s="67"/>
      <c r="G39" s="67" t="s">
        <v>596</v>
      </c>
      <c r="H39" s="67"/>
      <c r="I39" s="67" t="s">
        <v>3</v>
      </c>
      <c r="J39" s="68">
        <v>2750</v>
      </c>
      <c r="K39" s="68">
        <v>3790</v>
      </c>
      <c r="L39" s="67"/>
      <c r="M39" s="66">
        <v>1</v>
      </c>
      <c r="N39" s="66"/>
      <c r="O39" s="67"/>
      <c r="P39" s="8" t="str">
        <f t="shared" si="0"/>
        <v>1</v>
      </c>
      <c r="Q39" s="69" t="str">
        <f>INDEX(Торг!$H:$H,MATCH($B39,Торг!$B:$B,0))</f>
        <v>Китай БЕСТ ПАРТНЕР</v>
      </c>
      <c r="R39" s="11" t="b">
        <f>+EXACT(A39,VLOOKUP(A39,Торг!$A:$A,1,0))</f>
        <v>1</v>
      </c>
    </row>
    <row r="40" spans="1:18" ht="45" x14ac:dyDescent="0.25">
      <c r="A40" s="67" t="s">
        <v>1520</v>
      </c>
      <c r="B40" s="66">
        <v>363991</v>
      </c>
      <c r="C40" s="66">
        <v>363991</v>
      </c>
      <c r="D40" s="67" t="s">
        <v>1521</v>
      </c>
      <c r="E40" s="67" t="s">
        <v>1155</v>
      </c>
      <c r="F40" s="67"/>
      <c r="G40" s="67" t="s">
        <v>656</v>
      </c>
      <c r="H40" s="67"/>
      <c r="I40" s="67" t="s">
        <v>3</v>
      </c>
      <c r="J40" s="68">
        <v>100</v>
      </c>
      <c r="K40" s="68">
        <v>319</v>
      </c>
      <c r="L40" s="67" t="s">
        <v>904</v>
      </c>
      <c r="M40" s="66">
        <v>1</v>
      </c>
      <c r="N40" s="66"/>
      <c r="O40" s="67"/>
      <c r="P40" s="8" t="str">
        <f t="shared" si="0"/>
        <v>1</v>
      </c>
      <c r="Q40" s="69" t="str">
        <f>INDEX(Торг!$H:$H,MATCH($B40,Торг!$B:$B,0))</f>
        <v>Китай БЕСТ ПАРТНЕР</v>
      </c>
      <c r="R40" s="11" t="b">
        <f>+EXACT(A40,VLOOKUP(A40,Торг!$A:$A,1,0))</f>
        <v>1</v>
      </c>
    </row>
    <row r="41" spans="1:18" ht="30" x14ac:dyDescent="0.25">
      <c r="A41" s="67" t="s">
        <v>1520</v>
      </c>
      <c r="B41" s="66">
        <v>363992</v>
      </c>
      <c r="C41" s="66">
        <v>363992</v>
      </c>
      <c r="D41" s="67" t="s">
        <v>1522</v>
      </c>
      <c r="E41" s="67" t="s">
        <v>1155</v>
      </c>
      <c r="F41" s="67"/>
      <c r="G41" s="67" t="s">
        <v>656</v>
      </c>
      <c r="H41" s="67"/>
      <c r="I41" s="67" t="s">
        <v>3</v>
      </c>
      <c r="J41" s="68">
        <v>100</v>
      </c>
      <c r="K41" s="68">
        <v>319</v>
      </c>
      <c r="L41" s="67"/>
      <c r="M41" s="66">
        <v>1</v>
      </c>
      <c r="N41" s="66"/>
      <c r="O41" s="67"/>
      <c r="P41" s="8" t="str">
        <f t="shared" si="0"/>
        <v>1</v>
      </c>
      <c r="Q41" s="69" t="str">
        <f>INDEX(Торг!$H:$H,MATCH($B41,Торг!$B:$B,0))</f>
        <v>Китай БЕСТ ПАРТНЕР</v>
      </c>
      <c r="R41" s="11" t="b">
        <f>+EXACT(A41,VLOOKUP(A41,Торг!$A:$A,1,0))</f>
        <v>1</v>
      </c>
    </row>
    <row r="42" spans="1:18" ht="45" x14ac:dyDescent="0.25">
      <c r="A42" s="67" t="s">
        <v>1520</v>
      </c>
      <c r="B42" s="66">
        <v>363993</v>
      </c>
      <c r="C42" s="66">
        <v>363993</v>
      </c>
      <c r="D42" s="67" t="s">
        <v>1523</v>
      </c>
      <c r="E42" s="67" t="s">
        <v>1155</v>
      </c>
      <c r="F42" s="67"/>
      <c r="G42" s="67" t="s">
        <v>656</v>
      </c>
      <c r="H42" s="67"/>
      <c r="I42" s="67" t="s">
        <v>3</v>
      </c>
      <c r="J42" s="68">
        <v>100</v>
      </c>
      <c r="K42" s="68">
        <v>319</v>
      </c>
      <c r="L42" s="67" t="s">
        <v>903</v>
      </c>
      <c r="M42" s="66">
        <v>1</v>
      </c>
      <c r="N42" s="66"/>
      <c r="O42" s="67"/>
      <c r="P42" s="8" t="str">
        <f t="shared" si="0"/>
        <v>1</v>
      </c>
      <c r="Q42" s="69" t="str">
        <f>INDEX(Торг!$H:$H,MATCH($B42,Торг!$B:$B,0))</f>
        <v>Китай БЕСТ ПАРТНЕР</v>
      </c>
      <c r="R42" s="11" t="b">
        <f>+EXACT(A42,VLOOKUP(A42,Торг!$A:$A,1,0))</f>
        <v>1</v>
      </c>
    </row>
    <row r="43" spans="1:18" ht="75" x14ac:dyDescent="0.25">
      <c r="A43" s="67" t="s">
        <v>1386</v>
      </c>
      <c r="B43" s="66">
        <v>357798</v>
      </c>
      <c r="C43" s="66">
        <v>357798</v>
      </c>
      <c r="D43" s="67" t="s">
        <v>1387</v>
      </c>
      <c r="E43" s="67" t="s">
        <v>1155</v>
      </c>
      <c r="F43" s="67"/>
      <c r="G43" s="67"/>
      <c r="H43" s="67"/>
      <c r="I43" s="67" t="s">
        <v>3</v>
      </c>
      <c r="J43" s="68">
        <v>600</v>
      </c>
      <c r="K43" s="68">
        <v>939</v>
      </c>
      <c r="L43" s="67"/>
      <c r="M43" s="66">
        <v>1</v>
      </c>
      <c r="N43" s="66"/>
      <c r="O43" s="67"/>
      <c r="P43" s="8" t="str">
        <f t="shared" si="0"/>
        <v>1</v>
      </c>
      <c r="Q43" s="69" t="str">
        <f>INDEX(Торг!$H:$H,MATCH($B43,Торг!$B:$B,0))</f>
        <v>Китай БЕСТ ПАРТНЕР</v>
      </c>
      <c r="R43" s="11" t="b">
        <f>+EXACT(A43,VLOOKUP(A43,Торг!$A:$A,1,0))</f>
        <v>1</v>
      </c>
    </row>
    <row r="44" spans="1:18" ht="75" x14ac:dyDescent="0.25">
      <c r="A44" s="67" t="s">
        <v>1386</v>
      </c>
      <c r="B44" s="66">
        <v>357795</v>
      </c>
      <c r="C44" s="66">
        <v>357795</v>
      </c>
      <c r="D44" s="67" t="s">
        <v>1388</v>
      </c>
      <c r="E44" s="67" t="s">
        <v>1155</v>
      </c>
      <c r="F44" s="67"/>
      <c r="G44" s="67" t="s">
        <v>598</v>
      </c>
      <c r="H44" s="67"/>
      <c r="I44" s="67" t="s">
        <v>3</v>
      </c>
      <c r="J44" s="68">
        <v>600</v>
      </c>
      <c r="K44" s="68">
        <v>939</v>
      </c>
      <c r="L44" s="67"/>
      <c r="M44" s="66">
        <v>1</v>
      </c>
      <c r="N44" s="66"/>
      <c r="O44" s="67"/>
      <c r="P44" s="8" t="str">
        <f t="shared" si="0"/>
        <v>1</v>
      </c>
      <c r="Q44" s="69" t="str">
        <f>INDEX(Торг!$H:$H,MATCH($B44,Торг!$B:$B,0))</f>
        <v>Китай БЕСТ ПАРТНЕР</v>
      </c>
      <c r="R44" s="11" t="b">
        <f>+EXACT(A44,VLOOKUP(A44,Торг!$A:$A,1,0))</f>
        <v>1</v>
      </c>
    </row>
    <row r="45" spans="1:18" ht="75" x14ac:dyDescent="0.25">
      <c r="A45" s="67" t="s">
        <v>1386</v>
      </c>
      <c r="B45" s="66">
        <v>357797</v>
      </c>
      <c r="C45" s="66">
        <v>357797</v>
      </c>
      <c r="D45" s="67" t="s">
        <v>1389</v>
      </c>
      <c r="E45" s="67" t="s">
        <v>1155</v>
      </c>
      <c r="F45" s="67"/>
      <c r="G45" s="67"/>
      <c r="H45" s="67"/>
      <c r="I45" s="67" t="s">
        <v>3</v>
      </c>
      <c r="J45" s="68">
        <v>600</v>
      </c>
      <c r="K45" s="68">
        <v>939</v>
      </c>
      <c r="L45" s="67"/>
      <c r="M45" s="66">
        <v>1</v>
      </c>
      <c r="N45" s="66"/>
      <c r="O45" s="67"/>
      <c r="P45" s="8" t="str">
        <f t="shared" si="0"/>
        <v>1</v>
      </c>
      <c r="Q45" s="69" t="str">
        <f>INDEX(Торг!$H:$H,MATCH($B45,Торг!$B:$B,0))</f>
        <v>Китай БЕСТ ПАРТНЕР</v>
      </c>
      <c r="R45" s="11" t="b">
        <f>+EXACT(A45,VLOOKUP(A45,Торг!$A:$A,1,0))</f>
        <v>1</v>
      </c>
    </row>
    <row r="46" spans="1:18" ht="75" x14ac:dyDescent="0.25">
      <c r="A46" s="67" t="s">
        <v>1386</v>
      </c>
      <c r="B46" s="66">
        <v>357796</v>
      </c>
      <c r="C46" s="66">
        <v>357796</v>
      </c>
      <c r="D46" s="67" t="s">
        <v>1390</v>
      </c>
      <c r="E46" s="67" t="s">
        <v>1155</v>
      </c>
      <c r="F46" s="67"/>
      <c r="G46" s="67"/>
      <c r="H46" s="67"/>
      <c r="I46" s="67" t="s">
        <v>3</v>
      </c>
      <c r="J46" s="68">
        <v>600</v>
      </c>
      <c r="K46" s="68">
        <v>939</v>
      </c>
      <c r="L46" s="67"/>
      <c r="M46" s="66">
        <v>1</v>
      </c>
      <c r="N46" s="66"/>
      <c r="O46" s="67"/>
      <c r="P46" s="8" t="str">
        <f t="shared" si="0"/>
        <v>1</v>
      </c>
      <c r="Q46" s="69" t="str">
        <f>INDEX(Торг!$H:$H,MATCH($B46,Торг!$B:$B,0))</f>
        <v>Китай БЕСТ ПАРТНЕР</v>
      </c>
      <c r="R46" s="11" t="b">
        <f>+EXACT(A46,VLOOKUP(A46,Торг!$A:$A,1,0))</f>
        <v>1</v>
      </c>
    </row>
    <row r="47" spans="1:18" ht="45" x14ac:dyDescent="0.25">
      <c r="A47" s="67" t="s">
        <v>986</v>
      </c>
      <c r="B47" s="66">
        <v>152891</v>
      </c>
      <c r="C47" s="66">
        <v>69569</v>
      </c>
      <c r="D47" s="67" t="s">
        <v>735</v>
      </c>
      <c r="E47" s="67" t="s">
        <v>1155</v>
      </c>
      <c r="F47" s="67"/>
      <c r="G47" s="67"/>
      <c r="H47" s="67"/>
      <c r="I47" s="67" t="s">
        <v>3</v>
      </c>
      <c r="J47" s="68">
        <v>2400</v>
      </c>
      <c r="K47" s="68">
        <v>3290</v>
      </c>
      <c r="L47" s="67"/>
      <c r="M47" s="66">
        <v>0</v>
      </c>
      <c r="N47" s="66"/>
      <c r="O47" s="67"/>
      <c r="P47" s="8" t="str">
        <f t="shared" si="0"/>
        <v>0</v>
      </c>
      <c r="Q47" s="69" t="str">
        <f>INDEX(Торг!$H:$H,MATCH($B47,Торг!$B:$B,0))</f>
        <v>Китай БЕСТ ПАРТНЕР</v>
      </c>
      <c r="R47" s="11" t="b">
        <f>+EXACT(A47,VLOOKUP(A47,Торг!$A:$A,1,0))</f>
        <v>1</v>
      </c>
    </row>
    <row r="48" spans="1:18" ht="45" x14ac:dyDescent="0.25">
      <c r="A48" s="67" t="s">
        <v>986</v>
      </c>
      <c r="B48" s="66">
        <v>152892</v>
      </c>
      <c r="C48" s="66">
        <v>89064</v>
      </c>
      <c r="D48" s="67" t="s">
        <v>734</v>
      </c>
      <c r="E48" s="67" t="s">
        <v>1155</v>
      </c>
      <c r="F48" s="67"/>
      <c r="G48" s="67"/>
      <c r="H48" s="67"/>
      <c r="I48" s="67" t="s">
        <v>3</v>
      </c>
      <c r="J48" s="68">
        <v>2850</v>
      </c>
      <c r="K48" s="68">
        <v>3890</v>
      </c>
      <c r="L48" s="67"/>
      <c r="M48" s="66">
        <v>0</v>
      </c>
      <c r="N48" s="66"/>
      <c r="O48" s="67"/>
      <c r="P48" s="8" t="str">
        <f t="shared" si="0"/>
        <v>0</v>
      </c>
      <c r="Q48" s="69" t="str">
        <f>INDEX(Торг!$H:$H,MATCH($B48,Торг!$B:$B,0))</f>
        <v>Китай БЕСТ ПАРТНЕР</v>
      </c>
      <c r="R48" s="11" t="b">
        <f>+EXACT(A48,VLOOKUP(A48,Торг!$A:$A,1,0))</f>
        <v>1</v>
      </c>
    </row>
    <row r="49" spans="1:18" ht="45" x14ac:dyDescent="0.25">
      <c r="A49" s="67" t="s">
        <v>986</v>
      </c>
      <c r="B49" s="66">
        <v>152893</v>
      </c>
      <c r="C49" s="66">
        <v>89065</v>
      </c>
      <c r="D49" s="67" t="s">
        <v>733</v>
      </c>
      <c r="E49" s="67" t="s">
        <v>1155</v>
      </c>
      <c r="F49" s="67"/>
      <c r="G49" s="67"/>
      <c r="H49" s="67"/>
      <c r="I49" s="67" t="s">
        <v>3</v>
      </c>
      <c r="J49" s="68">
        <v>2850</v>
      </c>
      <c r="K49" s="68">
        <v>3890</v>
      </c>
      <c r="L49" s="67"/>
      <c r="M49" s="66">
        <v>0</v>
      </c>
      <c r="N49" s="66"/>
      <c r="O49" s="67"/>
      <c r="P49" s="8" t="str">
        <f t="shared" si="0"/>
        <v>0</v>
      </c>
      <c r="Q49" s="69" t="str">
        <f>INDEX(Торг!$H:$H,MATCH($B49,Торг!$B:$B,0))</f>
        <v>Китай БЕСТ ПАРТНЕР</v>
      </c>
      <c r="R49" s="11" t="b">
        <f>+EXACT(A49,VLOOKUP(A49,Торг!$A:$A,1,0))</f>
        <v>1</v>
      </c>
    </row>
    <row r="50" spans="1:18" ht="45" x14ac:dyDescent="0.25">
      <c r="A50" s="67" t="s">
        <v>986</v>
      </c>
      <c r="B50" s="66">
        <v>152894</v>
      </c>
      <c r="C50" s="66">
        <v>89066</v>
      </c>
      <c r="D50" s="67" t="s">
        <v>732</v>
      </c>
      <c r="E50" s="67" t="s">
        <v>1155</v>
      </c>
      <c r="F50" s="67"/>
      <c r="G50" s="67"/>
      <c r="H50" s="67"/>
      <c r="I50" s="67" t="s">
        <v>3</v>
      </c>
      <c r="J50" s="68">
        <v>2850</v>
      </c>
      <c r="K50" s="68">
        <v>3890</v>
      </c>
      <c r="L50" s="67"/>
      <c r="M50" s="66">
        <v>0</v>
      </c>
      <c r="N50" s="66"/>
      <c r="O50" s="67"/>
      <c r="P50" s="8" t="str">
        <f t="shared" si="0"/>
        <v>0</v>
      </c>
      <c r="Q50" s="69" t="str">
        <f>INDEX(Торг!$H:$H,MATCH($B50,Торг!$B:$B,0))</f>
        <v>Китай БЕСТ ПАРТНЕР</v>
      </c>
      <c r="R50" s="11" t="b">
        <f>+EXACT(A50,VLOOKUP(A50,Торг!$A:$A,1,0))</f>
        <v>1</v>
      </c>
    </row>
    <row r="51" spans="1:18" ht="45" x14ac:dyDescent="0.25">
      <c r="A51" s="67" t="s">
        <v>986</v>
      </c>
      <c r="B51" s="66">
        <v>152895</v>
      </c>
      <c r="C51" s="66">
        <v>89067</v>
      </c>
      <c r="D51" s="67" t="s">
        <v>731</v>
      </c>
      <c r="E51" s="67" t="s">
        <v>1155</v>
      </c>
      <c r="F51" s="67"/>
      <c r="G51" s="67"/>
      <c r="H51" s="67"/>
      <c r="I51" s="67" t="s">
        <v>3</v>
      </c>
      <c r="J51" s="68">
        <v>2850</v>
      </c>
      <c r="K51" s="68">
        <v>3890</v>
      </c>
      <c r="L51" s="67"/>
      <c r="M51" s="66">
        <v>0</v>
      </c>
      <c r="N51" s="66"/>
      <c r="O51" s="67"/>
      <c r="P51" s="8" t="str">
        <f t="shared" si="0"/>
        <v>0</v>
      </c>
      <c r="Q51" s="69" t="str">
        <f>INDEX(Торг!$H:$H,MATCH($B51,Торг!$B:$B,0))</f>
        <v>Китай БЕСТ ПАРТНЕР</v>
      </c>
      <c r="R51" s="11" t="b">
        <f>+EXACT(A51,VLOOKUP(A51,Торг!$A:$A,1,0))</f>
        <v>1</v>
      </c>
    </row>
    <row r="52" spans="1:18" ht="45" x14ac:dyDescent="0.25">
      <c r="A52" s="67" t="s">
        <v>986</v>
      </c>
      <c r="B52" s="66">
        <v>152896</v>
      </c>
      <c r="C52" s="66">
        <v>89068</v>
      </c>
      <c r="D52" s="67" t="s">
        <v>730</v>
      </c>
      <c r="E52" s="67" t="s">
        <v>1155</v>
      </c>
      <c r="F52" s="67"/>
      <c r="G52" s="67"/>
      <c r="H52" s="67"/>
      <c r="I52" s="67" t="s">
        <v>3</v>
      </c>
      <c r="J52" s="68">
        <v>2850</v>
      </c>
      <c r="K52" s="68">
        <v>3890</v>
      </c>
      <c r="L52" s="67"/>
      <c r="M52" s="66">
        <v>0</v>
      </c>
      <c r="N52" s="66"/>
      <c r="O52" s="67"/>
      <c r="P52" s="8" t="str">
        <f t="shared" si="0"/>
        <v>0</v>
      </c>
      <c r="Q52" s="69" t="str">
        <f>INDEX(Торг!$H:$H,MATCH($B52,Торг!$B:$B,0))</f>
        <v>Китай БЕСТ ПАРТНЕР</v>
      </c>
      <c r="R52" s="11" t="b">
        <f>+EXACT(A52,VLOOKUP(A52,Торг!$A:$A,1,0))</f>
        <v>1</v>
      </c>
    </row>
    <row r="53" spans="1:18" ht="45" x14ac:dyDescent="0.25">
      <c r="A53" s="67" t="s">
        <v>986</v>
      </c>
      <c r="B53" s="66">
        <v>152897</v>
      </c>
      <c r="C53" s="66">
        <v>89069</v>
      </c>
      <c r="D53" s="67" t="s">
        <v>729</v>
      </c>
      <c r="E53" s="67" t="s">
        <v>1155</v>
      </c>
      <c r="F53" s="67"/>
      <c r="G53" s="67"/>
      <c r="H53" s="67"/>
      <c r="I53" s="67" t="s">
        <v>3</v>
      </c>
      <c r="J53" s="68">
        <v>2850</v>
      </c>
      <c r="K53" s="68">
        <v>3890</v>
      </c>
      <c r="L53" s="67"/>
      <c r="M53" s="66">
        <v>0</v>
      </c>
      <c r="N53" s="66"/>
      <c r="O53" s="67"/>
      <c r="P53" s="8" t="str">
        <f t="shared" si="0"/>
        <v>0</v>
      </c>
      <c r="Q53" s="69" t="str">
        <f>INDEX(Торг!$H:$H,MATCH($B53,Торг!$B:$B,0))</f>
        <v>Китай БЕСТ ПАРТНЕР</v>
      </c>
      <c r="R53" s="11" t="b">
        <f>+EXACT(A53,VLOOKUP(A53,Торг!$A:$A,1,0))</f>
        <v>1</v>
      </c>
    </row>
    <row r="54" spans="1:18" ht="45" x14ac:dyDescent="0.25">
      <c r="A54" s="67" t="s">
        <v>986</v>
      </c>
      <c r="B54" s="66">
        <v>152898</v>
      </c>
      <c r="C54" s="66">
        <v>89070</v>
      </c>
      <c r="D54" s="67" t="s">
        <v>728</v>
      </c>
      <c r="E54" s="67" t="s">
        <v>1155</v>
      </c>
      <c r="F54" s="67"/>
      <c r="G54" s="67"/>
      <c r="H54" s="67"/>
      <c r="I54" s="67" t="s">
        <v>3</v>
      </c>
      <c r="J54" s="68">
        <v>2850</v>
      </c>
      <c r="K54" s="68">
        <v>3890</v>
      </c>
      <c r="L54" s="67"/>
      <c r="M54" s="66">
        <v>0</v>
      </c>
      <c r="N54" s="66"/>
      <c r="O54" s="67"/>
      <c r="P54" s="8" t="str">
        <f t="shared" si="0"/>
        <v>0</v>
      </c>
      <c r="Q54" s="69" t="str">
        <f>INDEX(Торг!$H:$H,MATCH($B54,Торг!$B:$B,0))</f>
        <v>Китай БЕСТ ПАРТНЕР</v>
      </c>
      <c r="R54" s="11" t="b">
        <f>+EXACT(A54,VLOOKUP(A54,Торг!$A:$A,1,0))</f>
        <v>1</v>
      </c>
    </row>
    <row r="55" spans="1:18" ht="45" x14ac:dyDescent="0.25">
      <c r="A55" s="67" t="s">
        <v>986</v>
      </c>
      <c r="B55" s="66">
        <v>152899</v>
      </c>
      <c r="C55" s="66">
        <v>89071</v>
      </c>
      <c r="D55" s="67" t="s">
        <v>727</v>
      </c>
      <c r="E55" s="67" t="s">
        <v>1155</v>
      </c>
      <c r="F55" s="67"/>
      <c r="G55" s="67"/>
      <c r="H55" s="67"/>
      <c r="I55" s="67" t="s">
        <v>3</v>
      </c>
      <c r="J55" s="68">
        <v>2850</v>
      </c>
      <c r="K55" s="68">
        <v>3890</v>
      </c>
      <c r="L55" s="67"/>
      <c r="M55" s="66">
        <v>0</v>
      </c>
      <c r="N55" s="66"/>
      <c r="O55" s="67"/>
      <c r="P55" s="8" t="str">
        <f t="shared" si="0"/>
        <v>0</v>
      </c>
      <c r="Q55" s="69" t="str">
        <f>INDEX(Торг!$H:$H,MATCH($B55,Торг!$B:$B,0))</f>
        <v>Китай БЕСТ ПАРТНЕР</v>
      </c>
      <c r="R55" s="11" t="b">
        <f>+EXACT(A55,VLOOKUP(A55,Торг!$A:$A,1,0))</f>
        <v>1</v>
      </c>
    </row>
    <row r="56" spans="1:18" ht="45" x14ac:dyDescent="0.25">
      <c r="A56" s="67" t="s">
        <v>986</v>
      </c>
      <c r="B56" s="66">
        <v>152900</v>
      </c>
      <c r="C56" s="66">
        <v>89072</v>
      </c>
      <c r="D56" s="67" t="s">
        <v>726</v>
      </c>
      <c r="E56" s="67" t="s">
        <v>1155</v>
      </c>
      <c r="F56" s="67"/>
      <c r="G56" s="67"/>
      <c r="H56" s="67"/>
      <c r="I56" s="67" t="s">
        <v>3</v>
      </c>
      <c r="J56" s="68">
        <v>2850</v>
      </c>
      <c r="K56" s="68">
        <v>3890</v>
      </c>
      <c r="L56" s="67"/>
      <c r="M56" s="66">
        <v>0</v>
      </c>
      <c r="N56" s="66"/>
      <c r="O56" s="67"/>
      <c r="P56" s="8" t="str">
        <f t="shared" si="0"/>
        <v>0</v>
      </c>
      <c r="Q56" s="69" t="str">
        <f>INDEX(Торг!$H:$H,MATCH($B56,Торг!$B:$B,0))</f>
        <v>Китай БЕСТ ПАРТНЕР</v>
      </c>
      <c r="R56" s="11" t="b">
        <f>+EXACT(A56,VLOOKUP(A56,Торг!$A:$A,1,0))</f>
        <v>1</v>
      </c>
    </row>
    <row r="57" spans="1:18" ht="45" x14ac:dyDescent="0.25">
      <c r="A57" s="67" t="s">
        <v>986</v>
      </c>
      <c r="B57" s="66">
        <v>152901</v>
      </c>
      <c r="C57" s="66">
        <v>89073</v>
      </c>
      <c r="D57" s="67" t="s">
        <v>725</v>
      </c>
      <c r="E57" s="67" t="s">
        <v>1155</v>
      </c>
      <c r="F57" s="67"/>
      <c r="G57" s="67"/>
      <c r="H57" s="67"/>
      <c r="I57" s="67" t="s">
        <v>3</v>
      </c>
      <c r="J57" s="68">
        <v>2850</v>
      </c>
      <c r="K57" s="68">
        <v>3890</v>
      </c>
      <c r="L57" s="67"/>
      <c r="M57" s="66">
        <v>0</v>
      </c>
      <c r="N57" s="66"/>
      <c r="O57" s="67"/>
      <c r="P57" s="8" t="str">
        <f t="shared" si="0"/>
        <v>0</v>
      </c>
      <c r="Q57" s="69" t="str">
        <f>INDEX(Торг!$H:$H,MATCH($B57,Торг!$B:$B,0))</f>
        <v>Китай БЕСТ ПАРТНЕР</v>
      </c>
      <c r="R57" s="11" t="b">
        <f>+EXACT(A57,VLOOKUP(A57,Торг!$A:$A,1,0))</f>
        <v>1</v>
      </c>
    </row>
    <row r="58" spans="1:18" ht="45" x14ac:dyDescent="0.25">
      <c r="A58" s="67" t="s">
        <v>986</v>
      </c>
      <c r="B58" s="66">
        <v>152902</v>
      </c>
      <c r="C58" s="66">
        <v>89074</v>
      </c>
      <c r="D58" s="67" t="s">
        <v>724</v>
      </c>
      <c r="E58" s="67" t="s">
        <v>1155</v>
      </c>
      <c r="F58" s="67"/>
      <c r="G58" s="67"/>
      <c r="H58" s="67"/>
      <c r="I58" s="67" t="s">
        <v>3</v>
      </c>
      <c r="J58" s="68">
        <v>2850</v>
      </c>
      <c r="K58" s="68">
        <v>3890</v>
      </c>
      <c r="L58" s="67"/>
      <c r="M58" s="66">
        <v>0</v>
      </c>
      <c r="N58" s="66"/>
      <c r="O58" s="67"/>
      <c r="P58" s="8" t="str">
        <f t="shared" si="0"/>
        <v>0</v>
      </c>
      <c r="Q58" s="69" t="str">
        <f>INDEX(Торг!$H:$H,MATCH($B58,Торг!$B:$B,0))</f>
        <v>Китай БЕСТ ПАРТНЕР</v>
      </c>
      <c r="R58" s="11" t="b">
        <f>+EXACT(A58,VLOOKUP(A58,Торг!$A:$A,1,0))</f>
        <v>1</v>
      </c>
    </row>
    <row r="59" spans="1:18" ht="45" x14ac:dyDescent="0.25">
      <c r="A59" s="67" t="s">
        <v>986</v>
      </c>
      <c r="B59" s="66">
        <v>152903</v>
      </c>
      <c r="C59" s="66">
        <v>89075</v>
      </c>
      <c r="D59" s="67" t="s">
        <v>723</v>
      </c>
      <c r="E59" s="67" t="s">
        <v>1155</v>
      </c>
      <c r="F59" s="67"/>
      <c r="G59" s="67"/>
      <c r="H59" s="67"/>
      <c r="I59" s="67" t="s">
        <v>3</v>
      </c>
      <c r="J59" s="68">
        <v>2850</v>
      </c>
      <c r="K59" s="68">
        <v>3890</v>
      </c>
      <c r="L59" s="67"/>
      <c r="M59" s="66">
        <v>0</v>
      </c>
      <c r="N59" s="66"/>
      <c r="O59" s="67"/>
      <c r="P59" s="8" t="str">
        <f t="shared" si="0"/>
        <v>0</v>
      </c>
      <c r="Q59" s="69" t="str">
        <f>INDEX(Торг!$H:$H,MATCH($B59,Торг!$B:$B,0))</f>
        <v>Китай БЕСТ ПАРТНЕР</v>
      </c>
      <c r="R59" s="11" t="b">
        <f>+EXACT(A59,VLOOKUP(A59,Торг!$A:$A,1,0))</f>
        <v>1</v>
      </c>
    </row>
    <row r="60" spans="1:18" ht="45" x14ac:dyDescent="0.25">
      <c r="A60" s="67" t="s">
        <v>986</v>
      </c>
      <c r="B60" s="66">
        <v>152904</v>
      </c>
      <c r="C60" s="66">
        <v>69570</v>
      </c>
      <c r="D60" s="67" t="s">
        <v>722</v>
      </c>
      <c r="E60" s="67" t="s">
        <v>1155</v>
      </c>
      <c r="F60" s="67"/>
      <c r="G60" s="67"/>
      <c r="H60" s="67"/>
      <c r="I60" s="67" t="s">
        <v>3</v>
      </c>
      <c r="J60" s="68">
        <v>2850</v>
      </c>
      <c r="K60" s="68">
        <v>3890</v>
      </c>
      <c r="L60" s="67"/>
      <c r="M60" s="66">
        <v>0</v>
      </c>
      <c r="N60" s="66"/>
      <c r="O60" s="67"/>
      <c r="P60" s="8" t="str">
        <f t="shared" si="0"/>
        <v>0</v>
      </c>
      <c r="Q60" s="69" t="str">
        <f>INDEX(Торг!$H:$H,MATCH($B60,Торг!$B:$B,0))</f>
        <v>Китай БЕСТ ПАРТНЕР</v>
      </c>
      <c r="R60" s="11" t="b">
        <f>+EXACT(A60,VLOOKUP(A60,Торг!$A:$A,1,0))</f>
        <v>1</v>
      </c>
    </row>
    <row r="61" spans="1:18" ht="45" x14ac:dyDescent="0.25">
      <c r="A61" s="67" t="s">
        <v>986</v>
      </c>
      <c r="B61" s="66">
        <v>152905</v>
      </c>
      <c r="C61" s="66">
        <v>89076</v>
      </c>
      <c r="D61" s="67" t="s">
        <v>721</v>
      </c>
      <c r="E61" s="67" t="s">
        <v>1155</v>
      </c>
      <c r="F61" s="67"/>
      <c r="G61" s="67"/>
      <c r="H61" s="67"/>
      <c r="I61" s="67" t="s">
        <v>3</v>
      </c>
      <c r="J61" s="68">
        <v>2850</v>
      </c>
      <c r="K61" s="68">
        <v>3890</v>
      </c>
      <c r="L61" s="67"/>
      <c r="M61" s="66">
        <v>0</v>
      </c>
      <c r="N61" s="66"/>
      <c r="O61" s="67"/>
      <c r="P61" s="8" t="str">
        <f t="shared" si="0"/>
        <v>0</v>
      </c>
      <c r="Q61" s="69" t="str">
        <f>INDEX(Торг!$H:$H,MATCH($B61,Торг!$B:$B,0))</f>
        <v>Китай БЕСТ ПАРТНЕР</v>
      </c>
      <c r="R61" s="11" t="b">
        <f>+EXACT(A61,VLOOKUP(A61,Торг!$A:$A,1,0))</f>
        <v>1</v>
      </c>
    </row>
    <row r="62" spans="1:18" ht="45" x14ac:dyDescent="0.25">
      <c r="A62" s="67" t="s">
        <v>987</v>
      </c>
      <c r="B62" s="66">
        <v>152907</v>
      </c>
      <c r="C62" s="66">
        <v>69575</v>
      </c>
      <c r="D62" s="67" t="s">
        <v>720</v>
      </c>
      <c r="E62" s="67" t="s">
        <v>1155</v>
      </c>
      <c r="F62" s="67"/>
      <c r="G62" s="67"/>
      <c r="H62" s="67"/>
      <c r="I62" s="67" t="s">
        <v>3</v>
      </c>
      <c r="J62" s="68">
        <v>6500</v>
      </c>
      <c r="K62" s="68">
        <v>8990</v>
      </c>
      <c r="L62" s="67" t="s">
        <v>1350</v>
      </c>
      <c r="M62" s="66">
        <v>1</v>
      </c>
      <c r="N62" s="66"/>
      <c r="O62" s="67"/>
      <c r="P62" s="8" t="str">
        <f t="shared" si="0"/>
        <v>1</v>
      </c>
      <c r="Q62" s="69" t="str">
        <f>INDEX(Торг!$H:$H,MATCH($B62,Торг!$B:$B,0))</f>
        <v>Китай БЕСТ ПАРТНЕР</v>
      </c>
      <c r="R62" s="11" t="b">
        <f>+EXACT(A62,VLOOKUP(A62,Торг!$A:$A,1,0))</f>
        <v>1</v>
      </c>
    </row>
    <row r="63" spans="1:18" ht="45" x14ac:dyDescent="0.25">
      <c r="A63" s="67" t="s">
        <v>987</v>
      </c>
      <c r="B63" s="66">
        <v>335658</v>
      </c>
      <c r="C63" s="66">
        <v>335658</v>
      </c>
      <c r="D63" s="67" t="s">
        <v>1281</v>
      </c>
      <c r="E63" s="67" t="s">
        <v>1155</v>
      </c>
      <c r="F63" s="67"/>
      <c r="G63" s="67"/>
      <c r="H63" s="67"/>
      <c r="I63" s="67" t="s">
        <v>3</v>
      </c>
      <c r="J63" s="68">
        <v>6950</v>
      </c>
      <c r="K63" s="68">
        <v>9490</v>
      </c>
      <c r="L63" s="67" t="s">
        <v>1350</v>
      </c>
      <c r="M63" s="66">
        <v>1</v>
      </c>
      <c r="N63" s="66"/>
      <c r="O63" s="67"/>
      <c r="P63" s="8" t="str">
        <f t="shared" si="0"/>
        <v>1</v>
      </c>
      <c r="Q63" s="69" t="str">
        <f>INDEX(Торг!$H:$H,MATCH($B63,Торг!$B:$B,0))</f>
        <v>Китай БЕСТ ПАРТНЕР</v>
      </c>
      <c r="R63" s="11" t="b">
        <f>+EXACT(A63,VLOOKUP(A63,Торг!$A:$A,1,0))</f>
        <v>1</v>
      </c>
    </row>
    <row r="64" spans="1:18" ht="45" x14ac:dyDescent="0.25">
      <c r="A64" s="67" t="s">
        <v>987</v>
      </c>
      <c r="B64" s="66">
        <v>152908</v>
      </c>
      <c r="C64" s="66">
        <v>89096</v>
      </c>
      <c r="D64" s="67" t="s">
        <v>719</v>
      </c>
      <c r="E64" s="67" t="s">
        <v>1155</v>
      </c>
      <c r="F64" s="67"/>
      <c r="G64" s="67"/>
      <c r="H64" s="67"/>
      <c r="I64" s="67" t="s">
        <v>3</v>
      </c>
      <c r="J64" s="68">
        <v>6950</v>
      </c>
      <c r="K64" s="68">
        <v>9490</v>
      </c>
      <c r="L64" s="67" t="s">
        <v>1350</v>
      </c>
      <c r="M64" s="66">
        <v>1</v>
      </c>
      <c r="N64" s="66"/>
      <c r="O64" s="67"/>
      <c r="P64" s="8" t="str">
        <f t="shared" si="0"/>
        <v>1</v>
      </c>
      <c r="Q64" s="69" t="str">
        <f>INDEX(Торг!$H:$H,MATCH($B64,Торг!$B:$B,0))</f>
        <v>Китай БЕСТ ПАРТНЕР</v>
      </c>
      <c r="R64" s="11" t="b">
        <f>+EXACT(A64,VLOOKUP(A64,Торг!$A:$A,1,0))</f>
        <v>1</v>
      </c>
    </row>
    <row r="65" spans="1:18" ht="45" x14ac:dyDescent="0.25">
      <c r="A65" s="67" t="s">
        <v>987</v>
      </c>
      <c r="B65" s="66">
        <v>152909</v>
      </c>
      <c r="C65" s="66">
        <v>89097</v>
      </c>
      <c r="D65" s="67" t="s">
        <v>718</v>
      </c>
      <c r="E65" s="67" t="s">
        <v>1155</v>
      </c>
      <c r="F65" s="67"/>
      <c r="G65" s="67"/>
      <c r="H65" s="67"/>
      <c r="I65" s="67" t="s">
        <v>3</v>
      </c>
      <c r="J65" s="68">
        <v>6950</v>
      </c>
      <c r="K65" s="68">
        <v>9490</v>
      </c>
      <c r="L65" s="67" t="s">
        <v>1350</v>
      </c>
      <c r="M65" s="66">
        <v>1</v>
      </c>
      <c r="N65" s="66"/>
      <c r="O65" s="67"/>
      <c r="P65" s="8" t="str">
        <f t="shared" si="0"/>
        <v>1</v>
      </c>
      <c r="Q65" s="69" t="str">
        <f>INDEX(Торг!$H:$H,MATCH($B65,Торг!$B:$B,0))</f>
        <v>Китай БЕСТ ПАРТНЕР</v>
      </c>
      <c r="R65" s="11" t="b">
        <f>+EXACT(A65,VLOOKUP(A65,Торг!$A:$A,1,0))</f>
        <v>1</v>
      </c>
    </row>
    <row r="66" spans="1:18" ht="60" x14ac:dyDescent="0.25">
      <c r="A66" s="67" t="s">
        <v>987</v>
      </c>
      <c r="B66" s="66">
        <v>152910</v>
      </c>
      <c r="C66" s="66">
        <v>89098</v>
      </c>
      <c r="D66" s="67" t="s">
        <v>717</v>
      </c>
      <c r="E66" s="67" t="s">
        <v>1155</v>
      </c>
      <c r="F66" s="67"/>
      <c r="G66" s="67"/>
      <c r="H66" s="67"/>
      <c r="I66" s="67" t="s">
        <v>3</v>
      </c>
      <c r="J66" s="68">
        <v>6950</v>
      </c>
      <c r="K66" s="68">
        <v>9490</v>
      </c>
      <c r="L66" s="67" t="s">
        <v>1350</v>
      </c>
      <c r="M66" s="66">
        <v>1</v>
      </c>
      <c r="N66" s="66"/>
      <c r="O66" s="67"/>
      <c r="P66" s="8" t="str">
        <f t="shared" si="0"/>
        <v>1</v>
      </c>
      <c r="Q66" s="69" t="str">
        <f>INDEX(Торг!$H:$H,MATCH($B66,Торг!$B:$B,0))</f>
        <v>Китай БЕСТ ПАРТНЕР</v>
      </c>
      <c r="R66" s="11" t="b">
        <f>+EXACT(A66,VLOOKUP(A66,Торг!$A:$A,1,0))</f>
        <v>1</v>
      </c>
    </row>
    <row r="67" spans="1:18" ht="60" x14ac:dyDescent="0.25">
      <c r="A67" s="67" t="s">
        <v>987</v>
      </c>
      <c r="B67" s="66">
        <v>152911</v>
      </c>
      <c r="C67" s="66">
        <v>89099</v>
      </c>
      <c r="D67" s="67" t="s">
        <v>716</v>
      </c>
      <c r="E67" s="67" t="s">
        <v>1155</v>
      </c>
      <c r="F67" s="67"/>
      <c r="G67" s="67"/>
      <c r="H67" s="67"/>
      <c r="I67" s="67" t="s">
        <v>3</v>
      </c>
      <c r="J67" s="68">
        <v>6950</v>
      </c>
      <c r="K67" s="68">
        <v>9490</v>
      </c>
      <c r="L67" s="67" t="s">
        <v>1350</v>
      </c>
      <c r="M67" s="66">
        <v>1</v>
      </c>
      <c r="N67" s="66"/>
      <c r="O67" s="67"/>
      <c r="P67" s="8" t="str">
        <f t="shared" ref="P67:P88" si="1">_xlfn.CONCAT(M67,IF(N67&lt;&gt;"",_xlfn.CONCAT("ск",N67),""))</f>
        <v>1</v>
      </c>
      <c r="Q67" s="69" t="str">
        <f>INDEX(Торг!$H:$H,MATCH($B67,Торг!$B:$B,0))</f>
        <v>Китай БЕСТ ПАРТНЕР</v>
      </c>
      <c r="R67" s="11" t="b">
        <f>+EXACT(A67,VLOOKUP(A67,Торг!$A:$A,1,0))</f>
        <v>1</v>
      </c>
    </row>
    <row r="68" spans="1:18" ht="45" x14ac:dyDescent="0.25">
      <c r="A68" s="67" t="s">
        <v>987</v>
      </c>
      <c r="B68" s="66">
        <v>152912</v>
      </c>
      <c r="C68" s="66">
        <v>89100</v>
      </c>
      <c r="D68" s="67" t="s">
        <v>715</v>
      </c>
      <c r="E68" s="67" t="s">
        <v>1155</v>
      </c>
      <c r="F68" s="67"/>
      <c r="G68" s="67"/>
      <c r="H68" s="67"/>
      <c r="I68" s="67" t="s">
        <v>3</v>
      </c>
      <c r="J68" s="68">
        <v>6950</v>
      </c>
      <c r="K68" s="68">
        <v>9490</v>
      </c>
      <c r="L68" s="67" t="s">
        <v>1350</v>
      </c>
      <c r="M68" s="66">
        <v>1</v>
      </c>
      <c r="N68" s="66"/>
      <c r="O68" s="67"/>
      <c r="P68" s="8" t="str">
        <f t="shared" si="1"/>
        <v>1</v>
      </c>
      <c r="Q68" s="69" t="str">
        <f>INDEX(Торг!$H:$H,MATCH($B68,Торг!$B:$B,0))</f>
        <v>Китай БЕСТ ПАРТНЕР</v>
      </c>
      <c r="R68" s="11" t="b">
        <f>+EXACT(A68,VLOOKUP(A68,Торг!$A:$A,1,0))</f>
        <v>1</v>
      </c>
    </row>
    <row r="69" spans="1:18" ht="45" x14ac:dyDescent="0.25">
      <c r="A69" s="67" t="s">
        <v>987</v>
      </c>
      <c r="B69" s="66">
        <v>152913</v>
      </c>
      <c r="C69" s="66">
        <v>89101</v>
      </c>
      <c r="D69" s="67" t="s">
        <v>714</v>
      </c>
      <c r="E69" s="67" t="s">
        <v>1155</v>
      </c>
      <c r="F69" s="67"/>
      <c r="G69" s="67"/>
      <c r="H69" s="67"/>
      <c r="I69" s="67" t="s">
        <v>3</v>
      </c>
      <c r="J69" s="68">
        <v>6950</v>
      </c>
      <c r="K69" s="68">
        <v>9490</v>
      </c>
      <c r="L69" s="67" t="s">
        <v>1350</v>
      </c>
      <c r="M69" s="66">
        <v>1</v>
      </c>
      <c r="N69" s="66"/>
      <c r="O69" s="67"/>
      <c r="P69" s="8" t="str">
        <f t="shared" si="1"/>
        <v>1</v>
      </c>
      <c r="Q69" s="69" t="str">
        <f>INDEX(Торг!$H:$H,MATCH($B69,Торг!$B:$B,0))</f>
        <v>Китай БЕСТ ПАРТНЕР</v>
      </c>
      <c r="R69" s="11" t="b">
        <f>+EXACT(A69,VLOOKUP(A69,Торг!$A:$A,1,0))</f>
        <v>1</v>
      </c>
    </row>
    <row r="70" spans="1:18" ht="45" x14ac:dyDescent="0.25">
      <c r="A70" s="67" t="s">
        <v>987</v>
      </c>
      <c r="B70" s="66">
        <v>152914</v>
      </c>
      <c r="C70" s="66">
        <v>89102</v>
      </c>
      <c r="D70" s="67" t="s">
        <v>713</v>
      </c>
      <c r="E70" s="67" t="s">
        <v>1155</v>
      </c>
      <c r="F70" s="67"/>
      <c r="G70" s="67"/>
      <c r="H70" s="67"/>
      <c r="I70" s="67" t="s">
        <v>3</v>
      </c>
      <c r="J70" s="68">
        <v>6950</v>
      </c>
      <c r="K70" s="68">
        <v>9490</v>
      </c>
      <c r="L70" s="67" t="s">
        <v>1350</v>
      </c>
      <c r="M70" s="66">
        <v>1</v>
      </c>
      <c r="N70" s="66"/>
      <c r="O70" s="67"/>
      <c r="P70" s="8" t="str">
        <f t="shared" si="1"/>
        <v>1</v>
      </c>
      <c r="Q70" s="69" t="str">
        <f>INDEX(Торг!$H:$H,MATCH($B70,Торг!$B:$B,0))</f>
        <v>Китай БЕСТ ПАРТНЕР</v>
      </c>
      <c r="R70" s="11" t="b">
        <f>+EXACT(A70,VLOOKUP(A70,Торг!$A:$A,1,0))</f>
        <v>1</v>
      </c>
    </row>
    <row r="71" spans="1:18" ht="45" x14ac:dyDescent="0.25">
      <c r="A71" s="67" t="s">
        <v>987</v>
      </c>
      <c r="B71" s="66">
        <v>152915</v>
      </c>
      <c r="C71" s="66">
        <v>89103</v>
      </c>
      <c r="D71" s="67" t="s">
        <v>712</v>
      </c>
      <c r="E71" s="67" t="s">
        <v>1155</v>
      </c>
      <c r="F71" s="67"/>
      <c r="G71" s="67"/>
      <c r="H71" s="67"/>
      <c r="I71" s="67" t="s">
        <v>3</v>
      </c>
      <c r="J71" s="68">
        <v>6950</v>
      </c>
      <c r="K71" s="68">
        <v>9490</v>
      </c>
      <c r="L71" s="67" t="s">
        <v>1350</v>
      </c>
      <c r="M71" s="66">
        <v>1</v>
      </c>
      <c r="N71" s="66"/>
      <c r="O71" s="67"/>
      <c r="P71" s="8" t="str">
        <f t="shared" si="1"/>
        <v>1</v>
      </c>
      <c r="Q71" s="69" t="str">
        <f>INDEX(Торг!$H:$H,MATCH($B71,Торг!$B:$B,0))</f>
        <v>Китай БЕСТ ПАРТНЕР</v>
      </c>
      <c r="R71" s="11" t="b">
        <f>+EXACT(A71,VLOOKUP(A71,Торг!$A:$A,1,0))</f>
        <v>1</v>
      </c>
    </row>
    <row r="72" spans="1:18" ht="45" x14ac:dyDescent="0.25">
      <c r="A72" s="67" t="s">
        <v>987</v>
      </c>
      <c r="B72" s="66">
        <v>152916</v>
      </c>
      <c r="C72" s="66">
        <v>89104</v>
      </c>
      <c r="D72" s="67" t="s">
        <v>711</v>
      </c>
      <c r="E72" s="67" t="s">
        <v>1155</v>
      </c>
      <c r="F72" s="67"/>
      <c r="G72" s="67"/>
      <c r="H72" s="67"/>
      <c r="I72" s="67" t="s">
        <v>3</v>
      </c>
      <c r="J72" s="68">
        <v>6950</v>
      </c>
      <c r="K72" s="68">
        <v>9490</v>
      </c>
      <c r="L72" s="67" t="s">
        <v>1350</v>
      </c>
      <c r="M72" s="66">
        <v>1</v>
      </c>
      <c r="N72" s="66"/>
      <c r="O72" s="67"/>
      <c r="P72" s="8" t="str">
        <f t="shared" si="1"/>
        <v>1</v>
      </c>
      <c r="Q72" s="69" t="str">
        <f>INDEX(Торг!$H:$H,MATCH($B72,Торг!$B:$B,0))</f>
        <v>Китай БЕСТ ПАРТНЕР</v>
      </c>
      <c r="R72" s="11" t="b">
        <f>+EXACT(A72,VLOOKUP(A72,Торг!$A:$A,1,0))</f>
        <v>1</v>
      </c>
    </row>
    <row r="73" spans="1:18" ht="45" x14ac:dyDescent="0.25">
      <c r="A73" s="67" t="s">
        <v>987</v>
      </c>
      <c r="B73" s="66">
        <v>152917</v>
      </c>
      <c r="C73" s="66">
        <v>89105</v>
      </c>
      <c r="D73" s="67" t="s">
        <v>710</v>
      </c>
      <c r="E73" s="67" t="s">
        <v>1155</v>
      </c>
      <c r="F73" s="67"/>
      <c r="G73" s="67"/>
      <c r="H73" s="67"/>
      <c r="I73" s="67" t="s">
        <v>3</v>
      </c>
      <c r="J73" s="68">
        <v>6950</v>
      </c>
      <c r="K73" s="68">
        <v>9490</v>
      </c>
      <c r="L73" s="67" t="s">
        <v>1350</v>
      </c>
      <c r="M73" s="66">
        <v>1</v>
      </c>
      <c r="N73" s="66"/>
      <c r="O73" s="67"/>
      <c r="P73" s="8" t="str">
        <f t="shared" si="1"/>
        <v>1</v>
      </c>
      <c r="Q73" s="69" t="str">
        <f>INDEX(Торг!$H:$H,MATCH($B73,Торг!$B:$B,0))</f>
        <v>Китай БЕСТ ПАРТНЕР</v>
      </c>
      <c r="R73" s="11" t="b">
        <f>+EXACT(A73,VLOOKUP(A73,Торг!$A:$A,1,0))</f>
        <v>1</v>
      </c>
    </row>
    <row r="74" spans="1:18" ht="45" x14ac:dyDescent="0.25">
      <c r="A74" s="67" t="s">
        <v>987</v>
      </c>
      <c r="B74" s="66">
        <v>152918</v>
      </c>
      <c r="C74" s="66">
        <v>89106</v>
      </c>
      <c r="D74" s="67" t="s">
        <v>709</v>
      </c>
      <c r="E74" s="67" t="s">
        <v>1155</v>
      </c>
      <c r="F74" s="67"/>
      <c r="G74" s="67"/>
      <c r="H74" s="67"/>
      <c r="I74" s="67" t="s">
        <v>3</v>
      </c>
      <c r="J74" s="68">
        <v>6950</v>
      </c>
      <c r="K74" s="68">
        <v>9490</v>
      </c>
      <c r="L74" s="67" t="s">
        <v>1350</v>
      </c>
      <c r="M74" s="66">
        <v>1</v>
      </c>
      <c r="N74" s="66"/>
      <c r="O74" s="67"/>
      <c r="P74" s="8" t="str">
        <f t="shared" si="1"/>
        <v>1</v>
      </c>
      <c r="Q74" s="69" t="str">
        <f>INDEX(Торг!$H:$H,MATCH($B74,Торг!$B:$B,0))</f>
        <v>Китай БЕСТ ПАРТНЕР</v>
      </c>
      <c r="R74" s="11" t="b">
        <f>+EXACT(A74,VLOOKUP(A74,Торг!$A:$A,1,0))</f>
        <v>1</v>
      </c>
    </row>
    <row r="75" spans="1:18" ht="45" x14ac:dyDescent="0.25">
      <c r="A75" s="67" t="s">
        <v>987</v>
      </c>
      <c r="B75" s="66">
        <v>152919</v>
      </c>
      <c r="C75" s="66">
        <v>89107</v>
      </c>
      <c r="D75" s="67" t="s">
        <v>708</v>
      </c>
      <c r="E75" s="67" t="s">
        <v>1155</v>
      </c>
      <c r="F75" s="67"/>
      <c r="G75" s="67"/>
      <c r="H75" s="67"/>
      <c r="I75" s="67" t="s">
        <v>3</v>
      </c>
      <c r="J75" s="68">
        <v>6950</v>
      </c>
      <c r="K75" s="68">
        <v>9490</v>
      </c>
      <c r="L75" s="67" t="s">
        <v>1350</v>
      </c>
      <c r="M75" s="66">
        <v>1</v>
      </c>
      <c r="N75" s="66"/>
      <c r="O75" s="67"/>
      <c r="P75" s="8" t="str">
        <f t="shared" si="1"/>
        <v>1</v>
      </c>
      <c r="Q75" s="69" t="str">
        <f>INDEX(Торг!$H:$H,MATCH($B75,Торг!$B:$B,0))</f>
        <v>Китай БЕСТ ПАРТНЕР</v>
      </c>
      <c r="R75" s="11" t="b">
        <f>+EXACT(A75,VLOOKUP(A75,Торг!$A:$A,1,0))</f>
        <v>1</v>
      </c>
    </row>
    <row r="76" spans="1:18" ht="45" x14ac:dyDescent="0.25">
      <c r="A76" s="67" t="s">
        <v>987</v>
      </c>
      <c r="B76" s="66">
        <v>152920</v>
      </c>
      <c r="C76" s="66">
        <v>69576</v>
      </c>
      <c r="D76" s="67" t="s">
        <v>707</v>
      </c>
      <c r="E76" s="67" t="s">
        <v>1155</v>
      </c>
      <c r="F76" s="67"/>
      <c r="G76" s="67"/>
      <c r="H76" s="67"/>
      <c r="I76" s="67" t="s">
        <v>3</v>
      </c>
      <c r="J76" s="68">
        <v>6950</v>
      </c>
      <c r="K76" s="68">
        <v>9490</v>
      </c>
      <c r="L76" s="67" t="s">
        <v>1350</v>
      </c>
      <c r="M76" s="66">
        <v>1</v>
      </c>
      <c r="N76" s="66"/>
      <c r="O76" s="67"/>
      <c r="P76" s="8" t="str">
        <f t="shared" si="1"/>
        <v>1</v>
      </c>
      <c r="Q76" s="69" t="str">
        <f>INDEX(Торг!$H:$H,MATCH($B76,Торг!$B:$B,0))</f>
        <v>Китай БЕСТ ПАРТНЕР</v>
      </c>
      <c r="R76" s="11" t="b">
        <f>+EXACT(A76,VLOOKUP(A76,Торг!$A:$A,1,0))</f>
        <v>1</v>
      </c>
    </row>
    <row r="77" spans="1:18" ht="45" x14ac:dyDescent="0.25">
      <c r="A77" s="67" t="s">
        <v>987</v>
      </c>
      <c r="B77" s="66">
        <v>152921</v>
      </c>
      <c r="C77" s="66">
        <v>89108</v>
      </c>
      <c r="D77" s="67" t="s">
        <v>706</v>
      </c>
      <c r="E77" s="67" t="s">
        <v>1155</v>
      </c>
      <c r="F77" s="67"/>
      <c r="G77" s="67"/>
      <c r="H77" s="67"/>
      <c r="I77" s="67" t="s">
        <v>3</v>
      </c>
      <c r="J77" s="68">
        <v>6950</v>
      </c>
      <c r="K77" s="68">
        <v>9490</v>
      </c>
      <c r="L77" s="67" t="s">
        <v>1350</v>
      </c>
      <c r="M77" s="66">
        <v>1</v>
      </c>
      <c r="N77" s="66"/>
      <c r="O77" s="67"/>
      <c r="P77" s="8" t="str">
        <f t="shared" si="1"/>
        <v>1</v>
      </c>
      <c r="Q77" s="69" t="str">
        <f>INDEX(Торг!$H:$H,MATCH($B77,Торг!$B:$B,0))</f>
        <v>Китай БЕСТ ПАРТНЕР</v>
      </c>
      <c r="R77" s="11" t="b">
        <f>+EXACT(A77,VLOOKUP(A77,Торг!$A:$A,1,0))</f>
        <v>1</v>
      </c>
    </row>
    <row r="78" spans="1:18" ht="45" x14ac:dyDescent="0.25">
      <c r="A78" s="67" t="s">
        <v>988</v>
      </c>
      <c r="B78" s="66">
        <v>169224</v>
      </c>
      <c r="C78" s="66">
        <v>69572</v>
      </c>
      <c r="D78" s="67" t="s">
        <v>705</v>
      </c>
      <c r="E78" s="67" t="s">
        <v>1155</v>
      </c>
      <c r="F78" s="67"/>
      <c r="G78" s="67"/>
      <c r="H78" s="67"/>
      <c r="I78" s="67" t="s">
        <v>3</v>
      </c>
      <c r="J78" s="68">
        <v>2300</v>
      </c>
      <c r="K78" s="68">
        <v>3190</v>
      </c>
      <c r="L78" s="67" t="s">
        <v>1282</v>
      </c>
      <c r="M78" s="66">
        <v>1</v>
      </c>
      <c r="N78" s="66">
        <v>2</v>
      </c>
      <c r="O78" s="67"/>
      <c r="P78" s="8" t="str">
        <f t="shared" si="1"/>
        <v>1ск2</v>
      </c>
      <c r="Q78" s="69" t="str">
        <f>INDEX(Торг!$H:$H,MATCH($B78,Торг!$B:$B,0))</f>
        <v>Китай БЕСТ ПАРТНЕР</v>
      </c>
      <c r="R78" s="11" t="b">
        <f>+EXACT(A78,VLOOKUP(A78,Торг!$A:$A,1,0))</f>
        <v>1</v>
      </c>
    </row>
    <row r="79" spans="1:18" ht="45" x14ac:dyDescent="0.25">
      <c r="A79" s="67" t="s">
        <v>988</v>
      </c>
      <c r="B79" s="66">
        <v>348048</v>
      </c>
      <c r="C79" s="66">
        <v>348048</v>
      </c>
      <c r="D79" s="67" t="s">
        <v>1391</v>
      </c>
      <c r="E79" s="67" t="s">
        <v>1155</v>
      </c>
      <c r="F79" s="67"/>
      <c r="G79" s="67"/>
      <c r="H79" s="67"/>
      <c r="I79" s="67" t="s">
        <v>3</v>
      </c>
      <c r="J79" s="68">
        <v>2750</v>
      </c>
      <c r="K79" s="68">
        <v>3790</v>
      </c>
      <c r="L79" s="67" t="s">
        <v>1282</v>
      </c>
      <c r="M79" s="66">
        <v>1</v>
      </c>
      <c r="N79" s="66"/>
      <c r="O79" s="67"/>
      <c r="P79" s="8" t="str">
        <f t="shared" si="1"/>
        <v>1</v>
      </c>
      <c r="Q79" s="69" t="str">
        <f>INDEX(Торг!$H:$H,MATCH($B79,Торг!$B:$B,0))</f>
        <v>Китай БЕСТ ПАРТНЕР</v>
      </c>
      <c r="R79" s="11" t="b">
        <f>+EXACT(A79,VLOOKUP(A79,Торг!$A:$A,1,0))</f>
        <v>1</v>
      </c>
    </row>
    <row r="80" spans="1:18" ht="45" x14ac:dyDescent="0.25">
      <c r="A80" s="67" t="s">
        <v>988</v>
      </c>
      <c r="B80" s="66">
        <v>169225</v>
      </c>
      <c r="C80" s="66">
        <v>89077</v>
      </c>
      <c r="D80" s="67" t="s">
        <v>704</v>
      </c>
      <c r="E80" s="67" t="s">
        <v>1155</v>
      </c>
      <c r="F80" s="67"/>
      <c r="G80" s="67"/>
      <c r="H80" s="67"/>
      <c r="I80" s="67" t="s">
        <v>3</v>
      </c>
      <c r="J80" s="68">
        <v>2750</v>
      </c>
      <c r="K80" s="68">
        <v>3790</v>
      </c>
      <c r="L80" s="67" t="s">
        <v>1282</v>
      </c>
      <c r="M80" s="66">
        <v>1</v>
      </c>
      <c r="N80" s="66"/>
      <c r="O80" s="67"/>
      <c r="P80" s="8" t="str">
        <f t="shared" si="1"/>
        <v>1</v>
      </c>
      <c r="Q80" s="69" t="str">
        <f>INDEX(Торг!$H:$H,MATCH($B80,Торг!$B:$B,0))</f>
        <v>Китай БЕСТ ПАРТНЕР</v>
      </c>
      <c r="R80" s="11" t="b">
        <f>+EXACT(A80,VLOOKUP(A80,Торг!$A:$A,1,0))</f>
        <v>1</v>
      </c>
    </row>
    <row r="81" spans="1:18" ht="45" x14ac:dyDescent="0.25">
      <c r="A81" s="67" t="s">
        <v>988</v>
      </c>
      <c r="B81" s="66">
        <v>169226</v>
      </c>
      <c r="C81" s="66">
        <v>89078</v>
      </c>
      <c r="D81" s="67" t="s">
        <v>703</v>
      </c>
      <c r="E81" s="67" t="s">
        <v>1155</v>
      </c>
      <c r="F81" s="67"/>
      <c r="G81" s="67"/>
      <c r="H81" s="67"/>
      <c r="I81" s="67" t="s">
        <v>3</v>
      </c>
      <c r="J81" s="68">
        <v>2750</v>
      </c>
      <c r="K81" s="68">
        <v>3790</v>
      </c>
      <c r="L81" s="67" t="s">
        <v>1282</v>
      </c>
      <c r="M81" s="66">
        <v>1</v>
      </c>
      <c r="N81" s="66"/>
      <c r="O81" s="67"/>
      <c r="P81" s="8" t="str">
        <f t="shared" si="1"/>
        <v>1</v>
      </c>
      <c r="Q81" s="69" t="str">
        <f>INDEX(Торг!$H:$H,MATCH($B81,Торг!$B:$B,0))</f>
        <v>Китай БЕСТ ПАРТНЕР</v>
      </c>
      <c r="R81" s="11" t="b">
        <f>+EXACT(A81,VLOOKUP(A81,Торг!$A:$A,1,0))</f>
        <v>1</v>
      </c>
    </row>
    <row r="82" spans="1:18" ht="45" x14ac:dyDescent="0.25">
      <c r="A82" s="67" t="s">
        <v>988</v>
      </c>
      <c r="B82" s="66">
        <v>169227</v>
      </c>
      <c r="C82" s="66">
        <v>89079</v>
      </c>
      <c r="D82" s="67" t="s">
        <v>702</v>
      </c>
      <c r="E82" s="67" t="s">
        <v>1155</v>
      </c>
      <c r="F82" s="67"/>
      <c r="G82" s="67"/>
      <c r="H82" s="67"/>
      <c r="I82" s="67" t="s">
        <v>3</v>
      </c>
      <c r="J82" s="68">
        <v>2750</v>
      </c>
      <c r="K82" s="68">
        <v>3790</v>
      </c>
      <c r="L82" s="67" t="s">
        <v>1282</v>
      </c>
      <c r="M82" s="66">
        <v>1</v>
      </c>
      <c r="N82" s="66"/>
      <c r="O82" s="67"/>
      <c r="P82" s="8" t="str">
        <f t="shared" si="1"/>
        <v>1</v>
      </c>
      <c r="Q82" s="69" t="str">
        <f>INDEX(Торг!$H:$H,MATCH($B82,Торг!$B:$B,0))</f>
        <v>Китай БЕСТ ПАРТНЕР</v>
      </c>
      <c r="R82" s="11" t="b">
        <f>+EXACT(A82,VLOOKUP(A82,Торг!$A:$A,1,0))</f>
        <v>1</v>
      </c>
    </row>
    <row r="83" spans="1:18" ht="45" x14ac:dyDescent="0.25">
      <c r="A83" s="67" t="s">
        <v>988</v>
      </c>
      <c r="B83" s="66">
        <v>169228</v>
      </c>
      <c r="C83" s="66">
        <v>89080</v>
      </c>
      <c r="D83" s="67" t="s">
        <v>701</v>
      </c>
      <c r="E83" s="67" t="s">
        <v>1155</v>
      </c>
      <c r="F83" s="67"/>
      <c r="G83" s="67"/>
      <c r="H83" s="67"/>
      <c r="I83" s="67" t="s">
        <v>3</v>
      </c>
      <c r="J83" s="68">
        <v>2750</v>
      </c>
      <c r="K83" s="68">
        <v>3790</v>
      </c>
      <c r="L83" s="67" t="s">
        <v>1282</v>
      </c>
      <c r="M83" s="66">
        <v>1</v>
      </c>
      <c r="N83" s="66"/>
      <c r="O83" s="67"/>
      <c r="P83" s="8" t="str">
        <f t="shared" si="1"/>
        <v>1</v>
      </c>
      <c r="Q83" s="69" t="str">
        <f>INDEX(Торг!$H:$H,MATCH($B83,Торг!$B:$B,0))</f>
        <v>Китай БЕСТ ПАРТНЕР</v>
      </c>
      <c r="R83" s="11" t="b">
        <f>+EXACT(A83,VLOOKUP(A83,Торг!$A:$A,1,0))</f>
        <v>1</v>
      </c>
    </row>
    <row r="84" spans="1:18" ht="45" x14ac:dyDescent="0.25">
      <c r="A84" s="67" t="s">
        <v>988</v>
      </c>
      <c r="B84" s="66">
        <v>169229</v>
      </c>
      <c r="C84" s="66">
        <v>89081</v>
      </c>
      <c r="D84" s="67" t="s">
        <v>700</v>
      </c>
      <c r="E84" s="67" t="s">
        <v>1155</v>
      </c>
      <c r="F84" s="67"/>
      <c r="G84" s="67"/>
      <c r="H84" s="67"/>
      <c r="I84" s="67" t="s">
        <v>3</v>
      </c>
      <c r="J84" s="68">
        <v>2750</v>
      </c>
      <c r="K84" s="68">
        <v>3790</v>
      </c>
      <c r="L84" s="67" t="s">
        <v>1282</v>
      </c>
      <c r="M84" s="66">
        <v>1</v>
      </c>
      <c r="N84" s="66"/>
      <c r="O84" s="67"/>
      <c r="P84" s="8" t="str">
        <f t="shared" si="1"/>
        <v>1</v>
      </c>
      <c r="Q84" s="69" t="str">
        <f>INDEX(Торг!$H:$H,MATCH($B84,Торг!$B:$B,0))</f>
        <v>Китай БЕСТ ПАРТНЕР</v>
      </c>
      <c r="R84" s="11" t="b">
        <f>+EXACT(A84,VLOOKUP(A84,Торг!$A:$A,1,0))</f>
        <v>1</v>
      </c>
    </row>
    <row r="85" spans="1:18" ht="45" x14ac:dyDescent="0.25">
      <c r="A85" s="67" t="s">
        <v>988</v>
      </c>
      <c r="B85" s="66">
        <v>169230</v>
      </c>
      <c r="C85" s="66">
        <v>89082</v>
      </c>
      <c r="D85" s="67" t="s">
        <v>699</v>
      </c>
      <c r="E85" s="67" t="s">
        <v>1155</v>
      </c>
      <c r="F85" s="67"/>
      <c r="G85" s="67"/>
      <c r="H85" s="67"/>
      <c r="I85" s="67" t="s">
        <v>3</v>
      </c>
      <c r="J85" s="68">
        <v>2750</v>
      </c>
      <c r="K85" s="68">
        <v>3790</v>
      </c>
      <c r="L85" s="67" t="s">
        <v>1282</v>
      </c>
      <c r="M85" s="66">
        <v>1</v>
      </c>
      <c r="N85" s="66"/>
      <c r="O85" s="67"/>
      <c r="P85" s="8" t="str">
        <f t="shared" si="1"/>
        <v>1</v>
      </c>
      <c r="Q85" s="69" t="str">
        <f>INDEX(Торг!$H:$H,MATCH($B85,Торг!$B:$B,0))</f>
        <v>Китай БЕСТ ПАРТНЕР</v>
      </c>
      <c r="R85" s="11" t="b">
        <f>+EXACT(A85,VLOOKUP(A85,Торг!$A:$A,1,0))</f>
        <v>1</v>
      </c>
    </row>
    <row r="86" spans="1:18" ht="45" x14ac:dyDescent="0.25">
      <c r="A86" s="67" t="s">
        <v>988</v>
      </c>
      <c r="B86" s="66">
        <v>169231</v>
      </c>
      <c r="C86" s="66">
        <v>89083</v>
      </c>
      <c r="D86" s="67" t="s">
        <v>698</v>
      </c>
      <c r="E86" s="67" t="s">
        <v>1155</v>
      </c>
      <c r="F86" s="67"/>
      <c r="G86" s="67"/>
      <c r="H86" s="67"/>
      <c r="I86" s="67" t="s">
        <v>3</v>
      </c>
      <c r="J86" s="68">
        <v>2750</v>
      </c>
      <c r="K86" s="68">
        <v>3790</v>
      </c>
      <c r="L86" s="67" t="s">
        <v>1282</v>
      </c>
      <c r="M86" s="66">
        <v>1</v>
      </c>
      <c r="N86" s="66"/>
      <c r="O86" s="67"/>
      <c r="P86" s="8" t="str">
        <f t="shared" si="1"/>
        <v>1</v>
      </c>
      <c r="Q86" s="69" t="str">
        <f>INDEX(Торг!$H:$H,MATCH($B86,Торг!$B:$B,0))</f>
        <v>Китай БЕСТ ПАРТНЕР</v>
      </c>
      <c r="R86" s="11" t="b">
        <f>+EXACT(A86,VLOOKUP(A86,Торг!$A:$A,1,0))</f>
        <v>1</v>
      </c>
    </row>
    <row r="87" spans="1:18" ht="45" x14ac:dyDescent="0.25">
      <c r="A87" s="67" t="s">
        <v>988</v>
      </c>
      <c r="B87" s="66">
        <v>169232</v>
      </c>
      <c r="C87" s="66">
        <v>89084</v>
      </c>
      <c r="D87" s="67" t="s">
        <v>697</v>
      </c>
      <c r="E87" s="67" t="s">
        <v>1155</v>
      </c>
      <c r="F87" s="67"/>
      <c r="G87" s="67"/>
      <c r="H87" s="67"/>
      <c r="I87" s="67" t="s">
        <v>3</v>
      </c>
      <c r="J87" s="68">
        <v>2750</v>
      </c>
      <c r="K87" s="68">
        <v>3790</v>
      </c>
      <c r="L87" s="67" t="s">
        <v>1282</v>
      </c>
      <c r="M87" s="66">
        <v>1</v>
      </c>
      <c r="N87" s="66"/>
      <c r="O87" s="67"/>
      <c r="P87" s="8" t="str">
        <f t="shared" si="1"/>
        <v>1</v>
      </c>
      <c r="Q87" s="69" t="str">
        <f>INDEX(Торг!$H:$H,MATCH($B87,Торг!$B:$B,0))</f>
        <v>Китай БЕСТ ПАРТНЕР</v>
      </c>
      <c r="R87" s="11" t="b">
        <f>+EXACT(A87,VLOOKUP(A87,Торг!$A:$A,1,0))</f>
        <v>1</v>
      </c>
    </row>
    <row r="88" spans="1:18" ht="45" x14ac:dyDescent="0.25">
      <c r="A88" s="67" t="s">
        <v>988</v>
      </c>
      <c r="B88" s="66">
        <v>169233</v>
      </c>
      <c r="C88" s="66">
        <v>89085</v>
      </c>
      <c r="D88" s="67" t="s">
        <v>696</v>
      </c>
      <c r="E88" s="67" t="s">
        <v>1155</v>
      </c>
      <c r="F88" s="67"/>
      <c r="G88" s="67"/>
      <c r="H88" s="67"/>
      <c r="I88" s="67" t="s">
        <v>3</v>
      </c>
      <c r="J88" s="68">
        <v>2750</v>
      </c>
      <c r="K88" s="68">
        <v>3790</v>
      </c>
      <c r="L88" s="67" t="s">
        <v>1282</v>
      </c>
      <c r="M88" s="66">
        <v>1</v>
      </c>
      <c r="N88" s="66"/>
      <c r="O88" s="67"/>
      <c r="P88" s="8" t="str">
        <f t="shared" si="1"/>
        <v>1</v>
      </c>
      <c r="Q88" s="69" t="str">
        <f>INDEX(Торг!$H:$H,MATCH($B88,Торг!$B:$B,0))</f>
        <v>Китай БЕСТ ПАРТНЕР</v>
      </c>
      <c r="R88" s="11" t="b">
        <f>+EXACT(A88,VLOOKUP(A88,Торг!$A:$A,1,0))</f>
        <v>1</v>
      </c>
    </row>
    <row r="89" spans="1:18" ht="45" x14ac:dyDescent="0.25">
      <c r="A89" s="67" t="s">
        <v>988</v>
      </c>
      <c r="B89" s="66">
        <v>169234</v>
      </c>
      <c r="C89" s="66">
        <v>89086</v>
      </c>
      <c r="D89" s="67" t="s">
        <v>695</v>
      </c>
      <c r="E89" s="67" t="s">
        <v>1155</v>
      </c>
      <c r="F89" s="67"/>
      <c r="G89" s="67"/>
      <c r="H89" s="67"/>
      <c r="I89" s="67" t="s">
        <v>3</v>
      </c>
      <c r="J89" s="68">
        <v>2750</v>
      </c>
      <c r="K89" s="68">
        <v>3790</v>
      </c>
      <c r="L89" s="67" t="s">
        <v>1282</v>
      </c>
      <c r="M89" s="66">
        <v>1</v>
      </c>
      <c r="N89" s="66"/>
      <c r="O89" s="67"/>
      <c r="P89" s="8" t="str">
        <f t="shared" ref="P89:P108" si="2">_xlfn.CONCAT(M89,IF(N89&lt;&gt;"",_xlfn.CONCAT("ск",N89),""))</f>
        <v>1</v>
      </c>
      <c r="Q89" s="69" t="str">
        <f>INDEX(Торг!$H:$H,MATCH($B89,Торг!$B:$B,0))</f>
        <v>Китай БЕСТ ПАРТНЕР</v>
      </c>
      <c r="R89" s="11" t="b">
        <f>+EXACT(A89,VLOOKUP(A89,Торг!$A:$A,1,0))</f>
        <v>1</v>
      </c>
    </row>
    <row r="90" spans="1:18" ht="45" x14ac:dyDescent="0.25">
      <c r="A90" s="67" t="s">
        <v>988</v>
      </c>
      <c r="B90" s="66">
        <v>169235</v>
      </c>
      <c r="C90" s="66">
        <v>89087</v>
      </c>
      <c r="D90" s="67" t="s">
        <v>694</v>
      </c>
      <c r="E90" s="67" t="s">
        <v>1155</v>
      </c>
      <c r="F90" s="67"/>
      <c r="G90" s="67"/>
      <c r="H90" s="67"/>
      <c r="I90" s="67" t="s">
        <v>3</v>
      </c>
      <c r="J90" s="68">
        <v>2750</v>
      </c>
      <c r="K90" s="68">
        <v>3790</v>
      </c>
      <c r="L90" s="67" t="s">
        <v>1282</v>
      </c>
      <c r="M90" s="66">
        <v>1</v>
      </c>
      <c r="N90" s="66"/>
      <c r="O90" s="67"/>
      <c r="P90" s="8" t="str">
        <f t="shared" si="2"/>
        <v>1</v>
      </c>
      <c r="Q90" s="69" t="str">
        <f>INDEX(Торг!$H:$H,MATCH($B90,Торг!$B:$B,0))</f>
        <v>Китай БЕСТ ПАРТНЕР</v>
      </c>
      <c r="R90" s="11" t="b">
        <f>+EXACT(A90,VLOOKUP(A90,Торг!$A:$A,1,0))</f>
        <v>1</v>
      </c>
    </row>
    <row r="91" spans="1:18" ht="45" x14ac:dyDescent="0.25">
      <c r="A91" s="67" t="s">
        <v>988</v>
      </c>
      <c r="B91" s="66">
        <v>169236</v>
      </c>
      <c r="C91" s="66">
        <v>89088</v>
      </c>
      <c r="D91" s="67" t="s">
        <v>693</v>
      </c>
      <c r="E91" s="67" t="s">
        <v>1155</v>
      </c>
      <c r="F91" s="67"/>
      <c r="G91" s="67"/>
      <c r="H91" s="67"/>
      <c r="I91" s="67" t="s">
        <v>3</v>
      </c>
      <c r="J91" s="68">
        <v>2750</v>
      </c>
      <c r="K91" s="68">
        <v>3790</v>
      </c>
      <c r="L91" s="67" t="s">
        <v>1282</v>
      </c>
      <c r="M91" s="66">
        <v>1</v>
      </c>
      <c r="N91" s="66"/>
      <c r="O91" s="67"/>
      <c r="P91" s="8" t="str">
        <f t="shared" si="2"/>
        <v>1</v>
      </c>
      <c r="Q91" s="69" t="str">
        <f>INDEX(Торг!$H:$H,MATCH($B91,Торг!$B:$B,0))</f>
        <v>Китай БЕСТ ПАРТНЕР</v>
      </c>
      <c r="R91" s="11" t="b">
        <f>+EXACT(A91,VLOOKUP(A91,Торг!$A:$A,1,0))</f>
        <v>1</v>
      </c>
    </row>
    <row r="92" spans="1:18" ht="45" x14ac:dyDescent="0.25">
      <c r="A92" s="67" t="s">
        <v>988</v>
      </c>
      <c r="B92" s="66">
        <v>169237</v>
      </c>
      <c r="C92" s="66">
        <v>69573</v>
      </c>
      <c r="D92" s="67" t="s">
        <v>692</v>
      </c>
      <c r="E92" s="67" t="s">
        <v>1155</v>
      </c>
      <c r="F92" s="67"/>
      <c r="G92" s="67"/>
      <c r="H92" s="67"/>
      <c r="I92" s="67" t="s">
        <v>3</v>
      </c>
      <c r="J92" s="68">
        <v>2750</v>
      </c>
      <c r="K92" s="68">
        <v>3790</v>
      </c>
      <c r="L92" s="67" t="s">
        <v>1282</v>
      </c>
      <c r="M92" s="66">
        <v>1</v>
      </c>
      <c r="N92" s="66"/>
      <c r="O92" s="67"/>
      <c r="P92" s="8" t="str">
        <f t="shared" si="2"/>
        <v>1</v>
      </c>
      <c r="Q92" s="69" t="str">
        <f>INDEX(Торг!$H:$H,MATCH($B92,Торг!$B:$B,0))</f>
        <v>Китай БЕСТ ПАРТНЕР</v>
      </c>
      <c r="R92" s="11" t="b">
        <f>+EXACT(A92,VLOOKUP(A92,Торг!$A:$A,1,0))</f>
        <v>1</v>
      </c>
    </row>
    <row r="93" spans="1:18" ht="45" x14ac:dyDescent="0.25">
      <c r="A93" s="67" t="s">
        <v>988</v>
      </c>
      <c r="B93" s="66">
        <v>169238</v>
      </c>
      <c r="C93" s="66">
        <v>89089</v>
      </c>
      <c r="D93" s="67" t="s">
        <v>691</v>
      </c>
      <c r="E93" s="67" t="s">
        <v>1155</v>
      </c>
      <c r="F93" s="67"/>
      <c r="G93" s="67"/>
      <c r="H93" s="67"/>
      <c r="I93" s="67" t="s">
        <v>3</v>
      </c>
      <c r="J93" s="68">
        <v>2750</v>
      </c>
      <c r="K93" s="68">
        <v>3790</v>
      </c>
      <c r="L93" s="67" t="s">
        <v>1282</v>
      </c>
      <c r="M93" s="66">
        <v>1</v>
      </c>
      <c r="N93" s="66"/>
      <c r="O93" s="67"/>
      <c r="P93" s="8" t="str">
        <f t="shared" si="2"/>
        <v>1</v>
      </c>
      <c r="Q93" s="69" t="str">
        <f>INDEX(Торг!$H:$H,MATCH($B93,Торг!$B:$B,0))</f>
        <v>Китай БЕСТ ПАРТНЕР</v>
      </c>
      <c r="R93" s="11" t="b">
        <f>+EXACT(A93,VLOOKUP(A93,Торг!$A:$A,1,0))</f>
        <v>1</v>
      </c>
    </row>
    <row r="94" spans="1:18" ht="45" x14ac:dyDescent="0.25">
      <c r="A94" s="67" t="s">
        <v>1243</v>
      </c>
      <c r="B94" s="66">
        <v>358195</v>
      </c>
      <c r="C94" s="66">
        <v>358195</v>
      </c>
      <c r="D94" s="67" t="s">
        <v>1392</v>
      </c>
      <c r="E94" s="67" t="s">
        <v>1155</v>
      </c>
      <c r="F94" s="67"/>
      <c r="G94" s="67"/>
      <c r="H94" s="67" t="s">
        <v>566</v>
      </c>
      <c r="I94" s="67" t="s">
        <v>3</v>
      </c>
      <c r="J94" s="68">
        <v>200</v>
      </c>
      <c r="K94" s="68">
        <v>509</v>
      </c>
      <c r="L94" s="67" t="s">
        <v>1416</v>
      </c>
      <c r="M94" s="66">
        <v>1</v>
      </c>
      <c r="N94" s="66"/>
      <c r="O94" s="67"/>
      <c r="P94" s="8" t="str">
        <f t="shared" si="2"/>
        <v>1</v>
      </c>
      <c r="Q94" s="69" t="str">
        <f>INDEX(Торг!$H:$H,MATCH($B94,Торг!$B:$B,0))</f>
        <v>Китай БЕСТ ПАРТНЕР</v>
      </c>
      <c r="R94" s="11" t="b">
        <f>+EXACT(A94,VLOOKUP(A94,Торг!$A:$A,1,0))</f>
        <v>1</v>
      </c>
    </row>
    <row r="95" spans="1:18" ht="45" x14ac:dyDescent="0.25">
      <c r="A95" s="67" t="s">
        <v>1243</v>
      </c>
      <c r="B95" s="66">
        <v>267808</v>
      </c>
      <c r="C95" s="66">
        <v>222083</v>
      </c>
      <c r="D95" s="67" t="s">
        <v>1244</v>
      </c>
      <c r="E95" s="67" t="s">
        <v>1155</v>
      </c>
      <c r="F95" s="67"/>
      <c r="G95" s="67"/>
      <c r="H95" s="67" t="s">
        <v>566</v>
      </c>
      <c r="I95" s="67" t="s">
        <v>3</v>
      </c>
      <c r="J95" s="68">
        <v>200</v>
      </c>
      <c r="K95" s="68">
        <v>519</v>
      </c>
      <c r="L95" s="67" t="s">
        <v>750</v>
      </c>
      <c r="M95" s="66">
        <v>1</v>
      </c>
      <c r="N95" s="66">
        <v>1</v>
      </c>
      <c r="O95" s="67"/>
      <c r="P95" s="8" t="str">
        <f t="shared" si="2"/>
        <v>1ск1</v>
      </c>
      <c r="Q95" s="69" t="str">
        <f>INDEX(Торг!$H:$H,MATCH($B95,Торг!$B:$B,0))</f>
        <v>Китай БЕСТ ПАРТНЕР</v>
      </c>
      <c r="R95" s="11" t="b">
        <f>+EXACT(A95,VLOOKUP(A95,Торг!$A:$A,1,0))</f>
        <v>1</v>
      </c>
    </row>
    <row r="96" spans="1:18" ht="30" x14ac:dyDescent="0.25">
      <c r="A96" s="67" t="s">
        <v>1243</v>
      </c>
      <c r="B96" s="66">
        <v>267809</v>
      </c>
      <c r="C96" s="66">
        <v>222084</v>
      </c>
      <c r="D96" s="67" t="s">
        <v>1245</v>
      </c>
      <c r="E96" s="67" t="s">
        <v>1155</v>
      </c>
      <c r="F96" s="67"/>
      <c r="G96" s="67"/>
      <c r="H96" s="67" t="s">
        <v>566</v>
      </c>
      <c r="I96" s="67" t="s">
        <v>3</v>
      </c>
      <c r="J96" s="68">
        <v>200</v>
      </c>
      <c r="K96" s="68">
        <v>409</v>
      </c>
      <c r="L96" s="67" t="s">
        <v>910</v>
      </c>
      <c r="M96" s="66">
        <v>1</v>
      </c>
      <c r="N96" s="66"/>
      <c r="O96" s="67"/>
      <c r="P96" s="8" t="str">
        <f t="shared" si="2"/>
        <v>1</v>
      </c>
      <c r="Q96" s="69" t="str">
        <f>INDEX(Торг!$H:$H,MATCH($B96,Торг!$B:$B,0))</f>
        <v>Китай БЕСТ ПАРТНЕР</v>
      </c>
      <c r="R96" s="11" t="b">
        <f>+EXACT(A96,VLOOKUP(A96,Торг!$A:$A,1,0))</f>
        <v>1</v>
      </c>
    </row>
    <row r="97" spans="1:18" ht="30" x14ac:dyDescent="0.25">
      <c r="A97" s="67" t="s">
        <v>1246</v>
      </c>
      <c r="B97" s="66">
        <v>267810</v>
      </c>
      <c r="C97" s="66">
        <v>222089</v>
      </c>
      <c r="D97" s="67" t="s">
        <v>1247</v>
      </c>
      <c r="E97" s="67" t="s">
        <v>1155</v>
      </c>
      <c r="F97" s="67"/>
      <c r="G97" s="67"/>
      <c r="H97" s="67" t="s">
        <v>560</v>
      </c>
      <c r="I97" s="67" t="s">
        <v>3</v>
      </c>
      <c r="J97" s="68">
        <v>200</v>
      </c>
      <c r="K97" s="68">
        <v>409</v>
      </c>
      <c r="L97" s="67" t="s">
        <v>909</v>
      </c>
      <c r="M97" s="66">
        <v>1</v>
      </c>
      <c r="N97" s="66"/>
      <c r="O97" s="67"/>
      <c r="P97" s="8" t="str">
        <f t="shared" si="2"/>
        <v>1</v>
      </c>
      <c r="Q97" s="69" t="str">
        <f>INDEX(Торг!$H:$H,MATCH($B97,Торг!$B:$B,0))</f>
        <v>Китай БЕСТ ПАРТНЕР</v>
      </c>
      <c r="R97" s="11" t="b">
        <f>+EXACT(A97,VLOOKUP(A97,Торг!$A:$A,1,0))</f>
        <v>1</v>
      </c>
    </row>
    <row r="98" spans="1:18" ht="30" x14ac:dyDescent="0.25">
      <c r="A98" s="67" t="s">
        <v>1246</v>
      </c>
      <c r="B98" s="66">
        <v>267811</v>
      </c>
      <c r="C98" s="66">
        <v>222090</v>
      </c>
      <c r="D98" s="67" t="s">
        <v>1248</v>
      </c>
      <c r="E98" s="67" t="s">
        <v>1155</v>
      </c>
      <c r="F98" s="67"/>
      <c r="G98" s="67"/>
      <c r="H98" s="67" t="s">
        <v>560</v>
      </c>
      <c r="I98" s="67" t="s">
        <v>3</v>
      </c>
      <c r="J98" s="68">
        <v>200</v>
      </c>
      <c r="K98" s="68">
        <v>519</v>
      </c>
      <c r="L98" s="67" t="s">
        <v>1274</v>
      </c>
      <c r="M98" s="66">
        <v>1</v>
      </c>
      <c r="N98" s="66"/>
      <c r="O98" s="67"/>
      <c r="P98" s="8" t="str">
        <f t="shared" si="2"/>
        <v>1</v>
      </c>
      <c r="Q98" s="69" t="str">
        <f>INDEX(Торг!$H:$H,MATCH($B98,Торг!$B:$B,0))</f>
        <v>Китай БЕСТ ПАРТНЕР</v>
      </c>
      <c r="R98" s="11" t="b">
        <f>+EXACT(A98,VLOOKUP(A98,Торг!$A:$A,1,0))</f>
        <v>1</v>
      </c>
    </row>
    <row r="99" spans="1:18" ht="30" x14ac:dyDescent="0.25">
      <c r="A99" s="67" t="s">
        <v>1246</v>
      </c>
      <c r="B99" s="66">
        <v>267812</v>
      </c>
      <c r="C99" s="66">
        <v>222091</v>
      </c>
      <c r="D99" s="67" t="s">
        <v>1249</v>
      </c>
      <c r="E99" s="67" t="s">
        <v>1155</v>
      </c>
      <c r="F99" s="67"/>
      <c r="G99" s="67"/>
      <c r="H99" s="67" t="s">
        <v>560</v>
      </c>
      <c r="I99" s="67" t="s">
        <v>3</v>
      </c>
      <c r="J99" s="68">
        <v>200</v>
      </c>
      <c r="K99" s="68">
        <v>519</v>
      </c>
      <c r="L99" s="67" t="s">
        <v>908</v>
      </c>
      <c r="M99" s="66">
        <v>1</v>
      </c>
      <c r="N99" s="66"/>
      <c r="O99" s="67"/>
      <c r="P99" s="8" t="str">
        <f t="shared" si="2"/>
        <v>1</v>
      </c>
      <c r="Q99" s="69" t="str">
        <f>INDEX(Торг!$H:$H,MATCH($B99,Торг!$B:$B,0))</f>
        <v>Китай БЕСТ ПАРТНЕР</v>
      </c>
      <c r="R99" s="11" t="b">
        <f>+EXACT(A99,VLOOKUP(A99,Торг!$A:$A,1,0))</f>
        <v>1</v>
      </c>
    </row>
    <row r="100" spans="1:18" ht="30" x14ac:dyDescent="0.25">
      <c r="A100" s="67" t="s">
        <v>989</v>
      </c>
      <c r="B100" s="66">
        <v>194418</v>
      </c>
      <c r="C100" s="66">
        <v>85429</v>
      </c>
      <c r="D100" s="67" t="s">
        <v>690</v>
      </c>
      <c r="E100" s="67" t="s">
        <v>1155</v>
      </c>
      <c r="F100" s="67"/>
      <c r="G100" s="67"/>
      <c r="H100" s="67"/>
      <c r="I100" s="67" t="s">
        <v>3</v>
      </c>
      <c r="J100" s="68">
        <v>900</v>
      </c>
      <c r="K100" s="68">
        <v>1490</v>
      </c>
      <c r="L100" s="67"/>
      <c r="M100" s="66">
        <v>0</v>
      </c>
      <c r="N100" s="66"/>
      <c r="O100" s="67"/>
      <c r="P100" s="8" t="str">
        <f t="shared" si="2"/>
        <v>0</v>
      </c>
      <c r="Q100" s="69" t="str">
        <f>INDEX(Торг!$H:$H,MATCH($B100,Торг!$B:$B,0))</f>
        <v>Китай БЕСТ ПАРТНЕР</v>
      </c>
      <c r="R100" s="11" t="b">
        <f>+EXACT(A100,VLOOKUP(A100,Торг!$A:$A,1,0))</f>
        <v>1</v>
      </c>
    </row>
    <row r="101" spans="1:18" ht="30" x14ac:dyDescent="0.25">
      <c r="A101" s="67" t="s">
        <v>989</v>
      </c>
      <c r="B101" s="66">
        <v>194419</v>
      </c>
      <c r="C101" s="66">
        <v>85430</v>
      </c>
      <c r="D101" s="67" t="s">
        <v>689</v>
      </c>
      <c r="E101" s="67" t="s">
        <v>1155</v>
      </c>
      <c r="F101" s="67"/>
      <c r="G101" s="67"/>
      <c r="H101" s="67"/>
      <c r="I101" s="67" t="s">
        <v>3</v>
      </c>
      <c r="J101" s="68">
        <v>900</v>
      </c>
      <c r="K101" s="68">
        <v>1490</v>
      </c>
      <c r="L101" s="67"/>
      <c r="M101" s="66">
        <v>0</v>
      </c>
      <c r="N101" s="66"/>
      <c r="O101" s="67"/>
      <c r="P101" s="8" t="str">
        <f t="shared" si="2"/>
        <v>0</v>
      </c>
      <c r="Q101" s="69" t="str">
        <f>INDEX(Торг!$H:$H,MATCH($B101,Торг!$B:$B,0))</f>
        <v>Китай БЕСТ ПАРТНЕР</v>
      </c>
      <c r="R101" s="11" t="b">
        <f>+EXACT(A101,VLOOKUP(A101,Торг!$A:$A,1,0))</f>
        <v>1</v>
      </c>
    </row>
    <row r="102" spans="1:18" ht="45" x14ac:dyDescent="0.25">
      <c r="A102" s="67" t="s">
        <v>990</v>
      </c>
      <c r="B102" s="66">
        <v>207590</v>
      </c>
      <c r="C102" s="66">
        <v>120971</v>
      </c>
      <c r="D102" s="67" t="s">
        <v>688</v>
      </c>
      <c r="E102" s="67" t="s">
        <v>1155</v>
      </c>
      <c r="F102" s="67"/>
      <c r="G102" s="67"/>
      <c r="H102" s="67"/>
      <c r="I102" s="67" t="s">
        <v>3</v>
      </c>
      <c r="J102" s="68">
        <v>8500</v>
      </c>
      <c r="K102" s="68">
        <v>12990</v>
      </c>
      <c r="L102" s="67" t="s">
        <v>1351</v>
      </c>
      <c r="M102" s="66">
        <v>1</v>
      </c>
      <c r="N102" s="66"/>
      <c r="O102" s="67"/>
      <c r="P102" s="8" t="str">
        <f t="shared" si="2"/>
        <v>1</v>
      </c>
      <c r="Q102" s="69" t="str">
        <f>INDEX(Торг!$H:$H,MATCH($B102,Торг!$B:$B,0))</f>
        <v>Китай БЕСТ ПАРТНЕР</v>
      </c>
      <c r="R102" s="11" t="b">
        <f>+EXACT(A102,VLOOKUP(A102,Торг!$A:$A,1,0))</f>
        <v>1</v>
      </c>
    </row>
    <row r="103" spans="1:18" ht="45" x14ac:dyDescent="0.25">
      <c r="A103" s="67" t="s">
        <v>990</v>
      </c>
      <c r="B103" s="66">
        <v>207591</v>
      </c>
      <c r="C103" s="66">
        <v>120972</v>
      </c>
      <c r="D103" s="67" t="s">
        <v>687</v>
      </c>
      <c r="E103" s="67" t="s">
        <v>1155</v>
      </c>
      <c r="F103" s="67"/>
      <c r="G103" s="67"/>
      <c r="H103" s="67"/>
      <c r="I103" s="67" t="s">
        <v>3</v>
      </c>
      <c r="J103" s="68">
        <v>9000</v>
      </c>
      <c r="K103" s="68">
        <v>11790</v>
      </c>
      <c r="L103" s="67" t="s">
        <v>1352</v>
      </c>
      <c r="M103" s="66">
        <v>1</v>
      </c>
      <c r="N103" s="66"/>
      <c r="O103" s="67"/>
      <c r="P103" s="8" t="str">
        <f t="shared" si="2"/>
        <v>1</v>
      </c>
      <c r="Q103" s="69" t="str">
        <f>INDEX(Торг!$H:$H,MATCH($B103,Торг!$B:$B,0))</f>
        <v>Китай БЕСТ ПАРТНЕР</v>
      </c>
      <c r="R103" s="11" t="b">
        <f>+EXACT(A103,VLOOKUP(A103,Торг!$A:$A,1,0))</f>
        <v>1</v>
      </c>
    </row>
    <row r="104" spans="1:18" ht="30" x14ac:dyDescent="0.25">
      <c r="A104" s="67" t="s">
        <v>1250</v>
      </c>
      <c r="B104" s="66">
        <v>263212</v>
      </c>
      <c r="C104" s="66">
        <v>206220</v>
      </c>
      <c r="D104" s="67" t="s">
        <v>1251</v>
      </c>
      <c r="E104" s="67" t="s">
        <v>1155</v>
      </c>
      <c r="F104" s="67"/>
      <c r="G104" s="67" t="s">
        <v>1252</v>
      </c>
      <c r="H104" s="67"/>
      <c r="I104" s="67" t="s">
        <v>3</v>
      </c>
      <c r="J104" s="68">
        <v>1000</v>
      </c>
      <c r="K104" s="68">
        <v>1390</v>
      </c>
      <c r="L104" s="67"/>
      <c r="M104" s="66">
        <v>1</v>
      </c>
      <c r="N104" s="66"/>
      <c r="O104" s="67"/>
      <c r="P104" s="8" t="str">
        <f t="shared" si="2"/>
        <v>1</v>
      </c>
      <c r="Q104" s="69" t="str">
        <f>INDEX(Торг!$H:$H,MATCH($B104,Торг!$B:$B,0))</f>
        <v>Китай БЕСТ ПАРТНЕР</v>
      </c>
      <c r="R104" s="11" t="b">
        <f>+EXACT(A104,VLOOKUP(A104,Торг!$A:$A,1,0))</f>
        <v>1</v>
      </c>
    </row>
    <row r="105" spans="1:18" ht="30" x14ac:dyDescent="0.25">
      <c r="A105" s="67" t="s">
        <v>1250</v>
      </c>
      <c r="B105" s="66">
        <v>263213</v>
      </c>
      <c r="C105" s="66">
        <v>206221</v>
      </c>
      <c r="D105" s="67" t="s">
        <v>1253</v>
      </c>
      <c r="E105" s="67" t="s">
        <v>1155</v>
      </c>
      <c r="F105" s="67"/>
      <c r="G105" s="67" t="s">
        <v>1252</v>
      </c>
      <c r="H105" s="67"/>
      <c r="I105" s="67" t="s">
        <v>3</v>
      </c>
      <c r="J105" s="68">
        <v>1000</v>
      </c>
      <c r="K105" s="68">
        <v>1390</v>
      </c>
      <c r="L105" s="67"/>
      <c r="M105" s="66">
        <v>1</v>
      </c>
      <c r="N105" s="66"/>
      <c r="O105" s="67"/>
      <c r="P105" s="8" t="str">
        <f t="shared" si="2"/>
        <v>1</v>
      </c>
      <c r="Q105" s="69" t="str">
        <f>INDEX(Торг!$H:$H,MATCH($B105,Торг!$B:$B,0))</f>
        <v>Китай БЕСТ ПАРТНЕР</v>
      </c>
      <c r="R105" s="11" t="b">
        <f>+EXACT(A105,VLOOKUP(A105,Торг!$A:$A,1,0))</f>
        <v>1</v>
      </c>
    </row>
    <row r="106" spans="1:18" ht="30" x14ac:dyDescent="0.25">
      <c r="A106" s="67" t="s">
        <v>1250</v>
      </c>
      <c r="B106" s="66">
        <v>263214</v>
      </c>
      <c r="C106" s="66">
        <v>206222</v>
      </c>
      <c r="D106" s="67" t="s">
        <v>1254</v>
      </c>
      <c r="E106" s="67" t="s">
        <v>1155</v>
      </c>
      <c r="F106" s="67"/>
      <c r="G106" s="67" t="s">
        <v>1252</v>
      </c>
      <c r="H106" s="67"/>
      <c r="I106" s="67" t="s">
        <v>3</v>
      </c>
      <c r="J106" s="68">
        <v>1000</v>
      </c>
      <c r="K106" s="68">
        <v>1390</v>
      </c>
      <c r="L106" s="67"/>
      <c r="M106" s="66">
        <v>1</v>
      </c>
      <c r="N106" s="66"/>
      <c r="O106" s="67"/>
      <c r="P106" s="8" t="str">
        <f t="shared" si="2"/>
        <v>1</v>
      </c>
      <c r="Q106" s="69" t="str">
        <f>INDEX(Торг!$H:$H,MATCH($B106,Торг!$B:$B,0))</f>
        <v>Китай БЕСТ ПАРТНЕР</v>
      </c>
      <c r="R106" s="11" t="b">
        <f>+EXACT(A106,VLOOKUP(A106,Торг!$A:$A,1,0))</f>
        <v>1</v>
      </c>
    </row>
    <row r="107" spans="1:18" ht="30" x14ac:dyDescent="0.25">
      <c r="A107" s="67" t="s">
        <v>1250</v>
      </c>
      <c r="B107" s="66">
        <v>263215</v>
      </c>
      <c r="C107" s="66">
        <v>206223</v>
      </c>
      <c r="D107" s="67" t="s">
        <v>1255</v>
      </c>
      <c r="E107" s="67" t="s">
        <v>1155</v>
      </c>
      <c r="F107" s="67"/>
      <c r="G107" s="67" t="s">
        <v>1252</v>
      </c>
      <c r="H107" s="67"/>
      <c r="I107" s="67" t="s">
        <v>3</v>
      </c>
      <c r="J107" s="68">
        <v>1000</v>
      </c>
      <c r="K107" s="68">
        <v>1390</v>
      </c>
      <c r="L107" s="67"/>
      <c r="M107" s="66">
        <v>1</v>
      </c>
      <c r="N107" s="66"/>
      <c r="O107" s="67"/>
      <c r="P107" s="8" t="str">
        <f t="shared" si="2"/>
        <v>1</v>
      </c>
      <c r="Q107" s="69" t="str">
        <f>INDEX(Торг!$H:$H,MATCH($B107,Торг!$B:$B,0))</f>
        <v>Китай БЕСТ ПАРТНЕР</v>
      </c>
      <c r="R107" s="11" t="b">
        <f>+EXACT(A107,VLOOKUP(A107,Торг!$A:$A,1,0))</f>
        <v>1</v>
      </c>
    </row>
    <row r="108" spans="1:18" ht="30" x14ac:dyDescent="0.25">
      <c r="A108" s="67" t="s">
        <v>1250</v>
      </c>
      <c r="B108" s="66">
        <v>263216</v>
      </c>
      <c r="C108" s="66">
        <v>206224</v>
      </c>
      <c r="D108" s="67" t="s">
        <v>1256</v>
      </c>
      <c r="E108" s="67" t="s">
        <v>1155</v>
      </c>
      <c r="F108" s="67"/>
      <c r="G108" s="67" t="s">
        <v>1252</v>
      </c>
      <c r="H108" s="67"/>
      <c r="I108" s="67" t="s">
        <v>3</v>
      </c>
      <c r="J108" s="68">
        <v>1000</v>
      </c>
      <c r="K108" s="68">
        <v>1390</v>
      </c>
      <c r="L108" s="67"/>
      <c r="M108" s="66">
        <v>1</v>
      </c>
      <c r="N108" s="66"/>
      <c r="O108" s="67"/>
      <c r="P108" s="8" t="str">
        <f t="shared" si="2"/>
        <v>1</v>
      </c>
      <c r="Q108" s="69" t="str">
        <f>INDEX(Торг!$H:$H,MATCH($B108,Торг!$B:$B,0))</f>
        <v>Китай БЕСТ ПАРТНЕР</v>
      </c>
      <c r="R108" s="11" t="b">
        <f>+EXACT(A108,VLOOKUP(A108,Торг!$A:$A,1,0))</f>
        <v>1</v>
      </c>
    </row>
    <row r="109" spans="1:18" ht="30" x14ac:dyDescent="0.25">
      <c r="A109" s="67" t="s">
        <v>1250</v>
      </c>
      <c r="B109" s="66">
        <v>263217</v>
      </c>
      <c r="C109" s="66">
        <v>206225</v>
      </c>
      <c r="D109" s="67" t="s">
        <v>1257</v>
      </c>
      <c r="E109" s="67" t="s">
        <v>1155</v>
      </c>
      <c r="F109" s="67"/>
      <c r="G109" s="67" t="s">
        <v>1252</v>
      </c>
      <c r="H109" s="67"/>
      <c r="I109" s="67" t="s">
        <v>3</v>
      </c>
      <c r="J109" s="68">
        <v>1000</v>
      </c>
      <c r="K109" s="68">
        <v>1390</v>
      </c>
      <c r="L109" s="67"/>
      <c r="M109" s="66">
        <v>1</v>
      </c>
      <c r="N109" s="66"/>
      <c r="O109" s="67"/>
      <c r="P109" s="8" t="str">
        <f t="shared" ref="P109" si="3">_xlfn.CONCAT(M109,IF(N109&lt;&gt;"",_xlfn.CONCAT("ск",N109),""))</f>
        <v>1</v>
      </c>
      <c r="Q109" s="69" t="str">
        <f>INDEX(Торг!$H:$H,MATCH($B109,Торг!$B:$B,0))</f>
        <v>Китай БЕСТ ПАРТНЕР</v>
      </c>
      <c r="R109" s="11" t="b">
        <f>+EXACT(A109,VLOOKUP(A109,Торг!$A:$A,1,0))</f>
        <v>1</v>
      </c>
    </row>
    <row r="110" spans="1:18" ht="30" x14ac:dyDescent="0.25">
      <c r="A110" s="67" t="s">
        <v>1250</v>
      </c>
      <c r="B110" s="66">
        <v>263218</v>
      </c>
      <c r="C110" s="66">
        <v>206257</v>
      </c>
      <c r="D110" s="67" t="s">
        <v>1258</v>
      </c>
      <c r="E110" s="67" t="s">
        <v>1155</v>
      </c>
      <c r="F110" s="67"/>
      <c r="G110" s="67" t="s">
        <v>1252</v>
      </c>
      <c r="H110" s="67"/>
      <c r="I110" s="67" t="s">
        <v>3</v>
      </c>
      <c r="J110" s="68">
        <v>1000</v>
      </c>
      <c r="K110" s="68">
        <v>1390</v>
      </c>
      <c r="L110" s="67"/>
      <c r="M110" s="66">
        <v>1</v>
      </c>
      <c r="N110" s="66"/>
      <c r="O110" s="67"/>
      <c r="P110" s="8" t="str">
        <f t="shared" ref="P110:P138" si="4">_xlfn.CONCAT(M110,IF(N110&lt;&gt;"",_xlfn.CONCAT("ск",N110),""))</f>
        <v>1</v>
      </c>
      <c r="Q110" s="69" t="str">
        <f>INDEX(Торг!$H:$H,MATCH($B110,Торг!$B:$B,0))</f>
        <v>Китай БЕСТ ПАРТНЕР</v>
      </c>
      <c r="R110" s="11" t="b">
        <f>+EXACT(A110,VLOOKUP(A110,Торг!$A:$A,1,0))</f>
        <v>1</v>
      </c>
    </row>
    <row r="111" spans="1:18" ht="30" x14ac:dyDescent="0.25">
      <c r="A111" s="67" t="s">
        <v>1250</v>
      </c>
      <c r="B111" s="66">
        <v>263219</v>
      </c>
      <c r="C111" s="66">
        <v>206226</v>
      </c>
      <c r="D111" s="67" t="s">
        <v>1259</v>
      </c>
      <c r="E111" s="67" t="s">
        <v>1155</v>
      </c>
      <c r="F111" s="67"/>
      <c r="G111" s="67" t="s">
        <v>1252</v>
      </c>
      <c r="H111" s="67"/>
      <c r="I111" s="67" t="s">
        <v>3</v>
      </c>
      <c r="J111" s="68">
        <v>1000</v>
      </c>
      <c r="K111" s="68">
        <v>1390</v>
      </c>
      <c r="L111" s="67"/>
      <c r="M111" s="66">
        <v>1</v>
      </c>
      <c r="N111" s="66"/>
      <c r="O111" s="67"/>
      <c r="P111" s="8" t="str">
        <f t="shared" si="4"/>
        <v>1</v>
      </c>
      <c r="Q111" s="69" t="str">
        <f>INDEX(Торг!$H:$H,MATCH($B111,Торг!$B:$B,0))</f>
        <v>Китай БЕСТ ПАРТНЕР</v>
      </c>
      <c r="R111" s="11" t="b">
        <f>+EXACT(A111,VLOOKUP(A111,Торг!$A:$A,1,0))</f>
        <v>1</v>
      </c>
    </row>
    <row r="112" spans="1:18" ht="30" x14ac:dyDescent="0.25">
      <c r="A112" s="67" t="s">
        <v>1393</v>
      </c>
      <c r="B112" s="66">
        <v>361699</v>
      </c>
      <c r="C112" s="66">
        <v>361699</v>
      </c>
      <c r="D112" s="67" t="s">
        <v>1394</v>
      </c>
      <c r="E112" s="67" t="s">
        <v>1155</v>
      </c>
      <c r="F112" s="67"/>
      <c r="G112" s="67" t="s">
        <v>1216</v>
      </c>
      <c r="H112" s="67"/>
      <c r="I112" s="67" t="s">
        <v>3</v>
      </c>
      <c r="J112" s="68">
        <v>1000</v>
      </c>
      <c r="K112" s="68">
        <v>1390</v>
      </c>
      <c r="L112" s="67"/>
      <c r="M112" s="66">
        <v>1</v>
      </c>
      <c r="N112" s="66"/>
      <c r="O112" s="67"/>
      <c r="P112" s="8" t="str">
        <f t="shared" si="4"/>
        <v>1</v>
      </c>
      <c r="Q112" s="69" t="str">
        <f>INDEX(Торг!$H:$H,MATCH($B112,Торг!$B:$B,0))</f>
        <v>Китай БЕСТ ПАРТНЕР</v>
      </c>
      <c r="R112" s="11" t="b">
        <f>+EXACT(A112,VLOOKUP(A112,Торг!$A:$A,1,0))</f>
        <v>1</v>
      </c>
    </row>
    <row r="113" spans="1:18" ht="30" x14ac:dyDescent="0.25">
      <c r="A113" s="67" t="s">
        <v>1393</v>
      </c>
      <c r="B113" s="66">
        <v>361700</v>
      </c>
      <c r="C113" s="66">
        <v>361700</v>
      </c>
      <c r="D113" s="67" t="s">
        <v>1260</v>
      </c>
      <c r="E113" s="67" t="s">
        <v>1155</v>
      </c>
      <c r="F113" s="67"/>
      <c r="G113" s="67" t="s">
        <v>1216</v>
      </c>
      <c r="H113" s="67"/>
      <c r="I113" s="67" t="s">
        <v>3</v>
      </c>
      <c r="J113" s="68">
        <v>1000</v>
      </c>
      <c r="K113" s="68">
        <v>1390</v>
      </c>
      <c r="L113" s="67"/>
      <c r="M113" s="66">
        <v>1</v>
      </c>
      <c r="N113" s="66"/>
      <c r="O113" s="67"/>
      <c r="P113" s="8" t="str">
        <f t="shared" si="4"/>
        <v>1</v>
      </c>
      <c r="Q113" s="69" t="str">
        <f>INDEX(Торг!$H:$H,MATCH($B113,Торг!$B:$B,0))</f>
        <v>Китай БЕСТ ПАРТНЕР</v>
      </c>
      <c r="R113" s="11" t="b">
        <f>+EXACT(A113,VLOOKUP(A113,Торг!$A:$A,1,0))</f>
        <v>1</v>
      </c>
    </row>
    <row r="114" spans="1:18" ht="30" x14ac:dyDescent="0.25">
      <c r="A114" s="67" t="s">
        <v>1393</v>
      </c>
      <c r="B114" s="66">
        <v>361701</v>
      </c>
      <c r="C114" s="66">
        <v>361701</v>
      </c>
      <c r="D114" s="67" t="s">
        <v>1395</v>
      </c>
      <c r="E114" s="67" t="s">
        <v>1155</v>
      </c>
      <c r="F114" s="67"/>
      <c r="G114" s="67" t="s">
        <v>1216</v>
      </c>
      <c r="H114" s="67"/>
      <c r="I114" s="67" t="s">
        <v>3</v>
      </c>
      <c r="J114" s="68">
        <v>1000</v>
      </c>
      <c r="K114" s="68">
        <v>1390</v>
      </c>
      <c r="L114" s="67"/>
      <c r="M114" s="66">
        <v>1</v>
      </c>
      <c r="N114" s="66"/>
      <c r="O114" s="67"/>
      <c r="P114" s="8" t="str">
        <f t="shared" si="4"/>
        <v>1</v>
      </c>
      <c r="Q114" s="69" t="str">
        <f>INDEX(Торг!$H:$H,MATCH($B114,Торг!$B:$B,0))</f>
        <v>Китай БЕСТ ПАРТНЕР</v>
      </c>
      <c r="R114" s="11" t="b">
        <f>+EXACT(A114,VLOOKUP(A114,Торг!$A:$A,1,0))</f>
        <v>1</v>
      </c>
    </row>
    <row r="115" spans="1:18" ht="30" x14ac:dyDescent="0.25">
      <c r="A115" s="67" t="s">
        <v>1393</v>
      </c>
      <c r="B115" s="66">
        <v>361702</v>
      </c>
      <c r="C115" s="66">
        <v>361702</v>
      </c>
      <c r="D115" s="67" t="s">
        <v>1262</v>
      </c>
      <c r="E115" s="67" t="s">
        <v>1155</v>
      </c>
      <c r="F115" s="67"/>
      <c r="G115" s="67" t="s">
        <v>1216</v>
      </c>
      <c r="H115" s="67"/>
      <c r="I115" s="67" t="s">
        <v>3</v>
      </c>
      <c r="J115" s="68">
        <v>1000</v>
      </c>
      <c r="K115" s="68">
        <v>1390</v>
      </c>
      <c r="L115" s="67"/>
      <c r="M115" s="66">
        <v>1</v>
      </c>
      <c r="N115" s="66"/>
      <c r="O115" s="67"/>
      <c r="P115" s="8" t="str">
        <f t="shared" si="4"/>
        <v>1</v>
      </c>
      <c r="Q115" s="69" t="str">
        <f>INDEX(Торг!$H:$H,MATCH($B115,Торг!$B:$B,0))</f>
        <v>Китай БЕСТ ПАРТНЕР</v>
      </c>
      <c r="R115" s="11" t="b">
        <f>+EXACT(A115,VLOOKUP(A115,Торг!$A:$A,1,0))</f>
        <v>1</v>
      </c>
    </row>
    <row r="116" spans="1:18" ht="30" x14ac:dyDescent="0.25">
      <c r="A116" s="67" t="s">
        <v>1393</v>
      </c>
      <c r="B116" s="66">
        <v>361703</v>
      </c>
      <c r="C116" s="66">
        <v>361703</v>
      </c>
      <c r="D116" s="67" t="s">
        <v>1263</v>
      </c>
      <c r="E116" s="67" t="s">
        <v>1155</v>
      </c>
      <c r="F116" s="67"/>
      <c r="G116" s="67" t="s">
        <v>1216</v>
      </c>
      <c r="H116" s="67"/>
      <c r="I116" s="67" t="s">
        <v>3</v>
      </c>
      <c r="J116" s="68">
        <v>1000</v>
      </c>
      <c r="K116" s="68">
        <v>1390</v>
      </c>
      <c r="L116" s="67"/>
      <c r="M116" s="66">
        <v>1</v>
      </c>
      <c r="N116" s="66"/>
      <c r="O116" s="67"/>
      <c r="P116" s="8" t="str">
        <f t="shared" si="4"/>
        <v>1</v>
      </c>
      <c r="Q116" s="69" t="str">
        <f>INDEX(Торг!$H:$H,MATCH($B116,Торг!$B:$B,0))</f>
        <v>Китай БЕСТ ПАРТНЕР</v>
      </c>
      <c r="R116" s="11" t="b">
        <f>+EXACT(A116,VLOOKUP(A116,Торг!$A:$A,1,0))</f>
        <v>1</v>
      </c>
    </row>
    <row r="117" spans="1:18" ht="30" x14ac:dyDescent="0.25">
      <c r="A117" s="67" t="s">
        <v>1393</v>
      </c>
      <c r="B117" s="66">
        <v>361704</v>
      </c>
      <c r="C117" s="66">
        <v>361704</v>
      </c>
      <c r="D117" s="67" t="s">
        <v>1265</v>
      </c>
      <c r="E117" s="67" t="s">
        <v>1155</v>
      </c>
      <c r="F117" s="67"/>
      <c r="G117" s="67" t="s">
        <v>1216</v>
      </c>
      <c r="H117" s="67"/>
      <c r="I117" s="67" t="s">
        <v>3</v>
      </c>
      <c r="J117" s="68">
        <v>1000</v>
      </c>
      <c r="K117" s="68">
        <v>1390</v>
      </c>
      <c r="L117" s="67"/>
      <c r="M117" s="66">
        <v>1</v>
      </c>
      <c r="N117" s="66"/>
      <c r="O117" s="67"/>
      <c r="P117" s="8" t="str">
        <f t="shared" si="4"/>
        <v>1</v>
      </c>
      <c r="Q117" s="69" t="str">
        <f>INDEX(Торг!$H:$H,MATCH($B117,Торг!$B:$B,0))</f>
        <v>Китай БЕСТ ПАРТНЕР</v>
      </c>
      <c r="R117" s="11" t="b">
        <f>+EXACT(A117,VLOOKUP(A117,Торг!$A:$A,1,0))</f>
        <v>1</v>
      </c>
    </row>
    <row r="118" spans="1:18" ht="30" x14ac:dyDescent="0.25">
      <c r="A118" s="67" t="s">
        <v>1393</v>
      </c>
      <c r="B118" s="66">
        <v>361705</v>
      </c>
      <c r="C118" s="66">
        <v>361705</v>
      </c>
      <c r="D118" s="67" t="s">
        <v>1266</v>
      </c>
      <c r="E118" s="67" t="s">
        <v>1155</v>
      </c>
      <c r="F118" s="67"/>
      <c r="G118" s="67" t="s">
        <v>1216</v>
      </c>
      <c r="H118" s="67"/>
      <c r="I118" s="67" t="s">
        <v>3</v>
      </c>
      <c r="J118" s="68">
        <v>1000</v>
      </c>
      <c r="K118" s="68">
        <v>1390</v>
      </c>
      <c r="L118" s="67"/>
      <c r="M118" s="66">
        <v>1</v>
      </c>
      <c r="N118" s="66"/>
      <c r="O118" s="67"/>
      <c r="P118" s="8" t="str">
        <f t="shared" si="4"/>
        <v>1</v>
      </c>
      <c r="Q118" s="69" t="str">
        <f>INDEX(Торг!$H:$H,MATCH($B118,Торг!$B:$B,0))</f>
        <v>Китай БЕСТ ПАРТНЕР</v>
      </c>
      <c r="R118" s="11" t="b">
        <f>+EXACT(A118,VLOOKUP(A118,Торг!$A:$A,1,0))</f>
        <v>1</v>
      </c>
    </row>
    <row r="119" spans="1:18" ht="30" x14ac:dyDescent="0.25">
      <c r="A119" s="67" t="s">
        <v>24</v>
      </c>
      <c r="B119" s="66">
        <v>315543</v>
      </c>
      <c r="C119" s="66">
        <v>315543</v>
      </c>
      <c r="D119" s="67" t="s">
        <v>1260</v>
      </c>
      <c r="E119" s="67" t="s">
        <v>1155</v>
      </c>
      <c r="F119" s="67"/>
      <c r="G119" s="67" t="s">
        <v>1261</v>
      </c>
      <c r="H119" s="67"/>
      <c r="I119" s="67" t="s">
        <v>3</v>
      </c>
      <c r="J119" s="68">
        <v>1000</v>
      </c>
      <c r="K119" s="68">
        <v>1390</v>
      </c>
      <c r="L119" s="67"/>
      <c r="M119" s="66">
        <v>1</v>
      </c>
      <c r="N119" s="66"/>
      <c r="O119" s="67"/>
      <c r="P119" s="8" t="str">
        <f t="shared" si="4"/>
        <v>1</v>
      </c>
      <c r="Q119" s="69" t="str">
        <f>INDEX(Торг!$H:$H,MATCH($B119,Торг!$B:$B,0))</f>
        <v>Китай БЕСТ ПАРТНЕР</v>
      </c>
      <c r="R119" s="11" t="b">
        <f>+EXACT(A119,VLOOKUP(A119,Торг!$A:$A,1,0))</f>
        <v>1</v>
      </c>
    </row>
    <row r="120" spans="1:18" ht="30" x14ac:dyDescent="0.25">
      <c r="A120" s="67" t="s">
        <v>24</v>
      </c>
      <c r="B120" s="66">
        <v>315540</v>
      </c>
      <c r="C120" s="66">
        <v>315540</v>
      </c>
      <c r="D120" s="67" t="s">
        <v>1262</v>
      </c>
      <c r="E120" s="67" t="s">
        <v>1155</v>
      </c>
      <c r="F120" s="67"/>
      <c r="G120" s="67" t="s">
        <v>1261</v>
      </c>
      <c r="H120" s="67"/>
      <c r="I120" s="67" t="s">
        <v>3</v>
      </c>
      <c r="J120" s="68">
        <v>1000</v>
      </c>
      <c r="K120" s="68">
        <v>1390</v>
      </c>
      <c r="L120" s="67"/>
      <c r="M120" s="66">
        <v>1</v>
      </c>
      <c r="N120" s="66"/>
      <c r="O120" s="67"/>
      <c r="P120" s="8" t="str">
        <f t="shared" si="4"/>
        <v>1</v>
      </c>
      <c r="Q120" s="69" t="str">
        <f>INDEX(Торг!$H:$H,MATCH($B120,Торг!$B:$B,0))</f>
        <v>Китай БЕСТ ПАРТНЕР</v>
      </c>
      <c r="R120" s="11" t="b">
        <f>+EXACT(A120,VLOOKUP(A120,Торг!$A:$A,1,0))</f>
        <v>1</v>
      </c>
    </row>
    <row r="121" spans="1:18" ht="30" x14ac:dyDescent="0.25">
      <c r="A121" s="67" t="s">
        <v>24</v>
      </c>
      <c r="B121" s="66">
        <v>315542</v>
      </c>
      <c r="C121" s="66">
        <v>315542</v>
      </c>
      <c r="D121" s="67" t="s">
        <v>1263</v>
      </c>
      <c r="E121" s="67" t="s">
        <v>1155</v>
      </c>
      <c r="F121" s="67"/>
      <c r="G121" s="67" t="s">
        <v>1261</v>
      </c>
      <c r="H121" s="67"/>
      <c r="I121" s="67" t="s">
        <v>3</v>
      </c>
      <c r="J121" s="68">
        <v>1000</v>
      </c>
      <c r="K121" s="68">
        <v>1390</v>
      </c>
      <c r="L121" s="67"/>
      <c r="M121" s="66">
        <v>1</v>
      </c>
      <c r="N121" s="66"/>
      <c r="O121" s="67"/>
      <c r="P121" s="8" t="str">
        <f t="shared" si="4"/>
        <v>1</v>
      </c>
      <c r="Q121" s="69" t="str">
        <f>INDEX(Торг!$H:$H,MATCH($B121,Торг!$B:$B,0))</f>
        <v>Китай БЕСТ ПАРТНЕР</v>
      </c>
      <c r="R121" s="11" t="b">
        <f>+EXACT(A121,VLOOKUP(A121,Торг!$A:$A,1,0))</f>
        <v>1</v>
      </c>
    </row>
    <row r="122" spans="1:18" ht="30" x14ac:dyDescent="0.25">
      <c r="A122" s="67" t="s">
        <v>24</v>
      </c>
      <c r="B122" s="66">
        <v>315537</v>
      </c>
      <c r="C122" s="66">
        <v>315537</v>
      </c>
      <c r="D122" s="67" t="s">
        <v>1264</v>
      </c>
      <c r="E122" s="67" t="s">
        <v>1155</v>
      </c>
      <c r="F122" s="67"/>
      <c r="G122" s="67" t="s">
        <v>1261</v>
      </c>
      <c r="H122" s="67"/>
      <c r="I122" s="67" t="s">
        <v>3</v>
      </c>
      <c r="J122" s="68">
        <v>1000</v>
      </c>
      <c r="K122" s="68">
        <v>1390</v>
      </c>
      <c r="L122" s="67"/>
      <c r="M122" s="66">
        <v>1</v>
      </c>
      <c r="N122" s="66"/>
      <c r="O122" s="67"/>
      <c r="P122" s="8" t="str">
        <f t="shared" si="4"/>
        <v>1</v>
      </c>
      <c r="Q122" s="69" t="str">
        <f>INDEX(Торг!$H:$H,MATCH($B122,Торг!$B:$B,0))</f>
        <v>Китай БЕСТ ПАРТНЕР</v>
      </c>
      <c r="R122" s="11" t="b">
        <f>+EXACT(A122,VLOOKUP(A122,Торг!$A:$A,1,0))</f>
        <v>1</v>
      </c>
    </row>
    <row r="123" spans="1:18" ht="30" x14ac:dyDescent="0.25">
      <c r="A123" s="67" t="s">
        <v>24</v>
      </c>
      <c r="B123" s="66">
        <v>315541</v>
      </c>
      <c r="C123" s="66">
        <v>315541</v>
      </c>
      <c r="D123" s="67" t="s">
        <v>1265</v>
      </c>
      <c r="E123" s="67" t="s">
        <v>1155</v>
      </c>
      <c r="F123" s="67"/>
      <c r="G123" s="67" t="s">
        <v>1261</v>
      </c>
      <c r="H123" s="67"/>
      <c r="I123" s="67" t="s">
        <v>3</v>
      </c>
      <c r="J123" s="68">
        <v>1000</v>
      </c>
      <c r="K123" s="68">
        <v>1390</v>
      </c>
      <c r="L123" s="67"/>
      <c r="M123" s="66">
        <v>1</v>
      </c>
      <c r="N123" s="66"/>
      <c r="O123" s="67"/>
      <c r="P123" s="8" t="str">
        <f t="shared" si="4"/>
        <v>1</v>
      </c>
      <c r="Q123" s="69" t="str">
        <f>INDEX(Торг!$H:$H,MATCH($B123,Торг!$B:$B,0))</f>
        <v>Китай БЕСТ ПАРТНЕР</v>
      </c>
      <c r="R123" s="11" t="b">
        <f>+EXACT(A123,VLOOKUP(A123,Торг!$A:$A,1,0))</f>
        <v>1</v>
      </c>
    </row>
    <row r="124" spans="1:18" ht="30" x14ac:dyDescent="0.25">
      <c r="A124" s="67" t="s">
        <v>24</v>
      </c>
      <c r="B124" s="66">
        <v>315538</v>
      </c>
      <c r="C124" s="66">
        <v>315538</v>
      </c>
      <c r="D124" s="67" t="s">
        <v>1266</v>
      </c>
      <c r="E124" s="67" t="s">
        <v>1155</v>
      </c>
      <c r="F124" s="67"/>
      <c r="G124" s="67" t="s">
        <v>1261</v>
      </c>
      <c r="H124" s="67"/>
      <c r="I124" s="67" t="s">
        <v>3</v>
      </c>
      <c r="J124" s="68">
        <v>1000</v>
      </c>
      <c r="K124" s="68">
        <v>1390</v>
      </c>
      <c r="L124" s="67"/>
      <c r="M124" s="66">
        <v>1</v>
      </c>
      <c r="N124" s="66"/>
      <c r="O124" s="67"/>
      <c r="P124" s="8" t="str">
        <f t="shared" si="4"/>
        <v>1</v>
      </c>
      <c r="Q124" s="69" t="str">
        <f>INDEX(Торг!$H:$H,MATCH($B124,Торг!$B:$B,0))</f>
        <v>Китай БЕСТ ПАРТНЕР</v>
      </c>
      <c r="R124" s="11" t="b">
        <f>+EXACT(A124,VLOOKUP(A124,Торг!$A:$A,1,0))</f>
        <v>1</v>
      </c>
    </row>
    <row r="125" spans="1:18" ht="30" x14ac:dyDescent="0.25">
      <c r="A125" s="67" t="s">
        <v>24</v>
      </c>
      <c r="B125" s="66">
        <v>315539</v>
      </c>
      <c r="C125" s="66">
        <v>315539</v>
      </c>
      <c r="D125" s="67" t="s">
        <v>1267</v>
      </c>
      <c r="E125" s="67" t="s">
        <v>1155</v>
      </c>
      <c r="F125" s="67"/>
      <c r="G125" s="67" t="s">
        <v>1261</v>
      </c>
      <c r="H125" s="67"/>
      <c r="I125" s="67" t="s">
        <v>3</v>
      </c>
      <c r="J125" s="68">
        <v>1000</v>
      </c>
      <c r="K125" s="68">
        <v>1390</v>
      </c>
      <c r="L125" s="67"/>
      <c r="M125" s="66">
        <v>1</v>
      </c>
      <c r="N125" s="66"/>
      <c r="O125" s="67"/>
      <c r="P125" s="8" t="str">
        <f t="shared" si="4"/>
        <v>1</v>
      </c>
      <c r="Q125" s="69" t="str">
        <f>INDEX(Торг!$H:$H,MATCH($B125,Торг!$B:$B,0))</f>
        <v>Китай БЕСТ ПАРТНЕР</v>
      </c>
      <c r="R125" s="11" t="b">
        <f>+EXACT(A125,VLOOKUP(A125,Торг!$A:$A,1,0))</f>
        <v>1</v>
      </c>
    </row>
    <row r="126" spans="1:18" ht="75" x14ac:dyDescent="0.25">
      <c r="A126" s="67" t="s">
        <v>1396</v>
      </c>
      <c r="B126" s="66">
        <v>357809</v>
      </c>
      <c r="C126" s="66">
        <v>357809</v>
      </c>
      <c r="D126" s="67" t="s">
        <v>1397</v>
      </c>
      <c r="E126" s="67" t="s">
        <v>1155</v>
      </c>
      <c r="F126" s="67"/>
      <c r="G126" s="67"/>
      <c r="H126" s="67"/>
      <c r="I126" s="67" t="s">
        <v>3</v>
      </c>
      <c r="J126" s="68">
        <v>850</v>
      </c>
      <c r="K126" s="68">
        <v>1390</v>
      </c>
      <c r="L126" s="67"/>
      <c r="M126" s="66">
        <v>1</v>
      </c>
      <c r="N126" s="66"/>
      <c r="O126" s="67"/>
      <c r="P126" s="8" t="str">
        <f t="shared" si="4"/>
        <v>1</v>
      </c>
      <c r="Q126" s="69" t="str">
        <f>INDEX(Торг!$H:$H,MATCH($B126,Торг!$B:$B,0))</f>
        <v>Китай БЕСТ ПАРТНЕР</v>
      </c>
      <c r="R126" s="11" t="b">
        <f>+EXACT(A126,VLOOKUP(A126,Торг!$A:$A,1,0))</f>
        <v>1</v>
      </c>
    </row>
    <row r="127" spans="1:18" ht="75" x14ac:dyDescent="0.25">
      <c r="A127" s="67" t="s">
        <v>1396</v>
      </c>
      <c r="B127" s="66">
        <v>357808</v>
      </c>
      <c r="C127" s="66">
        <v>357808</v>
      </c>
      <c r="D127" s="67" t="s">
        <v>1398</v>
      </c>
      <c r="E127" s="67" t="s">
        <v>1155</v>
      </c>
      <c r="F127" s="67"/>
      <c r="G127" s="67"/>
      <c r="H127" s="67"/>
      <c r="I127" s="67" t="s">
        <v>3</v>
      </c>
      <c r="J127" s="68">
        <v>950</v>
      </c>
      <c r="K127" s="68">
        <v>1490</v>
      </c>
      <c r="L127" s="67"/>
      <c r="M127" s="66">
        <v>0</v>
      </c>
      <c r="N127" s="66"/>
      <c r="O127" s="67"/>
      <c r="P127" s="8" t="str">
        <f t="shared" si="4"/>
        <v>0</v>
      </c>
      <c r="Q127" s="69" t="str">
        <f>INDEX(Торг!$H:$H,MATCH($B127,Торг!$B:$B,0))</f>
        <v>Китай БЕСТ ПАРТНЕР</v>
      </c>
      <c r="R127" s="11" t="b">
        <f>+EXACT(A127,VLOOKUP(A127,Торг!$A:$A,1,0))</f>
        <v>1</v>
      </c>
    </row>
    <row r="128" spans="1:18" ht="75" x14ac:dyDescent="0.25">
      <c r="A128" s="67" t="s">
        <v>1396</v>
      </c>
      <c r="B128" s="66">
        <v>357807</v>
      </c>
      <c r="C128" s="66">
        <v>357807</v>
      </c>
      <c r="D128" s="67" t="s">
        <v>1399</v>
      </c>
      <c r="E128" s="67" t="s">
        <v>1155</v>
      </c>
      <c r="F128" s="67"/>
      <c r="G128" s="67"/>
      <c r="H128" s="67"/>
      <c r="I128" s="67" t="s">
        <v>3</v>
      </c>
      <c r="J128" s="68">
        <v>900</v>
      </c>
      <c r="K128" s="68">
        <v>1490</v>
      </c>
      <c r="L128" s="67"/>
      <c r="M128" s="66">
        <v>1</v>
      </c>
      <c r="N128" s="66"/>
      <c r="O128" s="67"/>
      <c r="P128" s="8" t="str">
        <f t="shared" si="4"/>
        <v>1</v>
      </c>
      <c r="Q128" s="69" t="str">
        <f>INDEX(Торг!$H:$H,MATCH($B128,Торг!$B:$B,0))</f>
        <v>Китай БЕСТ ПАРТНЕР</v>
      </c>
      <c r="R128" s="11" t="b">
        <f>+EXACT(A128,VLOOKUP(A128,Торг!$A:$A,1,0))</f>
        <v>1</v>
      </c>
    </row>
    <row r="129" spans="1:18" ht="45" x14ac:dyDescent="0.25">
      <c r="A129" s="67" t="s">
        <v>1400</v>
      </c>
      <c r="B129" s="66">
        <v>357507</v>
      </c>
      <c r="C129" s="66">
        <v>357507</v>
      </c>
      <c r="D129" s="67" t="s">
        <v>1401</v>
      </c>
      <c r="E129" s="67" t="s">
        <v>1155</v>
      </c>
      <c r="F129" s="67"/>
      <c r="G129" s="67"/>
      <c r="H129" s="67"/>
      <c r="I129" s="67" t="s">
        <v>3</v>
      </c>
      <c r="J129" s="68">
        <v>700</v>
      </c>
      <c r="K129" s="68">
        <v>1090</v>
      </c>
      <c r="L129" s="67"/>
      <c r="M129" s="66">
        <v>1</v>
      </c>
      <c r="N129" s="66"/>
      <c r="O129" s="67"/>
      <c r="P129" s="8" t="str">
        <f t="shared" si="4"/>
        <v>1</v>
      </c>
      <c r="Q129" s="69" t="str">
        <f>INDEX(Торг!$H:$H,MATCH($B129,Торг!$B:$B,0))</f>
        <v>Китай БЕСТ ПАРТНЕР</v>
      </c>
      <c r="R129" s="11" t="b">
        <f>+EXACT(A129,VLOOKUP(A129,Торг!$A:$A,1,0))</f>
        <v>1</v>
      </c>
    </row>
    <row r="130" spans="1:18" ht="45" x14ac:dyDescent="0.25">
      <c r="A130" s="67" t="s">
        <v>1400</v>
      </c>
      <c r="B130" s="66">
        <v>357508</v>
      </c>
      <c r="C130" s="66">
        <v>357508</v>
      </c>
      <c r="D130" s="67" t="s">
        <v>1402</v>
      </c>
      <c r="E130" s="67" t="s">
        <v>1155</v>
      </c>
      <c r="F130" s="67"/>
      <c r="G130" s="67"/>
      <c r="H130" s="67"/>
      <c r="I130" s="67" t="s">
        <v>3</v>
      </c>
      <c r="J130" s="68">
        <v>700</v>
      </c>
      <c r="K130" s="68">
        <v>1090</v>
      </c>
      <c r="L130" s="67"/>
      <c r="M130" s="66">
        <v>1</v>
      </c>
      <c r="N130" s="66">
        <v>1</v>
      </c>
      <c r="O130" s="67"/>
      <c r="P130" s="8" t="str">
        <f t="shared" si="4"/>
        <v>1ск1</v>
      </c>
      <c r="Q130" s="69" t="str">
        <f>INDEX(Торг!$H:$H,MATCH($B130,Торг!$B:$B,0))</f>
        <v>Китай БЕСТ ПАРТНЕР</v>
      </c>
      <c r="R130" s="11" t="b">
        <f>+EXACT(A130,VLOOKUP(A130,Торг!$A:$A,1,0))</f>
        <v>1</v>
      </c>
    </row>
    <row r="131" spans="1:18" ht="60" x14ac:dyDescent="0.25">
      <c r="A131" s="67" t="s">
        <v>1403</v>
      </c>
      <c r="B131" s="66">
        <v>357574</v>
      </c>
      <c r="C131" s="66">
        <v>357574</v>
      </c>
      <c r="D131" s="67" t="s">
        <v>1404</v>
      </c>
      <c r="E131" s="67" t="s">
        <v>1155</v>
      </c>
      <c r="F131" s="67"/>
      <c r="G131" s="67" t="s">
        <v>654</v>
      </c>
      <c r="H131" s="67"/>
      <c r="I131" s="67" t="s">
        <v>3</v>
      </c>
      <c r="J131" s="68">
        <v>1900</v>
      </c>
      <c r="K131" s="68">
        <v>2690</v>
      </c>
      <c r="L131" s="67"/>
      <c r="M131" s="66">
        <v>1</v>
      </c>
      <c r="N131" s="66"/>
      <c r="O131" s="67"/>
      <c r="P131" s="8" t="str">
        <f t="shared" si="4"/>
        <v>1</v>
      </c>
      <c r="Q131" s="69" t="str">
        <f>INDEX(Торг!$H:$H,MATCH($B131,Торг!$B:$B,0))</f>
        <v>Китай БЕСТ ПАРТНЕР</v>
      </c>
      <c r="R131" s="11" t="b">
        <f>+EXACT(A131,VLOOKUP(A131,Торг!$A:$A,1,0))</f>
        <v>1</v>
      </c>
    </row>
    <row r="132" spans="1:18" ht="60" x14ac:dyDescent="0.25">
      <c r="A132" s="67" t="s">
        <v>1403</v>
      </c>
      <c r="B132" s="66">
        <v>357575</v>
      </c>
      <c r="C132" s="66">
        <v>357575</v>
      </c>
      <c r="D132" s="67" t="s">
        <v>1405</v>
      </c>
      <c r="E132" s="67" t="s">
        <v>1155</v>
      </c>
      <c r="F132" s="67"/>
      <c r="G132" s="67" t="s">
        <v>655</v>
      </c>
      <c r="H132" s="67"/>
      <c r="I132" s="67" t="s">
        <v>3</v>
      </c>
      <c r="J132" s="68">
        <v>1900</v>
      </c>
      <c r="K132" s="68">
        <v>2690</v>
      </c>
      <c r="L132" s="67"/>
      <c r="M132" s="66">
        <v>1</v>
      </c>
      <c r="N132" s="66"/>
      <c r="O132" s="67"/>
      <c r="P132" s="8" t="str">
        <f t="shared" si="4"/>
        <v>1</v>
      </c>
      <c r="Q132" s="69" t="str">
        <f>INDEX(Торг!$H:$H,MATCH($B132,Торг!$B:$B,0))</f>
        <v>Китай БЕСТ ПАРТНЕР</v>
      </c>
      <c r="R132" s="11" t="b">
        <f>+EXACT(A132,VLOOKUP(A132,Торг!$A:$A,1,0))</f>
        <v>1</v>
      </c>
    </row>
    <row r="133" spans="1:18" ht="90" x14ac:dyDescent="0.25">
      <c r="A133" s="67" t="s">
        <v>1406</v>
      </c>
      <c r="B133" s="66">
        <v>357440</v>
      </c>
      <c r="C133" s="66">
        <v>357440</v>
      </c>
      <c r="D133" s="67" t="s">
        <v>1407</v>
      </c>
      <c r="E133" s="67" t="s">
        <v>1155</v>
      </c>
      <c r="F133" s="67"/>
      <c r="G133" s="67"/>
      <c r="H133" s="67"/>
      <c r="I133" s="67" t="s">
        <v>3</v>
      </c>
      <c r="J133" s="68">
        <v>650</v>
      </c>
      <c r="K133" s="68">
        <v>1090</v>
      </c>
      <c r="L133" s="67" t="s">
        <v>1477</v>
      </c>
      <c r="M133" s="66">
        <v>1</v>
      </c>
      <c r="N133" s="66"/>
      <c r="O133" s="67"/>
      <c r="P133" s="8" t="str">
        <f t="shared" si="4"/>
        <v>1</v>
      </c>
      <c r="Q133" s="69" t="str">
        <f>INDEX(Торг!$H:$H,MATCH($B133,Торг!$B:$B,0))</f>
        <v>Китай БЕСТ ПАРТНЕР</v>
      </c>
      <c r="R133" s="11" t="b">
        <f>+EXACT(A133,VLOOKUP(A133,Торг!$A:$A,1,0))</f>
        <v>1</v>
      </c>
    </row>
    <row r="134" spans="1:18" ht="90" x14ac:dyDescent="0.25">
      <c r="A134" s="67" t="s">
        <v>1406</v>
      </c>
      <c r="B134" s="66">
        <v>357442</v>
      </c>
      <c r="C134" s="66">
        <v>357442</v>
      </c>
      <c r="D134" s="67" t="s">
        <v>1408</v>
      </c>
      <c r="E134" s="67" t="s">
        <v>1155</v>
      </c>
      <c r="F134" s="67"/>
      <c r="G134" s="67"/>
      <c r="H134" s="67"/>
      <c r="I134" s="67" t="s">
        <v>3</v>
      </c>
      <c r="J134" s="68">
        <v>650</v>
      </c>
      <c r="K134" s="68">
        <v>1090</v>
      </c>
      <c r="L134" s="67" t="s">
        <v>1498</v>
      </c>
      <c r="M134" s="66">
        <v>1</v>
      </c>
      <c r="N134" s="66"/>
      <c r="O134" s="67"/>
      <c r="P134" s="8" t="str">
        <f t="shared" si="4"/>
        <v>1</v>
      </c>
      <c r="Q134" s="69" t="str">
        <f>INDEX(Торг!$H:$H,MATCH($B134,Торг!$B:$B,0))</f>
        <v>Китай БЕСТ ПАРТНЕР</v>
      </c>
      <c r="R134" s="11" t="b">
        <f>+EXACT(A134,VLOOKUP(A134,Торг!$A:$A,1,0))</f>
        <v>1</v>
      </c>
    </row>
    <row r="135" spans="1:18" ht="90" x14ac:dyDescent="0.25">
      <c r="A135" s="67" t="s">
        <v>1406</v>
      </c>
      <c r="B135" s="66">
        <v>357452</v>
      </c>
      <c r="C135" s="66">
        <v>357452</v>
      </c>
      <c r="D135" s="67" t="s">
        <v>1409</v>
      </c>
      <c r="E135" s="67" t="s">
        <v>1155</v>
      </c>
      <c r="F135" s="67"/>
      <c r="G135" s="67"/>
      <c r="H135" s="67"/>
      <c r="I135" s="67" t="s">
        <v>3</v>
      </c>
      <c r="J135" s="68">
        <v>650</v>
      </c>
      <c r="K135" s="68">
        <v>1090</v>
      </c>
      <c r="L135" s="67" t="s">
        <v>1499</v>
      </c>
      <c r="M135" s="66">
        <v>1</v>
      </c>
      <c r="N135" s="66"/>
      <c r="O135" s="67"/>
      <c r="P135" s="8" t="str">
        <f t="shared" si="4"/>
        <v>1</v>
      </c>
      <c r="Q135" s="69" t="str">
        <f>INDEX(Торг!$H:$H,MATCH($B135,Торг!$B:$B,0))</f>
        <v>Китай БЕСТ ПАРТНЕР</v>
      </c>
      <c r="R135" s="11" t="b">
        <f>+EXACT(A135,VLOOKUP(A135,Торг!$A:$A,1,0))</f>
        <v>1</v>
      </c>
    </row>
    <row r="136" spans="1:18" ht="90" x14ac:dyDescent="0.25">
      <c r="A136" s="67" t="s">
        <v>1406</v>
      </c>
      <c r="B136" s="66">
        <v>357439</v>
      </c>
      <c r="C136" s="66">
        <v>357439</v>
      </c>
      <c r="D136" s="67" t="s">
        <v>1410</v>
      </c>
      <c r="E136" s="67" t="s">
        <v>1155</v>
      </c>
      <c r="F136" s="67"/>
      <c r="G136" s="67"/>
      <c r="H136" s="67"/>
      <c r="I136" s="67" t="s">
        <v>3</v>
      </c>
      <c r="J136" s="68">
        <v>750</v>
      </c>
      <c r="K136" s="68">
        <v>1390</v>
      </c>
      <c r="L136" s="67" t="s">
        <v>1500</v>
      </c>
      <c r="M136" s="66">
        <v>1</v>
      </c>
      <c r="N136" s="66">
        <v>1</v>
      </c>
      <c r="O136" s="67"/>
      <c r="P136" s="8" t="str">
        <f t="shared" si="4"/>
        <v>1ск1</v>
      </c>
      <c r="Q136" s="69" t="str">
        <f>INDEX(Торг!$H:$H,MATCH($B136,Торг!$B:$B,0))</f>
        <v>Китай БЕСТ ПАРТНЕР</v>
      </c>
      <c r="R136" s="11" t="b">
        <f>+EXACT(A136,VLOOKUP(A136,Торг!$A:$A,1,0))</f>
        <v>1</v>
      </c>
    </row>
    <row r="137" spans="1:18" ht="90" x14ac:dyDescent="0.25">
      <c r="A137" s="67" t="s">
        <v>1406</v>
      </c>
      <c r="B137" s="66">
        <v>357441</v>
      </c>
      <c r="C137" s="66">
        <v>357441</v>
      </c>
      <c r="D137" s="67" t="s">
        <v>1411</v>
      </c>
      <c r="E137" s="67" t="s">
        <v>1155</v>
      </c>
      <c r="F137" s="67"/>
      <c r="G137" s="67"/>
      <c r="H137" s="67"/>
      <c r="I137" s="67" t="s">
        <v>3</v>
      </c>
      <c r="J137" s="68">
        <v>650</v>
      </c>
      <c r="K137" s="68">
        <v>1390</v>
      </c>
      <c r="L137" s="67" t="s">
        <v>1501</v>
      </c>
      <c r="M137" s="66">
        <v>1</v>
      </c>
      <c r="N137" s="66"/>
      <c r="O137" s="67"/>
      <c r="P137" s="8" t="str">
        <f t="shared" si="4"/>
        <v>1</v>
      </c>
      <c r="Q137" s="69" t="str">
        <f>INDEX(Торг!$H:$H,MATCH($B137,Торг!$B:$B,0))</f>
        <v>Китай БЕСТ ПАРТНЕР</v>
      </c>
      <c r="R137" s="11" t="b">
        <f>+EXACT(A137,VLOOKUP(A137,Торг!$A:$A,1,0))</f>
        <v>1</v>
      </c>
    </row>
    <row r="138" spans="1:18" ht="45" x14ac:dyDescent="0.25">
      <c r="A138" s="67" t="s">
        <v>1524</v>
      </c>
      <c r="B138" s="66">
        <v>357428</v>
      </c>
      <c r="C138" s="66">
        <v>357428</v>
      </c>
      <c r="D138" s="67" t="s">
        <v>1412</v>
      </c>
      <c r="E138" s="67" t="s">
        <v>1155</v>
      </c>
      <c r="F138" s="67"/>
      <c r="G138" s="67"/>
      <c r="H138" s="67"/>
      <c r="I138" s="67" t="s">
        <v>3</v>
      </c>
      <c r="J138" s="68">
        <v>3200</v>
      </c>
      <c r="K138" s="68">
        <v>4390</v>
      </c>
      <c r="L138" s="67"/>
      <c r="M138" s="66">
        <v>1</v>
      </c>
      <c r="N138" s="66"/>
      <c r="O138" s="67"/>
      <c r="P138" s="8" t="str">
        <f t="shared" si="4"/>
        <v>1</v>
      </c>
      <c r="Q138" s="69" t="str">
        <f>INDEX(Торг!$H:$H,MATCH($B138,Торг!$B:$B,0))</f>
        <v>Китай БЕСТ ПАРТНЕР</v>
      </c>
      <c r="R138" s="11" t="b">
        <f>+EXACT(A138,VLOOKUP(A138,Торг!$A:$A,1,0))</f>
        <v>1</v>
      </c>
    </row>
    <row r="139" spans="1:18" ht="45" x14ac:dyDescent="0.25">
      <c r="A139" s="67" t="s">
        <v>1524</v>
      </c>
      <c r="B139" s="66">
        <v>357427</v>
      </c>
      <c r="C139" s="66">
        <v>357427</v>
      </c>
      <c r="D139" s="67" t="s">
        <v>1413</v>
      </c>
      <c r="E139" s="67" t="s">
        <v>1155</v>
      </c>
      <c r="F139" s="67"/>
      <c r="G139" s="67"/>
      <c r="H139" s="67"/>
      <c r="I139" s="67" t="s">
        <v>3</v>
      </c>
      <c r="J139" s="68">
        <v>3200</v>
      </c>
      <c r="K139" s="68">
        <v>4390</v>
      </c>
      <c r="L139" s="67"/>
      <c r="M139" s="66">
        <v>1</v>
      </c>
      <c r="N139" s="66"/>
      <c r="O139" s="67"/>
      <c r="P139" s="8" t="str">
        <f t="shared" ref="P139:P146" si="5">_xlfn.CONCAT(M139,IF(N139&lt;&gt;"",_xlfn.CONCAT("ск",N139),""))</f>
        <v>1</v>
      </c>
      <c r="Q139" s="69" t="str">
        <f>INDEX(Торг!$H:$H,MATCH($B139,Торг!$B:$B,0))</f>
        <v>Китай БЕСТ ПАРТНЕР</v>
      </c>
      <c r="R139" s="11" t="b">
        <f>+EXACT(A139,VLOOKUP(A139,Торг!$A:$A,1,0))</f>
        <v>1</v>
      </c>
    </row>
    <row r="140" spans="1:18" ht="45" x14ac:dyDescent="0.25">
      <c r="A140" s="67" t="s">
        <v>1524</v>
      </c>
      <c r="B140" s="66">
        <v>357429</v>
      </c>
      <c r="C140" s="66">
        <v>357429</v>
      </c>
      <c r="D140" s="67" t="s">
        <v>1414</v>
      </c>
      <c r="E140" s="67" t="s">
        <v>1155</v>
      </c>
      <c r="F140" s="67"/>
      <c r="G140" s="67" t="s">
        <v>675</v>
      </c>
      <c r="H140" s="67"/>
      <c r="I140" s="67" t="s">
        <v>3</v>
      </c>
      <c r="J140" s="68">
        <v>3200</v>
      </c>
      <c r="K140" s="68">
        <v>4390</v>
      </c>
      <c r="L140" s="67"/>
      <c r="M140" s="66">
        <v>1</v>
      </c>
      <c r="N140" s="66"/>
      <c r="O140" s="67"/>
      <c r="P140" s="8" t="str">
        <f t="shared" si="5"/>
        <v>1</v>
      </c>
      <c r="Q140" s="69" t="str">
        <f>INDEX(Торг!$H:$H,MATCH($B140,Торг!$B:$B,0))</f>
        <v>Китай БЕСТ ПАРТНЕР</v>
      </c>
      <c r="R140" s="11" t="b">
        <f>+EXACT(A140,VLOOKUP(A140,Торг!$A:$A,1,0))</f>
        <v>1</v>
      </c>
    </row>
    <row r="141" spans="1:18" ht="45" x14ac:dyDescent="0.25">
      <c r="A141" s="67" t="s">
        <v>1524</v>
      </c>
      <c r="B141" s="66">
        <v>357426</v>
      </c>
      <c r="C141" s="66">
        <v>357426</v>
      </c>
      <c r="D141" s="67" t="s">
        <v>1415</v>
      </c>
      <c r="E141" s="67" t="s">
        <v>1155</v>
      </c>
      <c r="F141" s="67"/>
      <c r="G141" s="67" t="s">
        <v>676</v>
      </c>
      <c r="H141" s="67"/>
      <c r="I141" s="67" t="s">
        <v>3</v>
      </c>
      <c r="J141" s="68">
        <v>3200</v>
      </c>
      <c r="K141" s="68">
        <v>4390</v>
      </c>
      <c r="L141" s="67"/>
      <c r="M141" s="66">
        <v>1</v>
      </c>
      <c r="N141" s="66"/>
      <c r="O141" s="67"/>
      <c r="P141" s="8" t="str">
        <f t="shared" si="5"/>
        <v>1</v>
      </c>
      <c r="Q141" s="69" t="str">
        <f>INDEX(Торг!$H:$H,MATCH($B141,Торг!$B:$B,0))</f>
        <v>Китай БЕСТ ПАРТНЕР</v>
      </c>
      <c r="R141" s="11" t="b">
        <f>+EXACT(A141,VLOOKUP(A141,Торг!$A:$A,1,0))</f>
        <v>1</v>
      </c>
    </row>
    <row r="142" spans="1:18" ht="30" x14ac:dyDescent="0.25">
      <c r="A142" s="67" t="s">
        <v>1525</v>
      </c>
      <c r="B142" s="66">
        <v>363400</v>
      </c>
      <c r="C142" s="66">
        <v>10041</v>
      </c>
      <c r="D142" s="67" t="s">
        <v>1526</v>
      </c>
      <c r="E142" s="67" t="s">
        <v>1155</v>
      </c>
      <c r="F142" s="67"/>
      <c r="G142" s="67"/>
      <c r="H142" s="67"/>
      <c r="I142" s="67" t="s">
        <v>3</v>
      </c>
      <c r="J142" s="68">
        <v>100</v>
      </c>
      <c r="K142" s="68">
        <v>319</v>
      </c>
      <c r="L142" s="67"/>
      <c r="M142" s="66">
        <v>1</v>
      </c>
      <c r="N142" s="66"/>
      <c r="O142" s="67"/>
      <c r="P142" s="8" t="str">
        <f t="shared" si="5"/>
        <v>1</v>
      </c>
      <c r="Q142" s="69" t="str">
        <f>INDEX(Торг!$H:$H,MATCH($B142,Торг!$B:$B,0))</f>
        <v>Китай БЕСТ ПАРТНЕР</v>
      </c>
      <c r="R142" s="11" t="b">
        <f>+EXACT(A142,VLOOKUP(A142,Торг!$A:$A,1,0))</f>
        <v>1</v>
      </c>
    </row>
    <row r="143" spans="1:18" ht="30" x14ac:dyDescent="0.25">
      <c r="A143" s="67" t="s">
        <v>1525</v>
      </c>
      <c r="B143" s="66">
        <v>363408</v>
      </c>
      <c r="C143" s="66">
        <v>10040</v>
      </c>
      <c r="D143" s="67" t="s">
        <v>1527</v>
      </c>
      <c r="E143" s="67" t="s">
        <v>1155</v>
      </c>
      <c r="F143" s="67"/>
      <c r="G143" s="67"/>
      <c r="H143" s="67"/>
      <c r="I143" s="67" t="s">
        <v>3</v>
      </c>
      <c r="J143" s="68">
        <v>200</v>
      </c>
      <c r="K143" s="68">
        <v>339</v>
      </c>
      <c r="L143" s="67" t="s">
        <v>1457</v>
      </c>
      <c r="M143" s="66">
        <v>1</v>
      </c>
      <c r="N143" s="66"/>
      <c r="O143" s="67"/>
      <c r="P143" s="8" t="str">
        <f t="shared" si="5"/>
        <v>1</v>
      </c>
      <c r="Q143" s="69" t="str">
        <f>INDEX(Торг!$H:$H,MATCH($B143,Торг!$B:$B,0))</f>
        <v>Китай БЕСТ ПАРТНЕР</v>
      </c>
      <c r="R143" s="11" t="b">
        <f>+EXACT(A143,VLOOKUP(A143,Торг!$A:$A,1,0))</f>
        <v>1</v>
      </c>
    </row>
    <row r="144" spans="1:18" ht="30" x14ac:dyDescent="0.25">
      <c r="A144" s="67" t="s">
        <v>1525</v>
      </c>
      <c r="B144" s="66">
        <v>363399</v>
      </c>
      <c r="C144" s="66">
        <v>10042</v>
      </c>
      <c r="D144" s="67" t="s">
        <v>1528</v>
      </c>
      <c r="E144" s="67" t="s">
        <v>1155</v>
      </c>
      <c r="F144" s="67"/>
      <c r="G144" s="67"/>
      <c r="H144" s="67"/>
      <c r="I144" s="67" t="s">
        <v>3</v>
      </c>
      <c r="J144" s="68">
        <v>100</v>
      </c>
      <c r="K144" s="68">
        <v>319</v>
      </c>
      <c r="L144" s="67" t="s">
        <v>905</v>
      </c>
      <c r="M144" s="66">
        <v>1</v>
      </c>
      <c r="N144" s="66"/>
      <c r="O144" s="67"/>
      <c r="P144" s="8" t="str">
        <f t="shared" si="5"/>
        <v>1</v>
      </c>
      <c r="Q144" s="69" t="str">
        <f>INDEX(Торг!$H:$H,MATCH($B144,Торг!$B:$B,0))</f>
        <v>Китай БЕСТ ПАРТНЕР</v>
      </c>
      <c r="R144" s="11" t="b">
        <f>+EXACT(A144,VLOOKUP(A144,Торг!$A:$A,1,0))</f>
        <v>1</v>
      </c>
    </row>
    <row r="145" spans="1:18" ht="30" x14ac:dyDescent="0.25">
      <c r="A145" s="67" t="s">
        <v>1525</v>
      </c>
      <c r="B145" s="66">
        <v>363401</v>
      </c>
      <c r="C145" s="66">
        <v>10043</v>
      </c>
      <c r="D145" s="67" t="s">
        <v>1529</v>
      </c>
      <c r="E145" s="67" t="s">
        <v>1155</v>
      </c>
      <c r="F145" s="67"/>
      <c r="G145" s="67"/>
      <c r="H145" s="67"/>
      <c r="I145" s="67" t="s">
        <v>3</v>
      </c>
      <c r="J145" s="68">
        <v>100</v>
      </c>
      <c r="K145" s="68">
        <v>319</v>
      </c>
      <c r="L145" s="67" t="s">
        <v>906</v>
      </c>
      <c r="M145" s="66">
        <v>1</v>
      </c>
      <c r="N145" s="66"/>
      <c r="O145" s="67"/>
      <c r="P145" s="8" t="str">
        <f t="shared" si="5"/>
        <v>1</v>
      </c>
      <c r="Q145" s="69" t="str">
        <f>INDEX(Торг!$H:$H,MATCH($B145,Торг!$B:$B,0))</f>
        <v>Китай БЕСТ ПАРТНЕР</v>
      </c>
      <c r="R145" s="11" t="b">
        <f>+EXACT(A145,VLOOKUP(A145,Торг!$A:$A,1,0))</f>
        <v>1</v>
      </c>
    </row>
    <row r="146" spans="1:18" ht="30" x14ac:dyDescent="0.25">
      <c r="A146" s="67" t="s">
        <v>1525</v>
      </c>
      <c r="B146" s="66">
        <v>363415</v>
      </c>
      <c r="C146" s="66">
        <v>10039</v>
      </c>
      <c r="D146" s="67" t="s">
        <v>1530</v>
      </c>
      <c r="E146" s="67" t="s">
        <v>1155</v>
      </c>
      <c r="F146" s="67"/>
      <c r="G146" s="67"/>
      <c r="H146" s="67"/>
      <c r="I146" s="67" t="s">
        <v>3</v>
      </c>
      <c r="J146" s="68">
        <v>100</v>
      </c>
      <c r="K146" s="68">
        <v>319</v>
      </c>
      <c r="L146" s="67" t="s">
        <v>738</v>
      </c>
      <c r="M146" s="66">
        <v>1</v>
      </c>
      <c r="N146" s="66"/>
      <c r="O146" s="67"/>
      <c r="P146" s="8" t="str">
        <f t="shared" si="5"/>
        <v>1</v>
      </c>
      <c r="Q146" s="69" t="str">
        <f>INDEX(Торг!$H:$H,MATCH($B146,Торг!$B:$B,0))</f>
        <v>Китай БЕСТ ПАРТНЕР</v>
      </c>
      <c r="R146" s="11" t="b">
        <f>+EXACT(A146,VLOOKUP(A146,Торг!$A:$A,1,0))</f>
        <v>1</v>
      </c>
    </row>
  </sheetData>
  <sheetProtection formatCells="0" formatColumns="0" formatRows="0" insertColumns="0" insertRows="0" insertHyperlinks="0" deleteColumns="0" deleteRows="0" sort="0" autoFilter="0" pivotTables="0"/>
  <autoFilter ref="A1:R146" xr:uid="{4068F7D5-781D-4103-8F10-1ABF010F8D71}"/>
  <pageMargins left="0.7" right="0.7" top="0.75" bottom="0.75" header="0.3" footer="0.3"/>
  <pageSetup orientation="portrait"/>
  <headerFooter alignWithMargins="0"/>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96B5F2D-0336-4313-8B3B-4CB5A44409B6}">
  <sheetPr codeName="Лист5">
    <tabColor rgb="FF92D050"/>
  </sheetPr>
  <dimension ref="A2:C737"/>
  <sheetViews>
    <sheetView tabSelected="1" topLeftCell="A702" workbookViewId="0">
      <selection activeCell="A3" sqref="A3:C737"/>
    </sheetView>
  </sheetViews>
  <sheetFormatPr defaultRowHeight="15" x14ac:dyDescent="0.25"/>
  <cols>
    <col min="1" max="1" width="7" customWidth="1"/>
    <col min="2" max="2" width="9.28515625" bestFit="1" customWidth="1"/>
    <col min="3" max="3" width="17.42578125" customWidth="1"/>
  </cols>
  <sheetData>
    <row r="2" spans="1:3" x14ac:dyDescent="0.25">
      <c r="A2" t="s">
        <v>0</v>
      </c>
      <c r="B2" t="s">
        <v>1144</v>
      </c>
    </row>
    <row r="3" spans="1:3" x14ac:dyDescent="0.25">
      <c r="A3">
        <v>218502</v>
      </c>
      <c r="B3" t="s">
        <v>1269</v>
      </c>
    </row>
    <row r="4" spans="1:3" x14ac:dyDescent="0.25">
      <c r="A4">
        <v>145535</v>
      </c>
      <c r="B4">
        <v>3590</v>
      </c>
      <c r="C4" t="s">
        <v>1271</v>
      </c>
    </row>
    <row r="5" spans="1:3" x14ac:dyDescent="0.25">
      <c r="A5">
        <v>274103</v>
      </c>
      <c r="B5" t="s">
        <v>1269</v>
      </c>
    </row>
    <row r="6" spans="1:3" x14ac:dyDescent="0.25">
      <c r="A6">
        <v>203963</v>
      </c>
      <c r="B6">
        <v>229</v>
      </c>
      <c r="C6" t="s">
        <v>1458</v>
      </c>
    </row>
    <row r="7" spans="1:3" x14ac:dyDescent="0.25">
      <c r="A7">
        <v>224466</v>
      </c>
      <c r="B7" t="s">
        <v>1269</v>
      </c>
    </row>
    <row r="8" spans="1:3" x14ac:dyDescent="0.25">
      <c r="A8">
        <v>224465</v>
      </c>
      <c r="B8" t="s">
        <v>1269</v>
      </c>
    </row>
    <row r="9" spans="1:3" x14ac:dyDescent="0.25">
      <c r="A9">
        <v>194545</v>
      </c>
      <c r="B9">
        <v>549</v>
      </c>
      <c r="C9" t="s">
        <v>907</v>
      </c>
    </row>
    <row r="10" spans="1:3" x14ac:dyDescent="0.25">
      <c r="A10">
        <v>224474</v>
      </c>
      <c r="B10" t="s">
        <v>1269</v>
      </c>
    </row>
    <row r="11" spans="1:3" x14ac:dyDescent="0.25">
      <c r="A11">
        <v>133308</v>
      </c>
      <c r="B11">
        <v>649</v>
      </c>
      <c r="C11" t="s">
        <v>1459</v>
      </c>
    </row>
    <row r="12" spans="1:3" x14ac:dyDescent="0.25">
      <c r="A12">
        <v>133309</v>
      </c>
      <c r="B12">
        <v>649</v>
      </c>
      <c r="C12" t="s">
        <v>1460</v>
      </c>
    </row>
    <row r="13" spans="1:3" x14ac:dyDescent="0.25">
      <c r="A13">
        <v>133310</v>
      </c>
      <c r="B13">
        <v>590</v>
      </c>
      <c r="C13" t="s">
        <v>943</v>
      </c>
    </row>
    <row r="14" spans="1:3" x14ac:dyDescent="0.25">
      <c r="A14">
        <v>133311</v>
      </c>
      <c r="B14">
        <v>590</v>
      </c>
      <c r="C14" t="s">
        <v>943</v>
      </c>
    </row>
    <row r="15" spans="1:3" x14ac:dyDescent="0.25">
      <c r="A15">
        <v>224472</v>
      </c>
      <c r="B15" t="s">
        <v>1269</v>
      </c>
    </row>
    <row r="16" spans="1:3" x14ac:dyDescent="0.25">
      <c r="A16">
        <v>133220</v>
      </c>
      <c r="B16">
        <v>990</v>
      </c>
      <c r="C16" t="s">
        <v>1461</v>
      </c>
    </row>
    <row r="17" spans="1:3" x14ac:dyDescent="0.25">
      <c r="A17">
        <v>133229</v>
      </c>
      <c r="B17">
        <v>649</v>
      </c>
      <c r="C17" t="s">
        <v>911</v>
      </c>
    </row>
    <row r="18" spans="1:3" x14ac:dyDescent="0.25">
      <c r="A18">
        <v>133238</v>
      </c>
      <c r="B18">
        <v>990</v>
      </c>
      <c r="C18" t="s">
        <v>749</v>
      </c>
    </row>
    <row r="19" spans="1:3" x14ac:dyDescent="0.25">
      <c r="A19">
        <v>133237</v>
      </c>
      <c r="B19" t="s">
        <v>1269</v>
      </c>
    </row>
    <row r="20" spans="1:3" x14ac:dyDescent="0.25">
      <c r="A20">
        <v>256974</v>
      </c>
      <c r="B20">
        <v>590</v>
      </c>
      <c r="C20" t="s">
        <v>1354</v>
      </c>
    </row>
    <row r="21" spans="1:3" x14ac:dyDescent="0.25">
      <c r="A21">
        <v>139539</v>
      </c>
      <c r="B21">
        <v>649</v>
      </c>
      <c r="C21" t="s">
        <v>911</v>
      </c>
    </row>
    <row r="22" spans="1:3" x14ac:dyDescent="0.25">
      <c r="A22">
        <v>224471</v>
      </c>
      <c r="B22" t="s">
        <v>1269</v>
      </c>
    </row>
    <row r="23" spans="1:3" x14ac:dyDescent="0.25">
      <c r="A23">
        <v>133273</v>
      </c>
      <c r="B23" t="s">
        <v>1269</v>
      </c>
    </row>
    <row r="24" spans="1:3" x14ac:dyDescent="0.25">
      <c r="A24">
        <v>133242</v>
      </c>
      <c r="B24" t="s">
        <v>1269</v>
      </c>
    </row>
    <row r="25" spans="1:3" x14ac:dyDescent="0.25">
      <c r="A25">
        <v>139538</v>
      </c>
      <c r="B25">
        <v>590</v>
      </c>
      <c r="C25" t="s">
        <v>751</v>
      </c>
    </row>
    <row r="26" spans="1:3" x14ac:dyDescent="0.25">
      <c r="A26">
        <v>133313</v>
      </c>
      <c r="B26">
        <v>849</v>
      </c>
      <c r="C26" t="s">
        <v>1456</v>
      </c>
    </row>
    <row r="27" spans="1:3" x14ac:dyDescent="0.25">
      <c r="A27">
        <v>224468</v>
      </c>
      <c r="B27" t="s">
        <v>1269</v>
      </c>
    </row>
    <row r="28" spans="1:3" x14ac:dyDescent="0.25">
      <c r="A28">
        <v>194063</v>
      </c>
      <c r="B28">
        <v>690</v>
      </c>
      <c r="C28" t="s">
        <v>912</v>
      </c>
    </row>
    <row r="29" spans="1:3" x14ac:dyDescent="0.25">
      <c r="A29">
        <v>194056</v>
      </c>
      <c r="B29">
        <v>690</v>
      </c>
      <c r="C29" t="s">
        <v>913</v>
      </c>
    </row>
    <row r="30" spans="1:3" x14ac:dyDescent="0.25">
      <c r="A30">
        <v>194073</v>
      </c>
      <c r="B30">
        <v>590</v>
      </c>
      <c r="C30" t="s">
        <v>914</v>
      </c>
    </row>
    <row r="31" spans="1:3" x14ac:dyDescent="0.25">
      <c r="A31">
        <v>194074</v>
      </c>
      <c r="B31">
        <v>629</v>
      </c>
      <c r="C31" t="s">
        <v>915</v>
      </c>
    </row>
    <row r="32" spans="1:3" x14ac:dyDescent="0.25">
      <c r="A32">
        <v>133227</v>
      </c>
      <c r="B32" t="s">
        <v>1269</v>
      </c>
    </row>
    <row r="33" spans="1:3" x14ac:dyDescent="0.25">
      <c r="A33">
        <v>133224</v>
      </c>
      <c r="B33" t="s">
        <v>1269</v>
      </c>
    </row>
    <row r="34" spans="1:3" x14ac:dyDescent="0.25">
      <c r="A34">
        <v>194061</v>
      </c>
      <c r="B34">
        <v>590</v>
      </c>
      <c r="C34" t="s">
        <v>916</v>
      </c>
    </row>
    <row r="35" spans="1:3" x14ac:dyDescent="0.25">
      <c r="A35">
        <v>194064</v>
      </c>
      <c r="B35">
        <v>990</v>
      </c>
      <c r="C35" t="s">
        <v>917</v>
      </c>
    </row>
    <row r="36" spans="1:3" x14ac:dyDescent="0.25">
      <c r="A36">
        <v>224467</v>
      </c>
      <c r="B36" t="s">
        <v>1269</v>
      </c>
    </row>
    <row r="37" spans="1:3" x14ac:dyDescent="0.25">
      <c r="A37">
        <v>133241</v>
      </c>
      <c r="B37" t="s">
        <v>1269</v>
      </c>
    </row>
    <row r="38" spans="1:3" x14ac:dyDescent="0.25">
      <c r="A38">
        <v>133236</v>
      </c>
      <c r="B38" t="s">
        <v>1269</v>
      </c>
    </row>
    <row r="39" spans="1:3" x14ac:dyDescent="0.25">
      <c r="A39">
        <v>133275</v>
      </c>
      <c r="B39" t="s">
        <v>1269</v>
      </c>
    </row>
    <row r="40" spans="1:3" x14ac:dyDescent="0.25">
      <c r="A40">
        <v>133239</v>
      </c>
      <c r="B40" t="s">
        <v>1269</v>
      </c>
    </row>
    <row r="41" spans="1:3" x14ac:dyDescent="0.25">
      <c r="A41">
        <v>133226</v>
      </c>
      <c r="B41">
        <v>749</v>
      </c>
      <c r="C41" t="s">
        <v>919</v>
      </c>
    </row>
    <row r="42" spans="1:3" x14ac:dyDescent="0.25">
      <c r="A42">
        <v>133230</v>
      </c>
      <c r="B42" t="s">
        <v>1269</v>
      </c>
    </row>
    <row r="43" spans="1:3" x14ac:dyDescent="0.25">
      <c r="A43">
        <v>133231</v>
      </c>
      <c r="B43" t="s">
        <v>1269</v>
      </c>
    </row>
    <row r="44" spans="1:3" x14ac:dyDescent="0.25">
      <c r="A44">
        <v>133234</v>
      </c>
      <c r="B44">
        <v>745</v>
      </c>
      <c r="C44" t="s">
        <v>1462</v>
      </c>
    </row>
    <row r="45" spans="1:3" x14ac:dyDescent="0.25">
      <c r="A45">
        <v>133235</v>
      </c>
      <c r="B45" t="s">
        <v>1269</v>
      </c>
    </row>
    <row r="46" spans="1:3" x14ac:dyDescent="0.25">
      <c r="A46">
        <v>133244</v>
      </c>
      <c r="B46" t="s">
        <v>1269</v>
      </c>
    </row>
    <row r="47" spans="1:3" x14ac:dyDescent="0.25">
      <c r="A47">
        <v>133277</v>
      </c>
      <c r="B47" t="s">
        <v>1269</v>
      </c>
    </row>
    <row r="48" spans="1:3" x14ac:dyDescent="0.25">
      <c r="A48">
        <v>133233</v>
      </c>
      <c r="B48" t="s">
        <v>1269</v>
      </c>
    </row>
    <row r="49" spans="1:3" x14ac:dyDescent="0.25">
      <c r="A49">
        <v>224256</v>
      </c>
      <c r="B49">
        <v>990</v>
      </c>
      <c r="C49" t="s">
        <v>1353</v>
      </c>
    </row>
    <row r="50" spans="1:3" x14ac:dyDescent="0.25">
      <c r="A50">
        <v>201783</v>
      </c>
      <c r="B50">
        <v>690</v>
      </c>
      <c r="C50" t="s">
        <v>739</v>
      </c>
    </row>
    <row r="51" spans="1:3" x14ac:dyDescent="0.25">
      <c r="A51">
        <v>133314</v>
      </c>
      <c r="B51">
        <v>949</v>
      </c>
      <c r="C51" t="s">
        <v>1455</v>
      </c>
    </row>
    <row r="52" spans="1:3" x14ac:dyDescent="0.25">
      <c r="A52">
        <v>223088</v>
      </c>
      <c r="B52" t="s">
        <v>1269</v>
      </c>
    </row>
    <row r="53" spans="1:3" x14ac:dyDescent="0.25">
      <c r="A53">
        <v>133253</v>
      </c>
      <c r="B53" t="s">
        <v>1269</v>
      </c>
    </row>
    <row r="54" spans="1:3" x14ac:dyDescent="0.25">
      <c r="A54">
        <v>133245</v>
      </c>
      <c r="B54" t="s">
        <v>1269</v>
      </c>
    </row>
    <row r="55" spans="1:3" x14ac:dyDescent="0.25">
      <c r="A55">
        <v>133249</v>
      </c>
      <c r="B55" t="s">
        <v>1269</v>
      </c>
    </row>
    <row r="56" spans="1:3" x14ac:dyDescent="0.25">
      <c r="A56">
        <v>133254</v>
      </c>
      <c r="B56" t="s">
        <v>1269</v>
      </c>
    </row>
    <row r="57" spans="1:3" x14ac:dyDescent="0.25">
      <c r="A57">
        <v>133256</v>
      </c>
      <c r="B57" t="s">
        <v>1269</v>
      </c>
    </row>
    <row r="58" spans="1:3" x14ac:dyDescent="0.25">
      <c r="A58">
        <v>133259</v>
      </c>
      <c r="B58" t="s">
        <v>1269</v>
      </c>
    </row>
    <row r="59" spans="1:3" x14ac:dyDescent="0.25">
      <c r="A59">
        <v>133261</v>
      </c>
      <c r="B59" t="s">
        <v>1269</v>
      </c>
    </row>
    <row r="60" spans="1:3" x14ac:dyDescent="0.25">
      <c r="A60">
        <v>133267</v>
      </c>
      <c r="B60" t="s">
        <v>1269</v>
      </c>
    </row>
    <row r="61" spans="1:3" x14ac:dyDescent="0.25">
      <c r="A61">
        <v>133284</v>
      </c>
      <c r="B61">
        <v>849</v>
      </c>
      <c r="C61" t="s">
        <v>1469</v>
      </c>
    </row>
    <row r="62" spans="1:3" x14ac:dyDescent="0.25">
      <c r="A62">
        <v>139540</v>
      </c>
      <c r="B62">
        <v>590</v>
      </c>
      <c r="C62" t="s">
        <v>943</v>
      </c>
    </row>
    <row r="63" spans="1:3" x14ac:dyDescent="0.25">
      <c r="A63">
        <v>201781</v>
      </c>
      <c r="B63">
        <v>790</v>
      </c>
      <c r="C63" t="s">
        <v>748</v>
      </c>
    </row>
    <row r="64" spans="1:3" x14ac:dyDescent="0.25">
      <c r="A64">
        <v>133312</v>
      </c>
      <c r="B64">
        <v>990</v>
      </c>
      <c r="C64" t="s">
        <v>1468</v>
      </c>
    </row>
    <row r="65" spans="1:3" x14ac:dyDescent="0.25">
      <c r="A65">
        <v>224473</v>
      </c>
      <c r="B65" t="s">
        <v>1269</v>
      </c>
    </row>
    <row r="66" spans="1:3" x14ac:dyDescent="0.25">
      <c r="A66">
        <v>224469</v>
      </c>
      <c r="B66" t="s">
        <v>1269</v>
      </c>
    </row>
    <row r="67" spans="1:3" x14ac:dyDescent="0.25">
      <c r="A67">
        <v>224470</v>
      </c>
      <c r="B67" t="s">
        <v>1269</v>
      </c>
    </row>
    <row r="68" spans="1:3" x14ac:dyDescent="0.25">
      <c r="A68">
        <v>223078</v>
      </c>
      <c r="B68" t="s">
        <v>1269</v>
      </c>
    </row>
    <row r="69" spans="1:3" x14ac:dyDescent="0.25">
      <c r="A69">
        <v>158383</v>
      </c>
      <c r="B69">
        <v>590</v>
      </c>
      <c r="C69" t="s">
        <v>751</v>
      </c>
    </row>
    <row r="70" spans="1:3" x14ac:dyDescent="0.25">
      <c r="A70">
        <v>133286</v>
      </c>
      <c r="B70" t="s">
        <v>1269</v>
      </c>
    </row>
    <row r="71" spans="1:3" x14ac:dyDescent="0.25">
      <c r="A71">
        <v>133288</v>
      </c>
      <c r="B71">
        <v>990</v>
      </c>
      <c r="C71" t="s">
        <v>1466</v>
      </c>
    </row>
    <row r="72" spans="1:3" x14ac:dyDescent="0.25">
      <c r="A72">
        <v>133341</v>
      </c>
      <c r="B72">
        <v>790</v>
      </c>
      <c r="C72" t="s">
        <v>1471</v>
      </c>
    </row>
    <row r="73" spans="1:3" x14ac:dyDescent="0.25">
      <c r="A73">
        <v>133342</v>
      </c>
      <c r="B73">
        <v>1190</v>
      </c>
      <c r="C73" t="s">
        <v>1472</v>
      </c>
    </row>
    <row r="74" spans="1:3" x14ac:dyDescent="0.25">
      <c r="A74">
        <v>133222</v>
      </c>
      <c r="B74">
        <v>990</v>
      </c>
      <c r="C74" t="s">
        <v>1467</v>
      </c>
    </row>
    <row r="75" spans="1:3" x14ac:dyDescent="0.25">
      <c r="A75">
        <v>133243</v>
      </c>
      <c r="B75" t="s">
        <v>1269</v>
      </c>
    </row>
    <row r="76" spans="1:3" x14ac:dyDescent="0.25">
      <c r="A76">
        <v>133246</v>
      </c>
      <c r="B76" t="s">
        <v>1269</v>
      </c>
    </row>
    <row r="77" spans="1:3" x14ac:dyDescent="0.25">
      <c r="A77">
        <v>133272</v>
      </c>
      <c r="B77" t="s">
        <v>1269</v>
      </c>
    </row>
    <row r="78" spans="1:3" x14ac:dyDescent="0.25">
      <c r="A78">
        <v>117271</v>
      </c>
      <c r="B78">
        <v>529</v>
      </c>
      <c r="C78" t="s">
        <v>1454</v>
      </c>
    </row>
    <row r="79" spans="1:3" x14ac:dyDescent="0.25">
      <c r="A79">
        <v>194077</v>
      </c>
      <c r="B79">
        <v>590</v>
      </c>
      <c r="C79" t="s">
        <v>1452</v>
      </c>
    </row>
    <row r="80" spans="1:3" x14ac:dyDescent="0.25">
      <c r="A80">
        <v>194092</v>
      </c>
      <c r="B80">
        <v>590</v>
      </c>
      <c r="C80" t="s">
        <v>1448</v>
      </c>
    </row>
    <row r="81" spans="1:3" x14ac:dyDescent="0.25">
      <c r="A81">
        <v>117277</v>
      </c>
      <c r="B81">
        <v>590</v>
      </c>
      <c r="C81" t="s">
        <v>1449</v>
      </c>
    </row>
    <row r="82" spans="1:3" x14ac:dyDescent="0.25">
      <c r="A82">
        <v>194091</v>
      </c>
      <c r="B82" t="s">
        <v>1446</v>
      </c>
      <c r="C82" t="s">
        <v>1445</v>
      </c>
    </row>
    <row r="83" spans="1:3" x14ac:dyDescent="0.25">
      <c r="A83">
        <v>194093</v>
      </c>
      <c r="B83">
        <v>529</v>
      </c>
      <c r="C83" t="s">
        <v>1444</v>
      </c>
    </row>
    <row r="84" spans="1:3" x14ac:dyDescent="0.25">
      <c r="A84">
        <v>133232</v>
      </c>
      <c r="B84">
        <v>990</v>
      </c>
      <c r="C84" t="s">
        <v>1465</v>
      </c>
    </row>
    <row r="85" spans="1:3" x14ac:dyDescent="0.25">
      <c r="A85">
        <v>133285</v>
      </c>
      <c r="B85">
        <v>1290</v>
      </c>
      <c r="C85" t="s">
        <v>1464</v>
      </c>
    </row>
    <row r="86" spans="1:3" x14ac:dyDescent="0.25">
      <c r="A86">
        <v>193605</v>
      </c>
      <c r="B86">
        <v>890</v>
      </c>
      <c r="C86" t="s">
        <v>1363</v>
      </c>
    </row>
    <row r="87" spans="1:3" x14ac:dyDescent="0.25">
      <c r="A87">
        <v>223077</v>
      </c>
      <c r="B87" t="s">
        <v>1269</v>
      </c>
    </row>
    <row r="88" spans="1:3" x14ac:dyDescent="0.25">
      <c r="A88">
        <v>117279</v>
      </c>
      <c r="B88">
        <v>590</v>
      </c>
      <c r="C88" t="s">
        <v>1453</v>
      </c>
    </row>
    <row r="89" spans="1:3" x14ac:dyDescent="0.25">
      <c r="A89">
        <v>133251</v>
      </c>
      <c r="B89" t="s">
        <v>1269</v>
      </c>
    </row>
    <row r="90" spans="1:3" x14ac:dyDescent="0.25">
      <c r="A90">
        <v>193611</v>
      </c>
      <c r="B90">
        <v>890</v>
      </c>
      <c r="C90" t="s">
        <v>1434</v>
      </c>
    </row>
    <row r="91" spans="1:3" x14ac:dyDescent="0.25">
      <c r="A91">
        <v>213581</v>
      </c>
      <c r="B91">
        <v>845</v>
      </c>
      <c r="C91" t="s">
        <v>1451</v>
      </c>
    </row>
    <row r="92" spans="1:3" x14ac:dyDescent="0.25">
      <c r="A92">
        <v>117292</v>
      </c>
      <c r="B92">
        <v>529</v>
      </c>
      <c r="C92" t="s">
        <v>1447</v>
      </c>
    </row>
    <row r="93" spans="1:3" x14ac:dyDescent="0.25">
      <c r="A93">
        <v>223080</v>
      </c>
      <c r="B93" t="s">
        <v>1269</v>
      </c>
    </row>
    <row r="94" spans="1:3" x14ac:dyDescent="0.25">
      <c r="A94">
        <v>223109</v>
      </c>
      <c r="B94" t="s">
        <v>1269</v>
      </c>
    </row>
    <row r="95" spans="1:3" x14ac:dyDescent="0.25">
      <c r="A95">
        <v>223111</v>
      </c>
      <c r="B95" t="s">
        <v>1269</v>
      </c>
    </row>
    <row r="96" spans="1:3" x14ac:dyDescent="0.25">
      <c r="A96">
        <v>133283</v>
      </c>
      <c r="B96">
        <v>990</v>
      </c>
      <c r="C96" t="s">
        <v>1450</v>
      </c>
    </row>
    <row r="97" spans="1:3" x14ac:dyDescent="0.25">
      <c r="A97">
        <v>223061</v>
      </c>
      <c r="B97" t="s">
        <v>1269</v>
      </c>
    </row>
    <row r="98" spans="1:3" x14ac:dyDescent="0.25">
      <c r="A98">
        <v>193597</v>
      </c>
      <c r="B98">
        <v>990</v>
      </c>
      <c r="C98" t="s">
        <v>1433</v>
      </c>
    </row>
    <row r="99" spans="1:3" x14ac:dyDescent="0.25">
      <c r="A99">
        <v>223085</v>
      </c>
      <c r="B99" t="s">
        <v>1269</v>
      </c>
    </row>
    <row r="100" spans="1:3" x14ac:dyDescent="0.25">
      <c r="A100">
        <v>223096</v>
      </c>
      <c r="B100" t="s">
        <v>1269</v>
      </c>
    </row>
    <row r="101" spans="1:3" x14ac:dyDescent="0.25">
      <c r="A101">
        <v>223112</v>
      </c>
      <c r="B101" t="s">
        <v>1269</v>
      </c>
    </row>
    <row r="102" spans="1:3" x14ac:dyDescent="0.25">
      <c r="A102">
        <v>133268</v>
      </c>
      <c r="B102" t="s">
        <v>1269</v>
      </c>
    </row>
    <row r="103" spans="1:3" x14ac:dyDescent="0.25">
      <c r="A103">
        <v>133266</v>
      </c>
      <c r="B103" t="s">
        <v>1269</v>
      </c>
    </row>
    <row r="104" spans="1:3" x14ac:dyDescent="0.25">
      <c r="A104">
        <v>223110</v>
      </c>
      <c r="B104" t="s">
        <v>1269</v>
      </c>
    </row>
    <row r="105" spans="1:3" x14ac:dyDescent="0.25">
      <c r="A105">
        <v>133344</v>
      </c>
      <c r="B105" t="s">
        <v>1269</v>
      </c>
    </row>
    <row r="106" spans="1:3" x14ac:dyDescent="0.25">
      <c r="A106">
        <v>212189</v>
      </c>
      <c r="B106" t="s">
        <v>1269</v>
      </c>
    </row>
    <row r="107" spans="1:3" x14ac:dyDescent="0.25">
      <c r="A107">
        <v>211459</v>
      </c>
      <c r="B107" t="s">
        <v>1269</v>
      </c>
    </row>
    <row r="108" spans="1:3" x14ac:dyDescent="0.25">
      <c r="A108">
        <v>211480</v>
      </c>
      <c r="B108" t="s">
        <v>1269</v>
      </c>
    </row>
    <row r="109" spans="1:3" x14ac:dyDescent="0.25">
      <c r="A109">
        <v>217246</v>
      </c>
      <c r="B109" t="s">
        <v>1269</v>
      </c>
    </row>
    <row r="110" spans="1:3" x14ac:dyDescent="0.25">
      <c r="A110">
        <v>133264</v>
      </c>
      <c r="B110" t="s">
        <v>1269</v>
      </c>
    </row>
    <row r="111" spans="1:3" x14ac:dyDescent="0.25">
      <c r="A111">
        <v>133260</v>
      </c>
      <c r="B111" t="s">
        <v>1269</v>
      </c>
    </row>
    <row r="112" spans="1:3" x14ac:dyDescent="0.25">
      <c r="A112">
        <v>133257</v>
      </c>
      <c r="B112" t="s">
        <v>1269</v>
      </c>
    </row>
    <row r="113" spans="1:3" x14ac:dyDescent="0.25">
      <c r="A113">
        <v>133262</v>
      </c>
      <c r="B113" t="s">
        <v>1269</v>
      </c>
    </row>
    <row r="114" spans="1:3" x14ac:dyDescent="0.25">
      <c r="A114">
        <v>217449</v>
      </c>
    </row>
    <row r="115" spans="1:3" x14ac:dyDescent="0.25">
      <c r="A115">
        <v>213586</v>
      </c>
      <c r="B115">
        <v>1490</v>
      </c>
      <c r="C115" t="s">
        <v>1443</v>
      </c>
    </row>
    <row r="116" spans="1:3" x14ac:dyDescent="0.25">
      <c r="A116">
        <v>138486</v>
      </c>
      <c r="B116">
        <v>1399</v>
      </c>
      <c r="C116" t="s">
        <v>1442</v>
      </c>
    </row>
    <row r="117" spans="1:3" x14ac:dyDescent="0.25">
      <c r="A117">
        <v>223079</v>
      </c>
      <c r="B117" t="s">
        <v>1269</v>
      </c>
    </row>
    <row r="118" spans="1:3" x14ac:dyDescent="0.25">
      <c r="A118">
        <v>223095</v>
      </c>
      <c r="B118" t="s">
        <v>1269</v>
      </c>
    </row>
    <row r="119" spans="1:3" x14ac:dyDescent="0.25">
      <c r="A119">
        <v>213587</v>
      </c>
      <c r="B119">
        <v>1190</v>
      </c>
      <c r="C119" t="s">
        <v>1422</v>
      </c>
    </row>
    <row r="120" spans="1:3" x14ac:dyDescent="0.25">
      <c r="A120">
        <v>223108</v>
      </c>
      <c r="B120" t="s">
        <v>1269</v>
      </c>
    </row>
    <row r="121" spans="1:3" x14ac:dyDescent="0.25">
      <c r="A121">
        <v>211469</v>
      </c>
      <c r="B121" t="s">
        <v>1269</v>
      </c>
    </row>
    <row r="122" spans="1:3" x14ac:dyDescent="0.25">
      <c r="A122">
        <v>211478</v>
      </c>
      <c r="B122" t="s">
        <v>1269</v>
      </c>
    </row>
    <row r="123" spans="1:3" x14ac:dyDescent="0.25">
      <c r="A123">
        <v>211435</v>
      </c>
      <c r="B123" t="s">
        <v>1269</v>
      </c>
    </row>
    <row r="124" spans="1:3" x14ac:dyDescent="0.25">
      <c r="A124">
        <v>211436</v>
      </c>
      <c r="B124" t="s">
        <v>1269</v>
      </c>
    </row>
    <row r="125" spans="1:3" x14ac:dyDescent="0.25">
      <c r="A125">
        <v>223083</v>
      </c>
      <c r="B125" t="s">
        <v>1269</v>
      </c>
    </row>
    <row r="126" spans="1:3" x14ac:dyDescent="0.25">
      <c r="A126">
        <v>223094</v>
      </c>
      <c r="B126" t="s">
        <v>1269</v>
      </c>
    </row>
    <row r="127" spans="1:3" x14ac:dyDescent="0.25">
      <c r="A127">
        <v>211446</v>
      </c>
      <c r="B127" t="s">
        <v>1269</v>
      </c>
    </row>
    <row r="128" spans="1:3" x14ac:dyDescent="0.25">
      <c r="A128">
        <v>211445</v>
      </c>
      <c r="B128" t="s">
        <v>1269</v>
      </c>
    </row>
    <row r="129" spans="1:3" x14ac:dyDescent="0.25">
      <c r="A129">
        <v>133252</v>
      </c>
      <c r="B129" t="s">
        <v>1269</v>
      </c>
    </row>
    <row r="130" spans="1:3" x14ac:dyDescent="0.25">
      <c r="A130">
        <v>133247</v>
      </c>
      <c r="B130" t="s">
        <v>1269</v>
      </c>
    </row>
    <row r="131" spans="1:3" x14ac:dyDescent="0.25">
      <c r="A131">
        <v>133248</v>
      </c>
      <c r="B131" t="s">
        <v>1269</v>
      </c>
    </row>
    <row r="132" spans="1:3" x14ac:dyDescent="0.25">
      <c r="A132">
        <v>223100</v>
      </c>
      <c r="B132" t="s">
        <v>1269</v>
      </c>
    </row>
    <row r="133" spans="1:3" x14ac:dyDescent="0.25">
      <c r="A133">
        <v>223063</v>
      </c>
      <c r="B133" t="s">
        <v>1269</v>
      </c>
    </row>
    <row r="134" spans="1:3" x14ac:dyDescent="0.25">
      <c r="A134">
        <v>211447</v>
      </c>
      <c r="B134" t="s">
        <v>1269</v>
      </c>
    </row>
    <row r="135" spans="1:3" x14ac:dyDescent="0.25">
      <c r="A135">
        <v>211444</v>
      </c>
      <c r="B135" t="s">
        <v>1269</v>
      </c>
    </row>
    <row r="136" spans="1:3" x14ac:dyDescent="0.25">
      <c r="A136">
        <v>133269</v>
      </c>
      <c r="B136" t="s">
        <v>1269</v>
      </c>
    </row>
    <row r="137" spans="1:3" x14ac:dyDescent="0.25">
      <c r="A137">
        <v>133274</v>
      </c>
      <c r="B137" t="s">
        <v>1269</v>
      </c>
    </row>
    <row r="138" spans="1:3" x14ac:dyDescent="0.25">
      <c r="A138">
        <v>201802</v>
      </c>
      <c r="B138">
        <v>1490</v>
      </c>
      <c r="C138" t="s">
        <v>835</v>
      </c>
    </row>
    <row r="139" spans="1:3" x14ac:dyDescent="0.25">
      <c r="A139">
        <v>201806</v>
      </c>
      <c r="B139">
        <v>1490</v>
      </c>
      <c r="C139" t="s">
        <v>834</v>
      </c>
    </row>
    <row r="140" spans="1:3" x14ac:dyDescent="0.25">
      <c r="A140">
        <v>212186</v>
      </c>
      <c r="B140" t="s">
        <v>1269</v>
      </c>
    </row>
    <row r="141" spans="1:3" x14ac:dyDescent="0.25">
      <c r="A141">
        <v>211462</v>
      </c>
      <c r="B141" t="s">
        <v>1269</v>
      </c>
    </row>
    <row r="142" spans="1:3" x14ac:dyDescent="0.25">
      <c r="A142">
        <v>211460</v>
      </c>
      <c r="B142" t="s">
        <v>1269</v>
      </c>
    </row>
    <row r="143" spans="1:3" x14ac:dyDescent="0.25">
      <c r="A143">
        <v>138538</v>
      </c>
      <c r="B143">
        <v>1390</v>
      </c>
      <c r="C143" t="s">
        <v>1440</v>
      </c>
    </row>
    <row r="144" spans="1:3" x14ac:dyDescent="0.25">
      <c r="A144">
        <v>138487</v>
      </c>
      <c r="B144">
        <v>1399</v>
      </c>
      <c r="C144" t="s">
        <v>1441</v>
      </c>
    </row>
    <row r="145" spans="1:3" x14ac:dyDescent="0.25">
      <c r="A145">
        <v>223073</v>
      </c>
      <c r="B145" t="s">
        <v>1269</v>
      </c>
    </row>
    <row r="146" spans="1:3" x14ac:dyDescent="0.25">
      <c r="A146">
        <v>223099</v>
      </c>
      <c r="B146" t="s">
        <v>1269</v>
      </c>
    </row>
    <row r="147" spans="1:3" x14ac:dyDescent="0.25">
      <c r="A147">
        <v>223101</v>
      </c>
      <c r="B147" t="s">
        <v>1269</v>
      </c>
    </row>
    <row r="148" spans="1:3" x14ac:dyDescent="0.25">
      <c r="A148">
        <v>201800</v>
      </c>
      <c r="B148">
        <v>1490</v>
      </c>
      <c r="C148" t="s">
        <v>1476</v>
      </c>
    </row>
    <row r="149" spans="1:3" x14ac:dyDescent="0.25">
      <c r="A149">
        <v>201784</v>
      </c>
      <c r="B149">
        <v>1490</v>
      </c>
      <c r="C149" t="s">
        <v>838</v>
      </c>
    </row>
    <row r="150" spans="1:3" x14ac:dyDescent="0.25">
      <c r="A150">
        <v>145553</v>
      </c>
      <c r="B150">
        <v>1790</v>
      </c>
      <c r="C150" t="s">
        <v>840</v>
      </c>
    </row>
    <row r="151" spans="1:3" x14ac:dyDescent="0.25">
      <c r="A151">
        <v>137271</v>
      </c>
      <c r="B151">
        <v>1390</v>
      </c>
      <c r="C151" t="s">
        <v>1438</v>
      </c>
    </row>
    <row r="152" spans="1:3" x14ac:dyDescent="0.25">
      <c r="A152">
        <v>137272</v>
      </c>
      <c r="B152">
        <v>1290</v>
      </c>
      <c r="C152" t="s">
        <v>1439</v>
      </c>
    </row>
    <row r="153" spans="1:3" x14ac:dyDescent="0.25">
      <c r="A153">
        <v>223086</v>
      </c>
      <c r="B153" t="s">
        <v>1269</v>
      </c>
    </row>
    <row r="154" spans="1:3" x14ac:dyDescent="0.25">
      <c r="A154">
        <v>223072</v>
      </c>
      <c r="B154" t="s">
        <v>1269</v>
      </c>
    </row>
    <row r="155" spans="1:3" x14ac:dyDescent="0.25">
      <c r="A155">
        <v>223103</v>
      </c>
      <c r="B155" t="s">
        <v>1269</v>
      </c>
    </row>
    <row r="156" spans="1:3" x14ac:dyDescent="0.25">
      <c r="A156">
        <v>138545</v>
      </c>
      <c r="B156" t="s">
        <v>1269</v>
      </c>
    </row>
    <row r="157" spans="1:3" x14ac:dyDescent="0.25">
      <c r="A157">
        <v>211412</v>
      </c>
      <c r="B157" t="s">
        <v>1269</v>
      </c>
    </row>
    <row r="158" spans="1:3" x14ac:dyDescent="0.25">
      <c r="A158">
        <v>201778</v>
      </c>
      <c r="B158">
        <v>1190</v>
      </c>
      <c r="C158" t="s">
        <v>836</v>
      </c>
    </row>
    <row r="159" spans="1:3" x14ac:dyDescent="0.25">
      <c r="A159">
        <v>201780</v>
      </c>
      <c r="B159">
        <v>1390</v>
      </c>
      <c r="C159" t="s">
        <v>839</v>
      </c>
    </row>
    <row r="160" spans="1:3" x14ac:dyDescent="0.25">
      <c r="A160">
        <v>201777</v>
      </c>
      <c r="B160">
        <v>1590</v>
      </c>
      <c r="C160" t="s">
        <v>841</v>
      </c>
    </row>
    <row r="161" spans="1:3" x14ac:dyDescent="0.25">
      <c r="A161">
        <v>211441</v>
      </c>
      <c r="B161" t="s">
        <v>1269</v>
      </c>
    </row>
    <row r="162" spans="1:3" x14ac:dyDescent="0.25">
      <c r="A162">
        <v>211448</v>
      </c>
      <c r="B162" t="s">
        <v>1269</v>
      </c>
    </row>
    <row r="163" spans="1:3" x14ac:dyDescent="0.25">
      <c r="A163">
        <v>211422</v>
      </c>
      <c r="B163" t="s">
        <v>1269</v>
      </c>
    </row>
    <row r="164" spans="1:3" x14ac:dyDescent="0.25">
      <c r="A164">
        <v>211442</v>
      </c>
      <c r="B164" t="s">
        <v>1269</v>
      </c>
    </row>
    <row r="165" spans="1:3" x14ac:dyDescent="0.25">
      <c r="A165">
        <v>211437</v>
      </c>
      <c r="B165" t="s">
        <v>1269</v>
      </c>
    </row>
    <row r="166" spans="1:3" x14ac:dyDescent="0.25">
      <c r="A166">
        <v>194416</v>
      </c>
      <c r="B166">
        <v>1790</v>
      </c>
      <c r="C166" t="s">
        <v>1436</v>
      </c>
    </row>
    <row r="167" spans="1:3" x14ac:dyDescent="0.25">
      <c r="A167">
        <v>211411</v>
      </c>
      <c r="B167" t="s">
        <v>1269</v>
      </c>
    </row>
    <row r="168" spans="1:3" x14ac:dyDescent="0.25">
      <c r="A168">
        <v>201793</v>
      </c>
      <c r="B168">
        <v>1490</v>
      </c>
      <c r="C168" t="s">
        <v>842</v>
      </c>
    </row>
    <row r="169" spans="1:3" x14ac:dyDescent="0.25">
      <c r="A169">
        <v>133223</v>
      </c>
      <c r="B169" t="s">
        <v>1269</v>
      </c>
    </row>
    <row r="170" spans="1:3" x14ac:dyDescent="0.25">
      <c r="A170">
        <v>223074</v>
      </c>
      <c r="B170" t="s">
        <v>1269</v>
      </c>
    </row>
    <row r="171" spans="1:3" x14ac:dyDescent="0.25">
      <c r="A171">
        <v>223065</v>
      </c>
      <c r="B171" t="s">
        <v>1269</v>
      </c>
    </row>
    <row r="172" spans="1:3" x14ac:dyDescent="0.25">
      <c r="A172">
        <v>223066</v>
      </c>
      <c r="B172" t="s">
        <v>1269</v>
      </c>
    </row>
    <row r="173" spans="1:3" x14ac:dyDescent="0.25">
      <c r="A173">
        <v>133265</v>
      </c>
      <c r="B173" t="s">
        <v>1269</v>
      </c>
    </row>
    <row r="174" spans="1:3" x14ac:dyDescent="0.25">
      <c r="A174">
        <v>133240</v>
      </c>
      <c r="B174" t="s">
        <v>1269</v>
      </c>
    </row>
    <row r="175" spans="1:3" x14ac:dyDescent="0.25">
      <c r="A175">
        <v>133270</v>
      </c>
      <c r="B175" t="s">
        <v>1269</v>
      </c>
    </row>
    <row r="176" spans="1:3" x14ac:dyDescent="0.25">
      <c r="A176">
        <v>274102</v>
      </c>
      <c r="B176" t="s">
        <v>1269</v>
      </c>
    </row>
    <row r="177" spans="1:3" x14ac:dyDescent="0.25">
      <c r="A177">
        <v>211471</v>
      </c>
      <c r="B177" t="s">
        <v>1269</v>
      </c>
    </row>
    <row r="178" spans="1:3" x14ac:dyDescent="0.25">
      <c r="A178">
        <v>211449</v>
      </c>
      <c r="B178" t="s">
        <v>1269</v>
      </c>
    </row>
    <row r="179" spans="1:3" x14ac:dyDescent="0.25">
      <c r="A179">
        <v>211472</v>
      </c>
      <c r="B179" t="s">
        <v>1269</v>
      </c>
    </row>
    <row r="180" spans="1:3" x14ac:dyDescent="0.25">
      <c r="A180">
        <v>211451</v>
      </c>
      <c r="B180" t="s">
        <v>1269</v>
      </c>
    </row>
    <row r="181" spans="1:3" x14ac:dyDescent="0.25">
      <c r="A181">
        <v>211439</v>
      </c>
      <c r="B181" t="s">
        <v>1269</v>
      </c>
    </row>
    <row r="182" spans="1:3" x14ac:dyDescent="0.25">
      <c r="A182">
        <v>211458</v>
      </c>
      <c r="B182" t="s">
        <v>1269</v>
      </c>
    </row>
    <row r="183" spans="1:3" x14ac:dyDescent="0.25">
      <c r="A183">
        <v>223104</v>
      </c>
      <c r="B183" t="s">
        <v>1269</v>
      </c>
    </row>
    <row r="184" spans="1:3" x14ac:dyDescent="0.25">
      <c r="A184">
        <v>201761</v>
      </c>
      <c r="B184">
        <v>1890</v>
      </c>
      <c r="C184" t="s">
        <v>844</v>
      </c>
    </row>
    <row r="185" spans="1:3" x14ac:dyDescent="0.25">
      <c r="A185">
        <v>211450</v>
      </c>
      <c r="B185" t="s">
        <v>1269</v>
      </c>
    </row>
    <row r="186" spans="1:3" x14ac:dyDescent="0.25">
      <c r="A186">
        <v>202662</v>
      </c>
      <c r="B186" t="s">
        <v>1435</v>
      </c>
    </row>
    <row r="187" spans="1:3" x14ac:dyDescent="0.25">
      <c r="A187">
        <v>211421</v>
      </c>
      <c r="B187" t="s">
        <v>1269</v>
      </c>
    </row>
    <row r="188" spans="1:3" x14ac:dyDescent="0.25">
      <c r="A188">
        <v>201753</v>
      </c>
      <c r="B188">
        <v>1490</v>
      </c>
      <c r="C188" t="s">
        <v>847</v>
      </c>
    </row>
    <row r="189" spans="1:3" x14ac:dyDescent="0.25">
      <c r="A189">
        <v>133263</v>
      </c>
      <c r="B189" t="s">
        <v>1269</v>
      </c>
    </row>
    <row r="190" spans="1:3" x14ac:dyDescent="0.25">
      <c r="A190">
        <v>133258</v>
      </c>
      <c r="B190" t="s">
        <v>1269</v>
      </c>
    </row>
    <row r="191" spans="1:3" x14ac:dyDescent="0.25">
      <c r="A191">
        <v>143807</v>
      </c>
      <c r="B191" t="s">
        <v>1269</v>
      </c>
    </row>
    <row r="192" spans="1:3" x14ac:dyDescent="0.25">
      <c r="A192">
        <v>202708</v>
      </c>
      <c r="B192" t="s">
        <v>1269</v>
      </c>
    </row>
    <row r="193" spans="1:3" x14ac:dyDescent="0.25">
      <c r="A193">
        <v>202712</v>
      </c>
      <c r="B193">
        <v>1890</v>
      </c>
      <c r="C193" t="s">
        <v>846</v>
      </c>
    </row>
    <row r="194" spans="1:3" x14ac:dyDescent="0.25">
      <c r="A194">
        <v>202716</v>
      </c>
      <c r="B194">
        <v>1790</v>
      </c>
      <c r="C194" t="s">
        <v>1432</v>
      </c>
    </row>
    <row r="195" spans="1:3" x14ac:dyDescent="0.25">
      <c r="A195">
        <v>133250</v>
      </c>
      <c r="B195" t="s">
        <v>1269</v>
      </c>
    </row>
    <row r="196" spans="1:3" x14ac:dyDescent="0.25">
      <c r="A196">
        <v>138440</v>
      </c>
      <c r="B196">
        <v>1590</v>
      </c>
      <c r="C196" t="s">
        <v>920</v>
      </c>
    </row>
    <row r="197" spans="1:3" x14ac:dyDescent="0.25">
      <c r="A197">
        <v>158510</v>
      </c>
      <c r="B197">
        <v>1889</v>
      </c>
      <c r="C197" t="s">
        <v>848</v>
      </c>
    </row>
    <row r="198" spans="1:3" x14ac:dyDescent="0.25">
      <c r="A198">
        <v>212190</v>
      </c>
      <c r="B198" t="s">
        <v>1269</v>
      </c>
    </row>
    <row r="199" spans="1:3" x14ac:dyDescent="0.25">
      <c r="A199">
        <v>217247</v>
      </c>
      <c r="B199" t="s">
        <v>1269</v>
      </c>
    </row>
    <row r="200" spans="1:3" x14ac:dyDescent="0.25">
      <c r="A200">
        <v>138413</v>
      </c>
      <c r="B200">
        <v>1689</v>
      </c>
      <c r="C200" t="s">
        <v>922</v>
      </c>
    </row>
    <row r="201" spans="1:3" x14ac:dyDescent="0.25">
      <c r="A201">
        <v>138433</v>
      </c>
      <c r="B201">
        <v>1990</v>
      </c>
      <c r="C201" t="s">
        <v>923</v>
      </c>
    </row>
    <row r="202" spans="1:3" x14ac:dyDescent="0.25">
      <c r="A202">
        <v>211418</v>
      </c>
      <c r="B202" t="s">
        <v>1269</v>
      </c>
    </row>
    <row r="203" spans="1:3" x14ac:dyDescent="0.25">
      <c r="A203">
        <v>138442</v>
      </c>
      <c r="B203">
        <v>1890</v>
      </c>
      <c r="C203" t="s">
        <v>924</v>
      </c>
    </row>
    <row r="204" spans="1:3" x14ac:dyDescent="0.25">
      <c r="A204">
        <v>145570</v>
      </c>
      <c r="B204">
        <v>1990</v>
      </c>
      <c r="C204" t="s">
        <v>843</v>
      </c>
    </row>
    <row r="205" spans="1:3" x14ac:dyDescent="0.25">
      <c r="A205">
        <v>145527</v>
      </c>
      <c r="B205">
        <v>1990</v>
      </c>
      <c r="C205" t="s">
        <v>849</v>
      </c>
    </row>
    <row r="206" spans="1:3" x14ac:dyDescent="0.25">
      <c r="A206">
        <v>138412</v>
      </c>
      <c r="B206">
        <v>2290</v>
      </c>
      <c r="C206" t="s">
        <v>925</v>
      </c>
    </row>
    <row r="207" spans="1:3" x14ac:dyDescent="0.25">
      <c r="A207">
        <v>211474</v>
      </c>
      <c r="B207" t="s">
        <v>1269</v>
      </c>
    </row>
    <row r="208" spans="1:3" x14ac:dyDescent="0.25">
      <c r="A208">
        <v>211473</v>
      </c>
      <c r="B208" t="s">
        <v>1269</v>
      </c>
    </row>
    <row r="209" spans="1:3" x14ac:dyDescent="0.25">
      <c r="A209">
        <v>138415</v>
      </c>
      <c r="B209">
        <v>1990</v>
      </c>
      <c r="C209" t="s">
        <v>926</v>
      </c>
    </row>
    <row r="210" spans="1:3" x14ac:dyDescent="0.25">
      <c r="A210">
        <v>138439</v>
      </c>
      <c r="B210">
        <v>1990</v>
      </c>
      <c r="C210" t="s">
        <v>927</v>
      </c>
    </row>
    <row r="211" spans="1:3" x14ac:dyDescent="0.25">
      <c r="A211">
        <v>138431</v>
      </c>
      <c r="B211">
        <v>1990</v>
      </c>
      <c r="C211" t="s">
        <v>928</v>
      </c>
    </row>
    <row r="212" spans="1:3" x14ac:dyDescent="0.25">
      <c r="A212">
        <v>138432</v>
      </c>
      <c r="B212">
        <v>1990</v>
      </c>
      <c r="C212" t="s">
        <v>929</v>
      </c>
    </row>
    <row r="213" spans="1:3" x14ac:dyDescent="0.25">
      <c r="A213">
        <v>138441</v>
      </c>
      <c r="B213">
        <v>1890</v>
      </c>
      <c r="C213" t="s">
        <v>851</v>
      </c>
    </row>
    <row r="214" spans="1:3" x14ac:dyDescent="0.25">
      <c r="A214">
        <v>211419</v>
      </c>
      <c r="B214" t="s">
        <v>1269</v>
      </c>
    </row>
    <row r="215" spans="1:3" x14ac:dyDescent="0.25">
      <c r="A215">
        <v>213677</v>
      </c>
      <c r="B215">
        <v>2190</v>
      </c>
      <c r="C215" t="s">
        <v>850</v>
      </c>
    </row>
    <row r="216" spans="1:3" x14ac:dyDescent="0.25">
      <c r="A216">
        <v>201787</v>
      </c>
      <c r="B216">
        <v>2390</v>
      </c>
      <c r="C216" t="s">
        <v>857</v>
      </c>
    </row>
    <row r="217" spans="1:3" x14ac:dyDescent="0.25">
      <c r="A217">
        <v>166025</v>
      </c>
      <c r="B217" t="s">
        <v>1428</v>
      </c>
    </row>
    <row r="218" spans="1:3" x14ac:dyDescent="0.25">
      <c r="A218">
        <v>138436</v>
      </c>
      <c r="B218">
        <v>1990</v>
      </c>
      <c r="C218" t="s">
        <v>1431</v>
      </c>
    </row>
    <row r="219" spans="1:3" x14ac:dyDescent="0.25">
      <c r="A219">
        <v>223093</v>
      </c>
      <c r="B219" t="s">
        <v>1269</v>
      </c>
    </row>
    <row r="220" spans="1:3" x14ac:dyDescent="0.25">
      <c r="A220">
        <v>212187</v>
      </c>
      <c r="B220" t="s">
        <v>1269</v>
      </c>
    </row>
    <row r="221" spans="1:3" x14ac:dyDescent="0.25">
      <c r="A221">
        <v>211440</v>
      </c>
      <c r="B221" t="s">
        <v>1269</v>
      </c>
    </row>
    <row r="222" spans="1:3" x14ac:dyDescent="0.25">
      <c r="A222">
        <v>138408</v>
      </c>
      <c r="B222">
        <v>2190</v>
      </c>
      <c r="C222" t="s">
        <v>853</v>
      </c>
    </row>
    <row r="223" spans="1:3" x14ac:dyDescent="0.25">
      <c r="A223">
        <v>138434</v>
      </c>
      <c r="B223">
        <v>2190</v>
      </c>
      <c r="C223" t="s">
        <v>854</v>
      </c>
    </row>
    <row r="224" spans="1:3" x14ac:dyDescent="0.25">
      <c r="A224">
        <v>133333</v>
      </c>
      <c r="B224">
        <v>2990</v>
      </c>
      <c r="C224" t="s">
        <v>930</v>
      </c>
    </row>
    <row r="225" spans="1:3" x14ac:dyDescent="0.25">
      <c r="A225">
        <v>133317</v>
      </c>
      <c r="B225">
        <v>2490</v>
      </c>
      <c r="C225" t="s">
        <v>931</v>
      </c>
    </row>
    <row r="226" spans="1:3" x14ac:dyDescent="0.25">
      <c r="A226">
        <v>223064</v>
      </c>
      <c r="B226" t="s">
        <v>1269</v>
      </c>
    </row>
    <row r="227" spans="1:3" x14ac:dyDescent="0.25">
      <c r="A227">
        <v>138438</v>
      </c>
      <c r="B227">
        <v>1890</v>
      </c>
      <c r="C227" t="s">
        <v>855</v>
      </c>
    </row>
    <row r="228" spans="1:3" x14ac:dyDescent="0.25">
      <c r="A228">
        <v>201811</v>
      </c>
      <c r="B228">
        <v>2390</v>
      </c>
      <c r="C228" t="s">
        <v>867</v>
      </c>
    </row>
    <row r="229" spans="1:3" x14ac:dyDescent="0.25">
      <c r="A229">
        <v>143809</v>
      </c>
      <c r="B229">
        <v>2590</v>
      </c>
      <c r="C229" t="s">
        <v>866</v>
      </c>
    </row>
    <row r="230" spans="1:3" x14ac:dyDescent="0.25">
      <c r="A230">
        <v>145568</v>
      </c>
      <c r="B230">
        <v>1990</v>
      </c>
      <c r="C230" t="s">
        <v>1424</v>
      </c>
    </row>
    <row r="231" spans="1:3" x14ac:dyDescent="0.25">
      <c r="A231">
        <v>213679</v>
      </c>
      <c r="B231">
        <v>2290</v>
      </c>
      <c r="C231" t="s">
        <v>856</v>
      </c>
    </row>
    <row r="232" spans="1:3" x14ac:dyDescent="0.25">
      <c r="A232">
        <v>143806</v>
      </c>
      <c r="B232">
        <v>2290</v>
      </c>
      <c r="C232" t="s">
        <v>1430</v>
      </c>
    </row>
    <row r="233" spans="1:3" x14ac:dyDescent="0.25">
      <c r="A233">
        <v>138414</v>
      </c>
      <c r="B233">
        <v>1990</v>
      </c>
      <c r="C233" t="s">
        <v>858</v>
      </c>
    </row>
    <row r="234" spans="1:3" x14ac:dyDescent="0.25">
      <c r="A234">
        <v>133323</v>
      </c>
      <c r="B234" t="s">
        <v>1269</v>
      </c>
    </row>
    <row r="235" spans="1:3" x14ac:dyDescent="0.25">
      <c r="A235">
        <v>143764</v>
      </c>
      <c r="B235">
        <v>2390</v>
      </c>
      <c r="C235" t="s">
        <v>1420</v>
      </c>
    </row>
    <row r="236" spans="1:3" x14ac:dyDescent="0.25">
      <c r="A236">
        <v>226471</v>
      </c>
      <c r="B236" t="s">
        <v>1269</v>
      </c>
    </row>
    <row r="237" spans="1:3" x14ac:dyDescent="0.25">
      <c r="A237">
        <v>138550</v>
      </c>
      <c r="B237" t="s">
        <v>1429</v>
      </c>
      <c r="C237" t="s">
        <v>864</v>
      </c>
    </row>
    <row r="238" spans="1:3" x14ac:dyDescent="0.25">
      <c r="A238">
        <v>133347</v>
      </c>
      <c r="B238">
        <v>2790</v>
      </c>
      <c r="C238" t="s">
        <v>1470</v>
      </c>
    </row>
    <row r="239" spans="1:3" x14ac:dyDescent="0.25">
      <c r="A239">
        <v>223091</v>
      </c>
      <c r="B239" t="s">
        <v>1269</v>
      </c>
    </row>
    <row r="240" spans="1:3" x14ac:dyDescent="0.25">
      <c r="A240">
        <v>201795</v>
      </c>
      <c r="B240">
        <v>2690</v>
      </c>
      <c r="C240" t="s">
        <v>860</v>
      </c>
    </row>
    <row r="241" spans="1:3" x14ac:dyDescent="0.25">
      <c r="A241">
        <v>170592</v>
      </c>
      <c r="B241">
        <v>2390</v>
      </c>
      <c r="C241" t="s">
        <v>861</v>
      </c>
    </row>
    <row r="242" spans="1:3" x14ac:dyDescent="0.25">
      <c r="A242">
        <v>201813</v>
      </c>
      <c r="B242">
        <v>2290</v>
      </c>
      <c r="C242" t="s">
        <v>859</v>
      </c>
    </row>
    <row r="243" spans="1:3" x14ac:dyDescent="0.25">
      <c r="A243">
        <v>211416</v>
      </c>
      <c r="B243" t="s">
        <v>1269</v>
      </c>
    </row>
    <row r="244" spans="1:3" x14ac:dyDescent="0.25">
      <c r="A244">
        <v>201786</v>
      </c>
      <c r="B244">
        <v>3990</v>
      </c>
      <c r="C244" t="s">
        <v>1419</v>
      </c>
    </row>
    <row r="245" spans="1:3" x14ac:dyDescent="0.25">
      <c r="A245">
        <v>345619</v>
      </c>
      <c r="B245">
        <v>2890</v>
      </c>
      <c r="C245" t="s">
        <v>1417</v>
      </c>
    </row>
    <row r="246" spans="1:3" x14ac:dyDescent="0.25">
      <c r="A246">
        <v>345617</v>
      </c>
      <c r="B246">
        <v>2890</v>
      </c>
      <c r="C246" t="s">
        <v>1418</v>
      </c>
    </row>
    <row r="247" spans="1:3" x14ac:dyDescent="0.25">
      <c r="A247">
        <v>213678</v>
      </c>
      <c r="B247">
        <v>2490</v>
      </c>
      <c r="C247" t="s">
        <v>862</v>
      </c>
    </row>
    <row r="248" spans="1:3" x14ac:dyDescent="0.25">
      <c r="A248">
        <v>138406</v>
      </c>
      <c r="B248">
        <v>1990</v>
      </c>
      <c r="C248" t="s">
        <v>865</v>
      </c>
    </row>
    <row r="249" spans="1:3" x14ac:dyDescent="0.25">
      <c r="A249">
        <v>133278</v>
      </c>
      <c r="B249" t="s">
        <v>1269</v>
      </c>
    </row>
    <row r="250" spans="1:3" x14ac:dyDescent="0.25">
      <c r="A250">
        <v>138543</v>
      </c>
      <c r="B250" t="s">
        <v>1429</v>
      </c>
      <c r="C250" t="s">
        <v>1475</v>
      </c>
    </row>
    <row r="251" spans="1:3" x14ac:dyDescent="0.25">
      <c r="A251">
        <v>223089</v>
      </c>
      <c r="B251" t="s">
        <v>1269</v>
      </c>
    </row>
    <row r="252" spans="1:3" x14ac:dyDescent="0.25">
      <c r="A252">
        <v>223067</v>
      </c>
      <c r="B252" t="s">
        <v>1269</v>
      </c>
    </row>
    <row r="253" spans="1:3" x14ac:dyDescent="0.25">
      <c r="A253">
        <v>117283</v>
      </c>
      <c r="B253">
        <v>2790</v>
      </c>
      <c r="C253" t="s">
        <v>873</v>
      </c>
    </row>
    <row r="254" spans="1:3" x14ac:dyDescent="0.25">
      <c r="A254">
        <v>117281</v>
      </c>
      <c r="B254">
        <v>3490</v>
      </c>
      <c r="C254" t="s">
        <v>870</v>
      </c>
    </row>
    <row r="255" spans="1:3" x14ac:dyDescent="0.25">
      <c r="A255">
        <v>376364</v>
      </c>
    </row>
    <row r="256" spans="1:3" x14ac:dyDescent="0.25">
      <c r="A256">
        <v>212191</v>
      </c>
      <c r="B256" t="s">
        <v>1269</v>
      </c>
    </row>
    <row r="257" spans="1:3" x14ac:dyDescent="0.25">
      <c r="A257">
        <v>212185</v>
      </c>
      <c r="B257" t="s">
        <v>1269</v>
      </c>
    </row>
    <row r="258" spans="1:3" x14ac:dyDescent="0.25">
      <c r="A258">
        <v>212188</v>
      </c>
      <c r="B258" t="s">
        <v>1269</v>
      </c>
    </row>
    <row r="259" spans="1:3" x14ac:dyDescent="0.25">
      <c r="A259">
        <v>117286</v>
      </c>
      <c r="B259">
        <v>2690</v>
      </c>
      <c r="C259" t="s">
        <v>872</v>
      </c>
    </row>
    <row r="260" spans="1:3" x14ac:dyDescent="0.25">
      <c r="A260">
        <v>143761</v>
      </c>
      <c r="B260">
        <v>2690</v>
      </c>
      <c r="C260" t="s">
        <v>871</v>
      </c>
    </row>
    <row r="261" spans="1:3" x14ac:dyDescent="0.25">
      <c r="A261">
        <v>211424</v>
      </c>
      <c r="B261" t="s">
        <v>1269</v>
      </c>
    </row>
    <row r="262" spans="1:3" x14ac:dyDescent="0.25">
      <c r="A262">
        <v>211417</v>
      </c>
      <c r="B262" t="s">
        <v>1269</v>
      </c>
    </row>
    <row r="263" spans="1:3" x14ac:dyDescent="0.25">
      <c r="A263">
        <v>211425</v>
      </c>
      <c r="B263" t="s">
        <v>1269</v>
      </c>
    </row>
    <row r="264" spans="1:3" x14ac:dyDescent="0.25">
      <c r="A264">
        <v>133322</v>
      </c>
      <c r="B264">
        <v>3390</v>
      </c>
      <c r="C264" t="s">
        <v>932</v>
      </c>
    </row>
    <row r="265" spans="1:3" x14ac:dyDescent="0.25">
      <c r="A265">
        <v>211423</v>
      </c>
      <c r="B265" t="s">
        <v>1269</v>
      </c>
    </row>
    <row r="266" spans="1:3" x14ac:dyDescent="0.25">
      <c r="A266">
        <v>213675</v>
      </c>
      <c r="B266" t="s">
        <v>1269</v>
      </c>
    </row>
    <row r="267" spans="1:3" x14ac:dyDescent="0.25">
      <c r="A267">
        <v>117284</v>
      </c>
      <c r="B267" t="s">
        <v>1269</v>
      </c>
    </row>
    <row r="268" spans="1:3" x14ac:dyDescent="0.25">
      <c r="A268">
        <v>145559</v>
      </c>
      <c r="B268">
        <v>2990</v>
      </c>
      <c r="C268" t="s">
        <v>868</v>
      </c>
    </row>
    <row r="269" spans="1:3" x14ac:dyDescent="0.25">
      <c r="A269">
        <v>133319</v>
      </c>
      <c r="B269" t="s">
        <v>1269</v>
      </c>
    </row>
    <row r="270" spans="1:3" x14ac:dyDescent="0.25">
      <c r="A270">
        <v>145557</v>
      </c>
      <c r="B270">
        <v>3390</v>
      </c>
      <c r="C270" t="s">
        <v>869</v>
      </c>
    </row>
    <row r="271" spans="1:3" x14ac:dyDescent="0.25">
      <c r="A271">
        <v>145556</v>
      </c>
      <c r="B271">
        <v>3390</v>
      </c>
      <c r="C271" t="s">
        <v>874</v>
      </c>
    </row>
    <row r="272" spans="1:3" x14ac:dyDescent="0.25">
      <c r="A272">
        <v>211467</v>
      </c>
      <c r="B272" t="s">
        <v>1269</v>
      </c>
    </row>
    <row r="273" spans="1:3" x14ac:dyDescent="0.25">
      <c r="A273">
        <v>213668</v>
      </c>
      <c r="B273">
        <v>3190</v>
      </c>
      <c r="C273" t="s">
        <v>740</v>
      </c>
    </row>
    <row r="274" spans="1:3" x14ac:dyDescent="0.25">
      <c r="A274">
        <v>133334</v>
      </c>
      <c r="B274">
        <v>3490</v>
      </c>
      <c r="C274" t="s">
        <v>786</v>
      </c>
    </row>
    <row r="275" spans="1:3" x14ac:dyDescent="0.25">
      <c r="A275">
        <v>133271</v>
      </c>
      <c r="B275" t="s">
        <v>1269</v>
      </c>
    </row>
    <row r="276" spans="1:3" x14ac:dyDescent="0.25">
      <c r="A276">
        <v>143762</v>
      </c>
      <c r="B276">
        <v>3190</v>
      </c>
      <c r="C276" t="s">
        <v>1473</v>
      </c>
    </row>
    <row r="277" spans="1:3" x14ac:dyDescent="0.25">
      <c r="A277">
        <v>223062</v>
      </c>
      <c r="B277" t="s">
        <v>1269</v>
      </c>
    </row>
    <row r="278" spans="1:3" x14ac:dyDescent="0.25">
      <c r="A278">
        <v>201804</v>
      </c>
      <c r="B278">
        <v>3290</v>
      </c>
      <c r="C278" t="s">
        <v>1421</v>
      </c>
    </row>
    <row r="279" spans="1:3" x14ac:dyDescent="0.25">
      <c r="A279">
        <v>145537</v>
      </c>
      <c r="B279">
        <v>3590</v>
      </c>
      <c r="C279" t="s">
        <v>758</v>
      </c>
    </row>
    <row r="280" spans="1:3" x14ac:dyDescent="0.25">
      <c r="A280">
        <v>213661</v>
      </c>
      <c r="B280">
        <v>2590</v>
      </c>
      <c r="C280" t="s">
        <v>1362</v>
      </c>
    </row>
    <row r="281" spans="1:3" x14ac:dyDescent="0.25">
      <c r="A281">
        <v>211432</v>
      </c>
      <c r="B281" t="s">
        <v>1269</v>
      </c>
    </row>
    <row r="282" spans="1:3" x14ac:dyDescent="0.25">
      <c r="A282">
        <v>223714</v>
      </c>
      <c r="B282" t="s">
        <v>1269</v>
      </c>
    </row>
    <row r="283" spans="1:3" x14ac:dyDescent="0.25">
      <c r="A283">
        <v>213655</v>
      </c>
      <c r="B283" t="s">
        <v>1269</v>
      </c>
    </row>
    <row r="284" spans="1:3" x14ac:dyDescent="0.25">
      <c r="A284">
        <v>145474</v>
      </c>
      <c r="B284">
        <v>3390</v>
      </c>
      <c r="C284" t="s">
        <v>877</v>
      </c>
    </row>
    <row r="285" spans="1:3" x14ac:dyDescent="0.25">
      <c r="A285">
        <v>145491</v>
      </c>
      <c r="B285">
        <v>3390</v>
      </c>
      <c r="C285" t="s">
        <v>878</v>
      </c>
    </row>
    <row r="286" spans="1:3" x14ac:dyDescent="0.25">
      <c r="A286">
        <v>145476</v>
      </c>
      <c r="B286">
        <v>4690</v>
      </c>
      <c r="C286" t="s">
        <v>742</v>
      </c>
    </row>
    <row r="287" spans="1:3" x14ac:dyDescent="0.25">
      <c r="A287">
        <v>145493</v>
      </c>
      <c r="B287">
        <v>3490</v>
      </c>
      <c r="C287" t="s">
        <v>745</v>
      </c>
    </row>
    <row r="288" spans="1:3" x14ac:dyDescent="0.25">
      <c r="A288">
        <v>223838</v>
      </c>
      <c r="B288">
        <v>3790</v>
      </c>
      <c r="C288" t="s">
        <v>894</v>
      </c>
    </row>
    <row r="289" spans="1:3" x14ac:dyDescent="0.25">
      <c r="A289">
        <v>223861</v>
      </c>
      <c r="B289">
        <v>3790</v>
      </c>
      <c r="C289" t="s">
        <v>895</v>
      </c>
    </row>
    <row r="290" spans="1:3" x14ac:dyDescent="0.25">
      <c r="A290">
        <v>211428</v>
      </c>
      <c r="B290" t="s">
        <v>1269</v>
      </c>
    </row>
    <row r="291" spans="1:3" x14ac:dyDescent="0.25">
      <c r="A291">
        <v>211427</v>
      </c>
      <c r="B291" t="s">
        <v>1269</v>
      </c>
    </row>
    <row r="292" spans="1:3" x14ac:dyDescent="0.25">
      <c r="A292">
        <v>211430</v>
      </c>
      <c r="B292">
        <v>3590</v>
      </c>
      <c r="C292" t="s">
        <v>933</v>
      </c>
    </row>
    <row r="293" spans="1:3" x14ac:dyDescent="0.25">
      <c r="A293">
        <v>211431</v>
      </c>
      <c r="B293" t="s">
        <v>1269</v>
      </c>
    </row>
    <row r="294" spans="1:3" x14ac:dyDescent="0.25">
      <c r="A294">
        <v>201797</v>
      </c>
      <c r="B294">
        <v>3890</v>
      </c>
      <c r="C294" t="s">
        <v>881</v>
      </c>
    </row>
    <row r="295" spans="1:3" x14ac:dyDescent="0.25">
      <c r="A295">
        <v>145492</v>
      </c>
      <c r="B295">
        <v>3590</v>
      </c>
      <c r="C295" t="s">
        <v>783</v>
      </c>
    </row>
    <row r="296" spans="1:3" x14ac:dyDescent="0.25">
      <c r="A296">
        <v>220053</v>
      </c>
      <c r="B296">
        <v>3990</v>
      </c>
      <c r="C296" t="s">
        <v>875</v>
      </c>
    </row>
    <row r="297" spans="1:3" x14ac:dyDescent="0.25">
      <c r="A297">
        <v>211429</v>
      </c>
      <c r="B297" t="s">
        <v>1269</v>
      </c>
    </row>
    <row r="298" spans="1:3" x14ac:dyDescent="0.25">
      <c r="A298">
        <v>223950</v>
      </c>
      <c r="B298">
        <v>4190</v>
      </c>
      <c r="C298" t="s">
        <v>882</v>
      </c>
    </row>
    <row r="299" spans="1:3" x14ac:dyDescent="0.25">
      <c r="A299">
        <v>202706</v>
      </c>
      <c r="B299">
        <v>3790</v>
      </c>
      <c r="C299" t="s">
        <v>884</v>
      </c>
    </row>
    <row r="300" spans="1:3" x14ac:dyDescent="0.25">
      <c r="A300">
        <v>211466</v>
      </c>
      <c r="B300" t="s">
        <v>1269</v>
      </c>
    </row>
    <row r="301" spans="1:3" x14ac:dyDescent="0.25">
      <c r="A301">
        <v>213706</v>
      </c>
      <c r="B301">
        <v>3890</v>
      </c>
      <c r="C301" t="s">
        <v>768</v>
      </c>
    </row>
    <row r="302" spans="1:3" x14ac:dyDescent="0.25">
      <c r="A302">
        <v>213704</v>
      </c>
      <c r="B302">
        <v>3890</v>
      </c>
      <c r="C302" t="s">
        <v>769</v>
      </c>
    </row>
    <row r="303" spans="1:3" x14ac:dyDescent="0.25">
      <c r="A303">
        <v>213694</v>
      </c>
      <c r="B303">
        <v>3790</v>
      </c>
      <c r="C303" t="s">
        <v>785</v>
      </c>
    </row>
    <row r="304" spans="1:3" x14ac:dyDescent="0.25">
      <c r="A304">
        <v>133320</v>
      </c>
      <c r="B304">
        <v>5190</v>
      </c>
      <c r="C304" t="s">
        <v>934</v>
      </c>
    </row>
    <row r="305" spans="1:3" x14ac:dyDescent="0.25">
      <c r="A305">
        <v>133321</v>
      </c>
      <c r="B305">
        <v>3890</v>
      </c>
      <c r="C305" t="s">
        <v>935</v>
      </c>
    </row>
    <row r="306" spans="1:3" x14ac:dyDescent="0.25">
      <c r="A306">
        <v>145487</v>
      </c>
      <c r="B306">
        <v>3590</v>
      </c>
      <c r="C306" t="s">
        <v>879</v>
      </c>
    </row>
    <row r="307" spans="1:3" x14ac:dyDescent="0.25">
      <c r="A307">
        <v>133276</v>
      </c>
      <c r="B307" t="s">
        <v>1269</v>
      </c>
    </row>
    <row r="308" spans="1:3" x14ac:dyDescent="0.25">
      <c r="A308">
        <v>211461</v>
      </c>
      <c r="B308" t="s">
        <v>1269</v>
      </c>
    </row>
    <row r="309" spans="1:3" x14ac:dyDescent="0.25">
      <c r="A309">
        <v>220055</v>
      </c>
      <c r="B309">
        <v>3990</v>
      </c>
      <c r="C309" t="s">
        <v>876</v>
      </c>
    </row>
    <row r="310" spans="1:3" x14ac:dyDescent="0.25">
      <c r="A310">
        <v>145538</v>
      </c>
      <c r="B310">
        <v>3990</v>
      </c>
      <c r="C310" t="s">
        <v>756</v>
      </c>
    </row>
    <row r="311" spans="1:3" x14ac:dyDescent="0.25">
      <c r="A311">
        <v>145536</v>
      </c>
      <c r="B311">
        <v>4190</v>
      </c>
      <c r="C311" t="s">
        <v>757</v>
      </c>
    </row>
    <row r="312" spans="1:3" x14ac:dyDescent="0.25">
      <c r="A312">
        <v>213712</v>
      </c>
      <c r="B312">
        <v>4790</v>
      </c>
      <c r="C312" t="s">
        <v>765</v>
      </c>
    </row>
    <row r="313" spans="1:3" x14ac:dyDescent="0.25">
      <c r="A313">
        <v>143742</v>
      </c>
      <c r="B313">
        <v>3990</v>
      </c>
      <c r="C313" t="s">
        <v>1423</v>
      </c>
    </row>
    <row r="314" spans="1:3" x14ac:dyDescent="0.25">
      <c r="A314">
        <v>143811</v>
      </c>
      <c r="B314" t="s">
        <v>1269</v>
      </c>
    </row>
    <row r="315" spans="1:3" x14ac:dyDescent="0.25">
      <c r="A315">
        <v>274203</v>
      </c>
      <c r="B315">
        <v>3390</v>
      </c>
      <c r="C315" t="s">
        <v>1272</v>
      </c>
    </row>
    <row r="316" spans="1:3" x14ac:dyDescent="0.25">
      <c r="A316">
        <v>133279</v>
      </c>
      <c r="B316" t="s">
        <v>1269</v>
      </c>
    </row>
    <row r="317" spans="1:3" x14ac:dyDescent="0.25">
      <c r="A317">
        <v>145490</v>
      </c>
      <c r="B317">
        <v>3890</v>
      </c>
      <c r="C317" t="s">
        <v>760</v>
      </c>
    </row>
    <row r="318" spans="1:3" x14ac:dyDescent="0.25">
      <c r="A318">
        <v>223949</v>
      </c>
      <c r="B318">
        <v>4190</v>
      </c>
      <c r="C318" t="s">
        <v>883</v>
      </c>
    </row>
    <row r="319" spans="1:3" x14ac:dyDescent="0.25">
      <c r="A319">
        <v>145540</v>
      </c>
      <c r="B319">
        <v>3990</v>
      </c>
      <c r="C319" t="s">
        <v>885</v>
      </c>
    </row>
    <row r="320" spans="1:3" x14ac:dyDescent="0.25">
      <c r="A320">
        <v>117270</v>
      </c>
      <c r="B320">
        <v>4390</v>
      </c>
      <c r="C320" t="s">
        <v>762</v>
      </c>
    </row>
    <row r="321" spans="1:3" x14ac:dyDescent="0.25">
      <c r="A321">
        <v>145529</v>
      </c>
      <c r="B321" t="s">
        <v>1428</v>
      </c>
    </row>
    <row r="322" spans="1:3" x14ac:dyDescent="0.25">
      <c r="A322">
        <v>145534</v>
      </c>
      <c r="B322">
        <v>4290</v>
      </c>
      <c r="C322" t="s">
        <v>886</v>
      </c>
    </row>
    <row r="323" spans="1:3" x14ac:dyDescent="0.25">
      <c r="A323">
        <v>145477</v>
      </c>
      <c r="B323">
        <v>3390</v>
      </c>
      <c r="C323" t="s">
        <v>795</v>
      </c>
    </row>
    <row r="324" spans="1:3" x14ac:dyDescent="0.25">
      <c r="A324">
        <v>145475</v>
      </c>
      <c r="B324">
        <v>4290</v>
      </c>
      <c r="C324" t="s">
        <v>796</v>
      </c>
    </row>
    <row r="325" spans="1:3" x14ac:dyDescent="0.25">
      <c r="A325">
        <v>145483</v>
      </c>
      <c r="B325">
        <v>4290</v>
      </c>
      <c r="C325" t="s">
        <v>887</v>
      </c>
    </row>
    <row r="326" spans="1:3" x14ac:dyDescent="0.25">
      <c r="A326">
        <v>145544</v>
      </c>
      <c r="B326">
        <v>4290</v>
      </c>
      <c r="C326" t="s">
        <v>747</v>
      </c>
    </row>
    <row r="327" spans="1:3" x14ac:dyDescent="0.25">
      <c r="A327">
        <v>256651</v>
      </c>
      <c r="B327">
        <v>4290</v>
      </c>
      <c r="C327" t="s">
        <v>1357</v>
      </c>
    </row>
    <row r="328" spans="1:3" x14ac:dyDescent="0.25">
      <c r="A328">
        <v>224161</v>
      </c>
      <c r="B328">
        <v>3590</v>
      </c>
      <c r="C328" t="s">
        <v>781</v>
      </c>
    </row>
    <row r="329" spans="1:3" x14ac:dyDescent="0.25">
      <c r="A329">
        <v>224160</v>
      </c>
      <c r="B329">
        <v>4290</v>
      </c>
      <c r="C329" t="s">
        <v>780</v>
      </c>
    </row>
    <row r="330" spans="1:3" x14ac:dyDescent="0.25">
      <c r="A330">
        <v>213693</v>
      </c>
      <c r="B330">
        <v>4590</v>
      </c>
      <c r="C330" t="s">
        <v>763</v>
      </c>
    </row>
    <row r="331" spans="1:3" x14ac:dyDescent="0.25">
      <c r="A331">
        <v>133318</v>
      </c>
      <c r="B331">
        <v>4790</v>
      </c>
      <c r="C331" t="s">
        <v>779</v>
      </c>
    </row>
    <row r="332" spans="1:3" x14ac:dyDescent="0.25">
      <c r="A332">
        <v>117269</v>
      </c>
      <c r="B332">
        <v>4590</v>
      </c>
      <c r="C332" t="s">
        <v>1474</v>
      </c>
    </row>
    <row r="333" spans="1:3" x14ac:dyDescent="0.25">
      <c r="A333">
        <v>201796</v>
      </c>
      <c r="B333">
        <v>5190</v>
      </c>
      <c r="C333" t="s">
        <v>778</v>
      </c>
    </row>
    <row r="334" spans="1:3" x14ac:dyDescent="0.25">
      <c r="A334">
        <v>213701</v>
      </c>
      <c r="B334">
        <v>4590</v>
      </c>
      <c r="C334" t="s">
        <v>777</v>
      </c>
    </row>
    <row r="335" spans="1:3" x14ac:dyDescent="0.25">
      <c r="A335">
        <v>213685</v>
      </c>
      <c r="B335">
        <v>5290</v>
      </c>
      <c r="C335" t="s">
        <v>776</v>
      </c>
    </row>
    <row r="336" spans="1:3" x14ac:dyDescent="0.25">
      <c r="A336">
        <v>213692</v>
      </c>
      <c r="B336">
        <v>4890</v>
      </c>
      <c r="C336" t="s">
        <v>889</v>
      </c>
    </row>
    <row r="337" spans="1:3" x14ac:dyDescent="0.25">
      <c r="A337">
        <v>255952</v>
      </c>
      <c r="B337">
        <v>4790</v>
      </c>
      <c r="C337" t="s">
        <v>1360</v>
      </c>
    </row>
    <row r="338" spans="1:3" x14ac:dyDescent="0.25">
      <c r="A338">
        <v>213690</v>
      </c>
      <c r="B338">
        <v>5290</v>
      </c>
      <c r="C338" t="s">
        <v>784</v>
      </c>
    </row>
    <row r="339" spans="1:3" x14ac:dyDescent="0.25">
      <c r="A339">
        <v>213709</v>
      </c>
      <c r="B339">
        <v>4790</v>
      </c>
      <c r="C339" t="s">
        <v>782</v>
      </c>
    </row>
    <row r="340" spans="1:3" x14ac:dyDescent="0.25">
      <c r="A340">
        <v>213711</v>
      </c>
      <c r="B340" t="s">
        <v>1269</v>
      </c>
    </row>
    <row r="341" spans="1:3" x14ac:dyDescent="0.25">
      <c r="A341">
        <v>213713</v>
      </c>
      <c r="B341">
        <v>4790</v>
      </c>
      <c r="C341" t="s">
        <v>775</v>
      </c>
    </row>
    <row r="342" spans="1:3" x14ac:dyDescent="0.25">
      <c r="A342">
        <v>213715</v>
      </c>
      <c r="B342">
        <v>4790</v>
      </c>
      <c r="C342" t="s">
        <v>766</v>
      </c>
    </row>
    <row r="343" spans="1:3" x14ac:dyDescent="0.25">
      <c r="A343">
        <v>213714</v>
      </c>
      <c r="B343">
        <v>4790</v>
      </c>
      <c r="C343" t="s">
        <v>764</v>
      </c>
    </row>
    <row r="344" spans="1:3" x14ac:dyDescent="0.25">
      <c r="A344">
        <v>213700</v>
      </c>
      <c r="B344">
        <v>5090</v>
      </c>
      <c r="C344" t="s">
        <v>774</v>
      </c>
    </row>
    <row r="345" spans="1:3" x14ac:dyDescent="0.25">
      <c r="A345">
        <v>213702</v>
      </c>
      <c r="B345">
        <v>4490</v>
      </c>
      <c r="C345" t="s">
        <v>773</v>
      </c>
    </row>
    <row r="346" spans="1:3" x14ac:dyDescent="0.25">
      <c r="A346">
        <v>213703</v>
      </c>
      <c r="B346">
        <v>4890</v>
      </c>
      <c r="C346" t="s">
        <v>772</v>
      </c>
    </row>
    <row r="347" spans="1:3" x14ac:dyDescent="0.25">
      <c r="A347">
        <v>213691</v>
      </c>
      <c r="B347">
        <v>4890</v>
      </c>
      <c r="C347" t="s">
        <v>888</v>
      </c>
    </row>
    <row r="348" spans="1:3" x14ac:dyDescent="0.25">
      <c r="A348">
        <v>213686</v>
      </c>
      <c r="B348">
        <v>4890</v>
      </c>
      <c r="C348" t="s">
        <v>761</v>
      </c>
    </row>
    <row r="349" spans="1:3" x14ac:dyDescent="0.25">
      <c r="A349">
        <v>213688</v>
      </c>
      <c r="B349">
        <v>4990</v>
      </c>
      <c r="C349" t="s">
        <v>759</v>
      </c>
    </row>
    <row r="350" spans="1:3" x14ac:dyDescent="0.25">
      <c r="A350">
        <v>133280</v>
      </c>
      <c r="B350" t="s">
        <v>1269</v>
      </c>
    </row>
    <row r="351" spans="1:3" x14ac:dyDescent="0.25">
      <c r="A351">
        <v>145488</v>
      </c>
      <c r="B351">
        <v>5890</v>
      </c>
      <c r="C351" t="s">
        <v>754</v>
      </c>
    </row>
    <row r="352" spans="1:3" x14ac:dyDescent="0.25">
      <c r="A352">
        <v>133335</v>
      </c>
      <c r="B352">
        <v>4990</v>
      </c>
      <c r="C352" t="s">
        <v>936</v>
      </c>
    </row>
    <row r="353" spans="1:3" x14ac:dyDescent="0.25">
      <c r="A353">
        <v>133339</v>
      </c>
      <c r="B353">
        <v>7490</v>
      </c>
      <c r="C353" t="s">
        <v>937</v>
      </c>
    </row>
    <row r="354" spans="1:3" x14ac:dyDescent="0.25">
      <c r="A354">
        <v>211438</v>
      </c>
      <c r="B354" t="s">
        <v>1269</v>
      </c>
    </row>
    <row r="355" spans="1:3" x14ac:dyDescent="0.25">
      <c r="A355">
        <v>223954</v>
      </c>
      <c r="B355">
        <v>7990</v>
      </c>
      <c r="C355" t="s">
        <v>1361</v>
      </c>
    </row>
    <row r="356" spans="1:3" x14ac:dyDescent="0.25">
      <c r="A356">
        <v>213708</v>
      </c>
      <c r="B356">
        <v>7990</v>
      </c>
      <c r="C356" t="s">
        <v>771</v>
      </c>
    </row>
    <row r="357" spans="1:3" x14ac:dyDescent="0.25">
      <c r="A357">
        <v>133307</v>
      </c>
      <c r="B357">
        <v>8190</v>
      </c>
      <c r="C357" t="s">
        <v>1463</v>
      </c>
    </row>
    <row r="358" spans="1:3" x14ac:dyDescent="0.25">
      <c r="A358">
        <v>145484</v>
      </c>
      <c r="B358">
        <v>7190</v>
      </c>
      <c r="C358" t="s">
        <v>891</v>
      </c>
    </row>
    <row r="359" spans="1:3" x14ac:dyDescent="0.25">
      <c r="A359">
        <v>145485</v>
      </c>
      <c r="B359">
        <v>7190</v>
      </c>
      <c r="C359" t="s">
        <v>1427</v>
      </c>
    </row>
    <row r="360" spans="1:3" x14ac:dyDescent="0.25">
      <c r="A360">
        <v>222871</v>
      </c>
      <c r="B360">
        <v>8190</v>
      </c>
      <c r="C360" t="s">
        <v>1237</v>
      </c>
    </row>
    <row r="361" spans="1:3" x14ac:dyDescent="0.25">
      <c r="A361">
        <v>345623</v>
      </c>
      <c r="B361">
        <v>8490</v>
      </c>
      <c r="C361" t="s">
        <v>1380</v>
      </c>
    </row>
    <row r="362" spans="1:3" x14ac:dyDescent="0.25">
      <c r="A362">
        <v>133281</v>
      </c>
      <c r="B362" t="s">
        <v>1269</v>
      </c>
    </row>
    <row r="363" spans="1:3" x14ac:dyDescent="0.25">
      <c r="A363">
        <v>133336</v>
      </c>
      <c r="B363">
        <v>8490</v>
      </c>
      <c r="C363" t="s">
        <v>940</v>
      </c>
    </row>
    <row r="364" spans="1:3" x14ac:dyDescent="0.25">
      <c r="A364">
        <v>133340</v>
      </c>
      <c r="B364">
        <v>8490</v>
      </c>
      <c r="C364" t="s">
        <v>941</v>
      </c>
    </row>
    <row r="365" spans="1:3" x14ac:dyDescent="0.25">
      <c r="A365">
        <v>258087</v>
      </c>
      <c r="B365">
        <v>8990</v>
      </c>
      <c r="C365" t="s">
        <v>1166</v>
      </c>
    </row>
    <row r="366" spans="1:3" x14ac:dyDescent="0.25">
      <c r="A366">
        <v>258088</v>
      </c>
      <c r="B366">
        <v>8990</v>
      </c>
      <c r="C366" t="s">
        <v>1167</v>
      </c>
    </row>
    <row r="367" spans="1:3" x14ac:dyDescent="0.25">
      <c r="A367">
        <v>133282</v>
      </c>
      <c r="B367" t="s">
        <v>1269</v>
      </c>
    </row>
    <row r="368" spans="1:3" x14ac:dyDescent="0.25">
      <c r="A368">
        <v>159816</v>
      </c>
      <c r="B368">
        <v>12490</v>
      </c>
      <c r="C368" t="s">
        <v>790</v>
      </c>
    </row>
    <row r="369" spans="1:3" x14ac:dyDescent="0.25">
      <c r="A369">
        <v>158556</v>
      </c>
      <c r="B369">
        <v>12490</v>
      </c>
      <c r="C369" t="s">
        <v>791</v>
      </c>
    </row>
    <row r="370" spans="1:3" x14ac:dyDescent="0.25">
      <c r="A370">
        <v>158555</v>
      </c>
      <c r="B370">
        <v>12490</v>
      </c>
      <c r="C370" t="s">
        <v>788</v>
      </c>
    </row>
    <row r="371" spans="1:3" x14ac:dyDescent="0.25">
      <c r="A371">
        <v>158557</v>
      </c>
      <c r="B371">
        <v>12490</v>
      </c>
      <c r="C371" t="s">
        <v>789</v>
      </c>
    </row>
    <row r="372" spans="1:3" x14ac:dyDescent="0.25">
      <c r="A372">
        <v>158559</v>
      </c>
      <c r="B372">
        <v>12490</v>
      </c>
    </row>
    <row r="373" spans="1:3" x14ac:dyDescent="0.25">
      <c r="A373">
        <v>158558</v>
      </c>
      <c r="B373">
        <v>12490</v>
      </c>
      <c r="C373" t="s">
        <v>787</v>
      </c>
    </row>
    <row r="374" spans="1:3" x14ac:dyDescent="0.25">
      <c r="A374">
        <v>213728</v>
      </c>
      <c r="B374">
        <v>18190</v>
      </c>
      <c r="C374" t="s">
        <v>794</v>
      </c>
    </row>
    <row r="375" spans="1:3" x14ac:dyDescent="0.25">
      <c r="A375">
        <v>213726</v>
      </c>
      <c r="B375">
        <v>17990</v>
      </c>
      <c r="C375" t="s">
        <v>793</v>
      </c>
    </row>
    <row r="376" spans="1:3" x14ac:dyDescent="0.25">
      <c r="A376">
        <v>213716</v>
      </c>
      <c r="B376">
        <v>21290</v>
      </c>
      <c r="C376" t="s">
        <v>893</v>
      </c>
    </row>
    <row r="377" spans="1:3" x14ac:dyDescent="0.25">
      <c r="A377">
        <v>213727</v>
      </c>
      <c r="B377">
        <v>18990</v>
      </c>
      <c r="C377" t="s">
        <v>1426</v>
      </c>
    </row>
    <row r="378" spans="1:3" x14ac:dyDescent="0.25">
      <c r="A378">
        <v>213725</v>
      </c>
      <c r="B378">
        <v>18990</v>
      </c>
      <c r="C378" t="s">
        <v>1425</v>
      </c>
    </row>
    <row r="379" spans="1:3" x14ac:dyDescent="0.25">
      <c r="A379">
        <v>256788</v>
      </c>
      <c r="B379">
        <v>21290</v>
      </c>
      <c r="C379" t="s">
        <v>1358</v>
      </c>
    </row>
    <row r="380" spans="1:3" x14ac:dyDescent="0.25">
      <c r="A380">
        <v>133337</v>
      </c>
      <c r="B380">
        <v>14990</v>
      </c>
      <c r="C380" t="s">
        <v>746</v>
      </c>
    </row>
    <row r="381" spans="1:3" x14ac:dyDescent="0.25">
      <c r="A381">
        <v>222869</v>
      </c>
      <c r="B381">
        <v>24990</v>
      </c>
      <c r="C381" t="s">
        <v>792</v>
      </c>
    </row>
    <row r="382" spans="1:3" x14ac:dyDescent="0.25">
      <c r="A382">
        <v>264881</v>
      </c>
      <c r="B382">
        <v>24390</v>
      </c>
      <c r="C382" t="s">
        <v>1356</v>
      </c>
    </row>
    <row r="383" spans="1:3" x14ac:dyDescent="0.25">
      <c r="A383">
        <v>274200</v>
      </c>
      <c r="B383">
        <v>24390</v>
      </c>
      <c r="C383" t="s">
        <v>1273</v>
      </c>
    </row>
    <row r="384" spans="1:3" x14ac:dyDescent="0.25">
      <c r="A384">
        <v>133338</v>
      </c>
      <c r="B384">
        <v>18890</v>
      </c>
      <c r="C384" t="s">
        <v>744</v>
      </c>
    </row>
    <row r="385" spans="1:3" x14ac:dyDescent="0.25">
      <c r="A385">
        <v>222868</v>
      </c>
      <c r="B385">
        <v>31290</v>
      </c>
      <c r="C385" t="s">
        <v>755</v>
      </c>
    </row>
    <row r="386" spans="1:3" x14ac:dyDescent="0.25">
      <c r="A386">
        <v>256787</v>
      </c>
      <c r="B386">
        <v>30990</v>
      </c>
      <c r="C386" t="s">
        <v>1359</v>
      </c>
    </row>
    <row r="387" spans="1:3" x14ac:dyDescent="0.25">
      <c r="A387">
        <v>264882</v>
      </c>
      <c r="B387">
        <v>30990</v>
      </c>
      <c r="C387" t="s">
        <v>1355</v>
      </c>
    </row>
    <row r="388" spans="1:3" x14ac:dyDescent="0.25">
      <c r="A388">
        <v>202705</v>
      </c>
    </row>
    <row r="389" spans="1:3" x14ac:dyDescent="0.25">
      <c r="A389">
        <v>211475</v>
      </c>
    </row>
    <row r="390" spans="1:3" x14ac:dyDescent="0.25">
      <c r="A390">
        <v>202707</v>
      </c>
    </row>
    <row r="391" spans="1:3" x14ac:dyDescent="0.25">
      <c r="A391">
        <v>202709</v>
      </c>
    </row>
    <row r="392" spans="1:3" x14ac:dyDescent="0.25">
      <c r="A392">
        <v>202710</v>
      </c>
    </row>
    <row r="393" spans="1:3" x14ac:dyDescent="0.25">
      <c r="A393">
        <v>222851</v>
      </c>
    </row>
    <row r="394" spans="1:3" x14ac:dyDescent="0.25">
      <c r="A394">
        <v>226470</v>
      </c>
    </row>
    <row r="395" spans="1:3" x14ac:dyDescent="0.25">
      <c r="A395">
        <v>223955</v>
      </c>
    </row>
    <row r="396" spans="1:3" x14ac:dyDescent="0.25">
      <c r="A396">
        <v>145577</v>
      </c>
    </row>
    <row r="397" spans="1:3" x14ac:dyDescent="0.25">
      <c r="A397">
        <v>145522</v>
      </c>
    </row>
    <row r="398" spans="1:3" x14ac:dyDescent="0.25">
      <c r="A398">
        <v>187494</v>
      </c>
    </row>
    <row r="399" spans="1:3" x14ac:dyDescent="0.25">
      <c r="A399">
        <v>187499</v>
      </c>
    </row>
    <row r="400" spans="1:3" x14ac:dyDescent="0.25">
      <c r="A400">
        <v>145531</v>
      </c>
    </row>
    <row r="401" spans="1:2" x14ac:dyDescent="0.25">
      <c r="A401">
        <v>145533</v>
      </c>
    </row>
    <row r="402" spans="1:2" x14ac:dyDescent="0.25">
      <c r="A402">
        <v>145528</v>
      </c>
    </row>
    <row r="403" spans="1:2" x14ac:dyDescent="0.25">
      <c r="A403">
        <v>145561</v>
      </c>
    </row>
    <row r="404" spans="1:2" x14ac:dyDescent="0.25">
      <c r="A404">
        <v>145574</v>
      </c>
    </row>
    <row r="405" spans="1:2" x14ac:dyDescent="0.25">
      <c r="A405">
        <v>187493</v>
      </c>
    </row>
    <row r="406" spans="1:2" x14ac:dyDescent="0.25">
      <c r="A406">
        <v>145580</v>
      </c>
    </row>
    <row r="407" spans="1:2" x14ac:dyDescent="0.25">
      <c r="A407">
        <v>162827</v>
      </c>
    </row>
    <row r="408" spans="1:2" x14ac:dyDescent="0.25">
      <c r="A408">
        <v>223119</v>
      </c>
      <c r="B408" t="s">
        <v>1269</v>
      </c>
    </row>
    <row r="409" spans="1:2" x14ac:dyDescent="0.25">
      <c r="A409">
        <v>138537</v>
      </c>
    </row>
    <row r="410" spans="1:2" x14ac:dyDescent="0.25">
      <c r="A410">
        <v>138485</v>
      </c>
    </row>
    <row r="411" spans="1:2" x14ac:dyDescent="0.25">
      <c r="A411">
        <v>138489</v>
      </c>
    </row>
    <row r="412" spans="1:2" x14ac:dyDescent="0.25">
      <c r="A412">
        <v>138488</v>
      </c>
    </row>
    <row r="413" spans="1:2" x14ac:dyDescent="0.25">
      <c r="A413">
        <v>138491</v>
      </c>
    </row>
    <row r="414" spans="1:2" x14ac:dyDescent="0.25">
      <c r="A414">
        <v>143818</v>
      </c>
    </row>
    <row r="415" spans="1:2" x14ac:dyDescent="0.25">
      <c r="A415">
        <v>133345</v>
      </c>
    </row>
    <row r="416" spans="1:2" x14ac:dyDescent="0.25">
      <c r="A416">
        <v>133346</v>
      </c>
    </row>
    <row r="417" spans="1:2" x14ac:dyDescent="0.25">
      <c r="A417">
        <v>223082</v>
      </c>
      <c r="B417" t="s">
        <v>1269</v>
      </c>
    </row>
    <row r="418" spans="1:2" x14ac:dyDescent="0.25">
      <c r="A418">
        <v>223081</v>
      </c>
      <c r="B418" t="s">
        <v>1269</v>
      </c>
    </row>
    <row r="419" spans="1:2" x14ac:dyDescent="0.25">
      <c r="A419">
        <v>223084</v>
      </c>
      <c r="B419" t="s">
        <v>1269</v>
      </c>
    </row>
    <row r="420" spans="1:2" x14ac:dyDescent="0.25">
      <c r="A420">
        <v>223071</v>
      </c>
      <c r="B420" t="s">
        <v>1269</v>
      </c>
    </row>
    <row r="421" spans="1:2" x14ac:dyDescent="0.25">
      <c r="A421">
        <v>223087</v>
      </c>
      <c r="B421" t="s">
        <v>1269</v>
      </c>
    </row>
    <row r="422" spans="1:2" x14ac:dyDescent="0.25">
      <c r="A422">
        <v>223092</v>
      </c>
      <c r="B422" t="s">
        <v>1269</v>
      </c>
    </row>
    <row r="423" spans="1:2" x14ac:dyDescent="0.25">
      <c r="A423">
        <v>223097</v>
      </c>
      <c r="B423" t="s">
        <v>1269</v>
      </c>
    </row>
    <row r="424" spans="1:2" x14ac:dyDescent="0.25">
      <c r="A424">
        <v>223098</v>
      </c>
      <c r="B424" t="s">
        <v>1269</v>
      </c>
    </row>
    <row r="425" spans="1:2" x14ac:dyDescent="0.25">
      <c r="A425">
        <v>223107</v>
      </c>
      <c r="B425" t="s">
        <v>1269</v>
      </c>
    </row>
    <row r="426" spans="1:2" x14ac:dyDescent="0.25">
      <c r="A426">
        <v>213482</v>
      </c>
    </row>
    <row r="427" spans="1:2" x14ac:dyDescent="0.25">
      <c r="A427">
        <v>164911</v>
      </c>
    </row>
    <row r="428" spans="1:2" x14ac:dyDescent="0.25">
      <c r="A428">
        <v>145530</v>
      </c>
    </row>
    <row r="429" spans="1:2" x14ac:dyDescent="0.25">
      <c r="A429">
        <v>132854</v>
      </c>
    </row>
    <row r="430" spans="1:2" x14ac:dyDescent="0.25">
      <c r="A430">
        <v>132855</v>
      </c>
    </row>
    <row r="431" spans="1:2" x14ac:dyDescent="0.25">
      <c r="A431">
        <v>187500</v>
      </c>
    </row>
    <row r="432" spans="1:2" x14ac:dyDescent="0.25">
      <c r="A432">
        <v>141915</v>
      </c>
    </row>
    <row r="433" spans="1:3" x14ac:dyDescent="0.25">
      <c r="A433">
        <v>213595</v>
      </c>
    </row>
    <row r="434" spans="1:3" x14ac:dyDescent="0.25">
      <c r="A434">
        <v>213596</v>
      </c>
    </row>
    <row r="435" spans="1:3" x14ac:dyDescent="0.25">
      <c r="A435">
        <v>202704</v>
      </c>
    </row>
    <row r="436" spans="1:3" x14ac:dyDescent="0.25">
      <c r="A436">
        <v>145481</v>
      </c>
    </row>
    <row r="437" spans="1:3" x14ac:dyDescent="0.25">
      <c r="A437">
        <v>145482</v>
      </c>
    </row>
    <row r="438" spans="1:3" x14ac:dyDescent="0.25">
      <c r="A438">
        <v>145579</v>
      </c>
    </row>
    <row r="439" spans="1:3" x14ac:dyDescent="0.25">
      <c r="A439">
        <v>165551</v>
      </c>
    </row>
    <row r="440" spans="1:3" x14ac:dyDescent="0.25">
      <c r="A440">
        <v>211414</v>
      </c>
    </row>
    <row r="441" spans="1:3" x14ac:dyDescent="0.25">
      <c r="A441">
        <v>131448</v>
      </c>
    </row>
    <row r="442" spans="1:3" x14ac:dyDescent="0.25">
      <c r="A442">
        <v>187503</v>
      </c>
    </row>
    <row r="443" spans="1:3" x14ac:dyDescent="0.25">
      <c r="A443">
        <v>117282</v>
      </c>
    </row>
    <row r="444" spans="1:3" x14ac:dyDescent="0.25">
      <c r="A444">
        <v>143529</v>
      </c>
      <c r="B444">
        <v>319</v>
      </c>
      <c r="C444" t="s">
        <v>904</v>
      </c>
    </row>
    <row r="445" spans="1:3" x14ac:dyDescent="0.25">
      <c r="A445">
        <v>217222</v>
      </c>
      <c r="B445">
        <v>319</v>
      </c>
      <c r="C445" t="s">
        <v>738</v>
      </c>
    </row>
    <row r="446" spans="1:3" x14ac:dyDescent="0.25">
      <c r="A446">
        <v>217225</v>
      </c>
      <c r="B446" t="s">
        <v>1428</v>
      </c>
    </row>
    <row r="447" spans="1:3" x14ac:dyDescent="0.25">
      <c r="A447">
        <v>217226</v>
      </c>
      <c r="B447">
        <v>319</v>
      </c>
      <c r="C447" t="s">
        <v>906</v>
      </c>
    </row>
    <row r="448" spans="1:3" x14ac:dyDescent="0.25">
      <c r="A448">
        <v>143527</v>
      </c>
      <c r="B448" t="s">
        <v>1428</v>
      </c>
    </row>
    <row r="449" spans="1:3" x14ac:dyDescent="0.25">
      <c r="A449">
        <v>169759</v>
      </c>
    </row>
    <row r="450" spans="1:3" x14ac:dyDescent="0.25">
      <c r="A450">
        <v>224464</v>
      </c>
    </row>
    <row r="451" spans="1:3" x14ac:dyDescent="0.25">
      <c r="A451">
        <v>217223</v>
      </c>
      <c r="B451">
        <v>319</v>
      </c>
      <c r="C451" t="s">
        <v>1457</v>
      </c>
    </row>
    <row r="452" spans="1:3" x14ac:dyDescent="0.25">
      <c r="A452">
        <v>133225</v>
      </c>
      <c r="B452">
        <v>749</v>
      </c>
      <c r="C452" t="s">
        <v>919</v>
      </c>
    </row>
    <row r="453" spans="1:3" x14ac:dyDescent="0.25">
      <c r="A453">
        <v>133228</v>
      </c>
      <c r="B453">
        <v>649</v>
      </c>
      <c r="C453" t="s">
        <v>911</v>
      </c>
    </row>
    <row r="454" spans="1:3" x14ac:dyDescent="0.25">
      <c r="A454">
        <v>169756</v>
      </c>
    </row>
    <row r="455" spans="1:3" x14ac:dyDescent="0.25">
      <c r="A455">
        <v>169753</v>
      </c>
    </row>
    <row r="456" spans="1:3" x14ac:dyDescent="0.25">
      <c r="A456">
        <v>169750</v>
      </c>
    </row>
    <row r="457" spans="1:3" x14ac:dyDescent="0.25">
      <c r="A457">
        <v>169754</v>
      </c>
    </row>
    <row r="458" spans="1:3" x14ac:dyDescent="0.25">
      <c r="A458">
        <v>133315</v>
      </c>
      <c r="B458">
        <v>649</v>
      </c>
      <c r="C458" t="s">
        <v>911</v>
      </c>
    </row>
    <row r="459" spans="1:3" x14ac:dyDescent="0.25">
      <c r="A459">
        <v>117296</v>
      </c>
      <c r="B459">
        <v>690</v>
      </c>
      <c r="C459" t="s">
        <v>918</v>
      </c>
    </row>
    <row r="460" spans="1:3" x14ac:dyDescent="0.25">
      <c r="A460">
        <v>132853</v>
      </c>
    </row>
    <row r="461" spans="1:3" x14ac:dyDescent="0.25">
      <c r="A461">
        <v>201789</v>
      </c>
    </row>
    <row r="462" spans="1:3" x14ac:dyDescent="0.25">
      <c r="A462">
        <v>223117</v>
      </c>
    </row>
    <row r="463" spans="1:3" x14ac:dyDescent="0.25">
      <c r="A463">
        <v>223116</v>
      </c>
    </row>
    <row r="464" spans="1:3" x14ac:dyDescent="0.25">
      <c r="A464">
        <v>223118</v>
      </c>
    </row>
    <row r="465" spans="1:3" x14ac:dyDescent="0.25">
      <c r="A465">
        <v>201790</v>
      </c>
    </row>
    <row r="466" spans="1:3" x14ac:dyDescent="0.25">
      <c r="A466">
        <v>223102</v>
      </c>
      <c r="B466" t="s">
        <v>1269</v>
      </c>
    </row>
    <row r="467" spans="1:3" x14ac:dyDescent="0.25">
      <c r="A467">
        <v>201782</v>
      </c>
    </row>
    <row r="468" spans="1:3" x14ac:dyDescent="0.25">
      <c r="A468">
        <v>223076</v>
      </c>
      <c r="B468" t="s">
        <v>1269</v>
      </c>
    </row>
    <row r="469" spans="1:3" x14ac:dyDescent="0.25">
      <c r="A469">
        <v>145571</v>
      </c>
    </row>
    <row r="470" spans="1:3" x14ac:dyDescent="0.25">
      <c r="A470">
        <v>201788</v>
      </c>
    </row>
    <row r="471" spans="1:3" x14ac:dyDescent="0.25">
      <c r="A471">
        <v>137267</v>
      </c>
    </row>
    <row r="472" spans="1:3" x14ac:dyDescent="0.25">
      <c r="A472">
        <v>117280</v>
      </c>
    </row>
    <row r="473" spans="1:3" x14ac:dyDescent="0.25">
      <c r="A473">
        <v>117273</v>
      </c>
    </row>
    <row r="474" spans="1:3" x14ac:dyDescent="0.25">
      <c r="A474">
        <v>201785</v>
      </c>
    </row>
    <row r="475" spans="1:3" x14ac:dyDescent="0.25">
      <c r="A475">
        <v>138490</v>
      </c>
    </row>
    <row r="476" spans="1:3" x14ac:dyDescent="0.25">
      <c r="A476">
        <v>201751</v>
      </c>
    </row>
    <row r="477" spans="1:3" x14ac:dyDescent="0.25">
      <c r="A477">
        <v>133255</v>
      </c>
      <c r="B477" t="s">
        <v>1269</v>
      </c>
    </row>
    <row r="478" spans="1:3" x14ac:dyDescent="0.25">
      <c r="A478">
        <v>133316</v>
      </c>
      <c r="B478">
        <v>749</v>
      </c>
      <c r="C478" t="s">
        <v>919</v>
      </c>
    </row>
    <row r="479" spans="1:3" x14ac:dyDescent="0.25">
      <c r="A479">
        <v>213628</v>
      </c>
    </row>
    <row r="480" spans="1:3" x14ac:dyDescent="0.25">
      <c r="A480">
        <v>213631</v>
      </c>
    </row>
    <row r="481" spans="1:3" x14ac:dyDescent="0.25">
      <c r="A481">
        <v>213629</v>
      </c>
    </row>
    <row r="482" spans="1:3" x14ac:dyDescent="0.25">
      <c r="A482">
        <v>201792</v>
      </c>
    </row>
    <row r="483" spans="1:3" x14ac:dyDescent="0.25">
      <c r="A483">
        <v>201752</v>
      </c>
      <c r="B483" t="s">
        <v>1269</v>
      </c>
    </row>
    <row r="484" spans="1:3" x14ac:dyDescent="0.25">
      <c r="A484">
        <v>213599</v>
      </c>
    </row>
    <row r="485" spans="1:3" x14ac:dyDescent="0.25">
      <c r="A485">
        <v>201791</v>
      </c>
    </row>
    <row r="486" spans="1:3" x14ac:dyDescent="0.25">
      <c r="A486">
        <v>213630</v>
      </c>
    </row>
    <row r="487" spans="1:3" x14ac:dyDescent="0.25">
      <c r="A487">
        <v>211434</v>
      </c>
      <c r="B487" t="s">
        <v>1269</v>
      </c>
    </row>
    <row r="488" spans="1:3" x14ac:dyDescent="0.25">
      <c r="A488">
        <v>201779</v>
      </c>
    </row>
    <row r="489" spans="1:3" x14ac:dyDescent="0.25">
      <c r="A489">
        <v>201798</v>
      </c>
    </row>
    <row r="490" spans="1:3" x14ac:dyDescent="0.25">
      <c r="A490">
        <v>201816</v>
      </c>
      <c r="B490">
        <v>1490</v>
      </c>
      <c r="C490" t="s">
        <v>833</v>
      </c>
    </row>
    <row r="491" spans="1:3" x14ac:dyDescent="0.25">
      <c r="A491">
        <v>213597</v>
      </c>
    </row>
    <row r="492" spans="1:3" x14ac:dyDescent="0.25">
      <c r="A492">
        <v>133221</v>
      </c>
      <c r="B492" t="s">
        <v>1269</v>
      </c>
    </row>
    <row r="493" spans="1:3" x14ac:dyDescent="0.25">
      <c r="A493">
        <v>211470</v>
      </c>
    </row>
    <row r="494" spans="1:3" x14ac:dyDescent="0.25">
      <c r="A494">
        <v>211433</v>
      </c>
    </row>
    <row r="495" spans="1:3" x14ac:dyDescent="0.25">
      <c r="A495">
        <v>211456</v>
      </c>
    </row>
    <row r="496" spans="1:3" x14ac:dyDescent="0.25">
      <c r="A496">
        <v>223075</v>
      </c>
      <c r="B496" t="s">
        <v>1269</v>
      </c>
    </row>
    <row r="497" spans="1:3" x14ac:dyDescent="0.25">
      <c r="A497">
        <v>201807</v>
      </c>
    </row>
    <row r="498" spans="1:3" x14ac:dyDescent="0.25">
      <c r="A498">
        <v>201801</v>
      </c>
      <c r="B498">
        <v>1190</v>
      </c>
      <c r="C498" t="s">
        <v>837</v>
      </c>
    </row>
    <row r="499" spans="1:3" x14ac:dyDescent="0.25">
      <c r="A499">
        <v>138546</v>
      </c>
    </row>
    <row r="500" spans="1:3" x14ac:dyDescent="0.25">
      <c r="A500">
        <v>137274</v>
      </c>
    </row>
    <row r="501" spans="1:3" x14ac:dyDescent="0.25">
      <c r="A501">
        <v>213625</v>
      </c>
    </row>
    <row r="502" spans="1:3" x14ac:dyDescent="0.25">
      <c r="A502">
        <v>138411</v>
      </c>
      <c r="B502">
        <v>1990</v>
      </c>
      <c r="C502" t="s">
        <v>1437</v>
      </c>
    </row>
    <row r="503" spans="1:3" x14ac:dyDescent="0.25">
      <c r="A503">
        <v>213615</v>
      </c>
    </row>
    <row r="504" spans="1:3" x14ac:dyDescent="0.25">
      <c r="A504">
        <v>133287</v>
      </c>
      <c r="B504" t="s">
        <v>1269</v>
      </c>
    </row>
    <row r="505" spans="1:3" x14ac:dyDescent="0.25">
      <c r="A505">
        <v>211457</v>
      </c>
    </row>
    <row r="506" spans="1:3" x14ac:dyDescent="0.25">
      <c r="A506">
        <v>211413</v>
      </c>
    </row>
    <row r="507" spans="1:3" x14ac:dyDescent="0.25">
      <c r="A507">
        <v>201769</v>
      </c>
    </row>
    <row r="508" spans="1:3" x14ac:dyDescent="0.25">
      <c r="A508">
        <v>264884</v>
      </c>
      <c r="B508" t="s">
        <v>1269</v>
      </c>
    </row>
    <row r="509" spans="1:3" x14ac:dyDescent="0.25">
      <c r="A509">
        <v>145549</v>
      </c>
    </row>
    <row r="510" spans="1:3" x14ac:dyDescent="0.25">
      <c r="A510">
        <v>211476</v>
      </c>
    </row>
    <row r="511" spans="1:3" x14ac:dyDescent="0.25">
      <c r="A511">
        <v>213484</v>
      </c>
    </row>
    <row r="512" spans="1:3" x14ac:dyDescent="0.25">
      <c r="A512">
        <v>213485</v>
      </c>
    </row>
    <row r="513" spans="1:3" x14ac:dyDescent="0.25">
      <c r="A513">
        <v>145567</v>
      </c>
    </row>
    <row r="514" spans="1:3" x14ac:dyDescent="0.25">
      <c r="A514">
        <v>133343</v>
      </c>
      <c r="B514">
        <v>1690</v>
      </c>
      <c r="C514" t="s">
        <v>1451</v>
      </c>
    </row>
    <row r="515" spans="1:3" x14ac:dyDescent="0.25">
      <c r="A515">
        <v>211477</v>
      </c>
    </row>
    <row r="516" spans="1:3" x14ac:dyDescent="0.25">
      <c r="A516">
        <v>211479</v>
      </c>
    </row>
    <row r="517" spans="1:3" x14ac:dyDescent="0.25">
      <c r="A517">
        <v>138410</v>
      </c>
    </row>
    <row r="518" spans="1:3" x14ac:dyDescent="0.25">
      <c r="A518">
        <v>211468</v>
      </c>
    </row>
    <row r="519" spans="1:3" x14ac:dyDescent="0.25">
      <c r="A519">
        <v>211415</v>
      </c>
    </row>
    <row r="520" spans="1:3" x14ac:dyDescent="0.25">
      <c r="A520">
        <v>211410</v>
      </c>
    </row>
    <row r="521" spans="1:3" x14ac:dyDescent="0.25">
      <c r="A521">
        <v>211452</v>
      </c>
    </row>
    <row r="522" spans="1:3" x14ac:dyDescent="0.25">
      <c r="A522">
        <v>211420</v>
      </c>
    </row>
    <row r="523" spans="1:3" x14ac:dyDescent="0.25">
      <c r="A523">
        <v>201776</v>
      </c>
    </row>
    <row r="524" spans="1:3" x14ac:dyDescent="0.25">
      <c r="A524">
        <v>138437</v>
      </c>
      <c r="B524">
        <v>1990</v>
      </c>
      <c r="C524" t="s">
        <v>921</v>
      </c>
    </row>
    <row r="525" spans="1:3" x14ac:dyDescent="0.25">
      <c r="A525">
        <v>213664</v>
      </c>
    </row>
    <row r="526" spans="1:3" x14ac:dyDescent="0.25">
      <c r="A526">
        <v>145572</v>
      </c>
      <c r="B526" t="s">
        <v>1429</v>
      </c>
      <c r="C526" t="s">
        <v>845</v>
      </c>
    </row>
    <row r="527" spans="1:3" x14ac:dyDescent="0.25">
      <c r="A527">
        <v>201794</v>
      </c>
      <c r="B527">
        <v>2190</v>
      </c>
      <c r="C527" t="s">
        <v>850</v>
      </c>
    </row>
    <row r="528" spans="1:3" x14ac:dyDescent="0.25">
      <c r="A528">
        <v>211453</v>
      </c>
    </row>
    <row r="529" spans="1:3" x14ac:dyDescent="0.25">
      <c r="A529">
        <v>138435</v>
      </c>
      <c r="B529" t="s">
        <v>1428</v>
      </c>
    </row>
    <row r="530" spans="1:3" x14ac:dyDescent="0.25">
      <c r="A530">
        <v>138407</v>
      </c>
      <c r="B530" t="s">
        <v>1428</v>
      </c>
    </row>
    <row r="531" spans="1:3" x14ac:dyDescent="0.25">
      <c r="A531">
        <v>201809</v>
      </c>
    </row>
    <row r="532" spans="1:3" x14ac:dyDescent="0.25">
      <c r="A532">
        <v>145569</v>
      </c>
      <c r="B532">
        <v>1990</v>
      </c>
      <c r="C532" t="s">
        <v>770</v>
      </c>
    </row>
    <row r="533" spans="1:3" x14ac:dyDescent="0.25">
      <c r="A533">
        <v>138409</v>
      </c>
      <c r="B533">
        <v>1990</v>
      </c>
      <c r="C533" t="s">
        <v>852</v>
      </c>
    </row>
    <row r="534" spans="1:3" x14ac:dyDescent="0.25">
      <c r="A534">
        <v>211454</v>
      </c>
    </row>
    <row r="535" spans="1:3" x14ac:dyDescent="0.25">
      <c r="A535">
        <v>211455</v>
      </c>
    </row>
    <row r="536" spans="1:3" x14ac:dyDescent="0.25">
      <c r="A536">
        <v>145576</v>
      </c>
    </row>
    <row r="537" spans="1:3" x14ac:dyDescent="0.25">
      <c r="A537">
        <v>145578</v>
      </c>
    </row>
    <row r="538" spans="1:3" x14ac:dyDescent="0.25">
      <c r="A538">
        <v>187496</v>
      </c>
    </row>
    <row r="539" spans="1:3" x14ac:dyDescent="0.25">
      <c r="A539">
        <v>211443</v>
      </c>
    </row>
    <row r="540" spans="1:3" x14ac:dyDescent="0.25">
      <c r="A540">
        <v>143741</v>
      </c>
      <c r="B540">
        <v>2590</v>
      </c>
      <c r="C540" t="s">
        <v>863</v>
      </c>
    </row>
    <row r="541" spans="1:3" x14ac:dyDescent="0.25">
      <c r="A541">
        <v>145526</v>
      </c>
    </row>
    <row r="542" spans="1:3" x14ac:dyDescent="0.25">
      <c r="A542">
        <v>145560</v>
      </c>
    </row>
    <row r="543" spans="1:3" x14ac:dyDescent="0.25">
      <c r="A543">
        <v>138548</v>
      </c>
    </row>
    <row r="544" spans="1:3" x14ac:dyDescent="0.25">
      <c r="A544">
        <v>165550</v>
      </c>
    </row>
    <row r="545" spans="1:3" x14ac:dyDescent="0.25">
      <c r="A545">
        <v>223090</v>
      </c>
    </row>
    <row r="546" spans="1:3" x14ac:dyDescent="0.25">
      <c r="A546">
        <v>213614</v>
      </c>
    </row>
    <row r="547" spans="1:3" x14ac:dyDescent="0.25">
      <c r="A547">
        <v>213591</v>
      </c>
    </row>
    <row r="548" spans="1:3" x14ac:dyDescent="0.25">
      <c r="A548">
        <v>145558</v>
      </c>
    </row>
    <row r="549" spans="1:3" x14ac:dyDescent="0.25">
      <c r="A549">
        <v>211426</v>
      </c>
    </row>
    <row r="550" spans="1:3" x14ac:dyDescent="0.25">
      <c r="A550">
        <v>201768</v>
      </c>
      <c r="B550">
        <v>2590</v>
      </c>
      <c r="C550" t="s">
        <v>866</v>
      </c>
    </row>
    <row r="551" spans="1:3" x14ac:dyDescent="0.25">
      <c r="A551">
        <v>213718</v>
      </c>
    </row>
    <row r="552" spans="1:3" x14ac:dyDescent="0.25">
      <c r="A552">
        <v>145566</v>
      </c>
    </row>
    <row r="553" spans="1:3" x14ac:dyDescent="0.25">
      <c r="A553">
        <v>143760</v>
      </c>
      <c r="B553">
        <v>3190</v>
      </c>
      <c r="C553" t="s">
        <v>740</v>
      </c>
    </row>
    <row r="554" spans="1:3" x14ac:dyDescent="0.25">
      <c r="A554">
        <v>213724</v>
      </c>
    </row>
    <row r="555" spans="1:3" x14ac:dyDescent="0.25">
      <c r="A555">
        <v>137264</v>
      </c>
    </row>
    <row r="556" spans="1:3" x14ac:dyDescent="0.25">
      <c r="A556">
        <v>117276</v>
      </c>
    </row>
    <row r="557" spans="1:3" x14ac:dyDescent="0.25">
      <c r="A557">
        <v>213707</v>
      </c>
      <c r="B557">
        <v>4790</v>
      </c>
      <c r="C557" t="s">
        <v>767</v>
      </c>
    </row>
    <row r="558" spans="1:3" x14ac:dyDescent="0.25">
      <c r="A558">
        <v>145532</v>
      </c>
    </row>
    <row r="559" spans="1:3" x14ac:dyDescent="0.25">
      <c r="A559">
        <v>143810</v>
      </c>
    </row>
    <row r="560" spans="1:3" x14ac:dyDescent="0.25">
      <c r="A560">
        <v>251651</v>
      </c>
    </row>
    <row r="561" spans="1:3" x14ac:dyDescent="0.25">
      <c r="A561">
        <v>220054</v>
      </c>
      <c r="B561">
        <v>3990</v>
      </c>
      <c r="C561" t="s">
        <v>880</v>
      </c>
    </row>
    <row r="562" spans="1:3" x14ac:dyDescent="0.25">
      <c r="A562">
        <v>213659</v>
      </c>
    </row>
    <row r="563" spans="1:3" x14ac:dyDescent="0.25">
      <c r="A563">
        <v>213658</v>
      </c>
    </row>
    <row r="564" spans="1:3" x14ac:dyDescent="0.25">
      <c r="A564">
        <v>213657</v>
      </c>
    </row>
    <row r="565" spans="1:3" x14ac:dyDescent="0.25">
      <c r="A565">
        <v>117032</v>
      </c>
    </row>
    <row r="566" spans="1:3" x14ac:dyDescent="0.25">
      <c r="A566">
        <v>201810</v>
      </c>
    </row>
    <row r="567" spans="1:3" x14ac:dyDescent="0.25">
      <c r="A567">
        <v>187495</v>
      </c>
    </row>
    <row r="568" spans="1:3" x14ac:dyDescent="0.25">
      <c r="A568">
        <v>213719</v>
      </c>
    </row>
    <row r="569" spans="1:3" x14ac:dyDescent="0.25">
      <c r="A569">
        <v>223951</v>
      </c>
    </row>
    <row r="570" spans="1:3" x14ac:dyDescent="0.25">
      <c r="A570">
        <v>213710</v>
      </c>
      <c r="B570" t="s">
        <v>686</v>
      </c>
      <c r="C570" t="s">
        <v>741</v>
      </c>
    </row>
    <row r="571" spans="1:3" x14ac:dyDescent="0.25">
      <c r="A571">
        <v>222870</v>
      </c>
    </row>
    <row r="572" spans="1:3" x14ac:dyDescent="0.25">
      <c r="A572">
        <v>187497</v>
      </c>
    </row>
    <row r="573" spans="1:3" x14ac:dyDescent="0.25">
      <c r="A573">
        <v>187498</v>
      </c>
    </row>
    <row r="574" spans="1:3" x14ac:dyDescent="0.25">
      <c r="A574">
        <v>164909</v>
      </c>
    </row>
    <row r="575" spans="1:3" x14ac:dyDescent="0.25">
      <c r="A575">
        <v>164907</v>
      </c>
    </row>
    <row r="576" spans="1:3" x14ac:dyDescent="0.25">
      <c r="A576">
        <v>226472</v>
      </c>
    </row>
    <row r="577" spans="1:3" x14ac:dyDescent="0.25">
      <c r="A577">
        <v>164908</v>
      </c>
    </row>
    <row r="578" spans="1:3" x14ac:dyDescent="0.25">
      <c r="A578">
        <v>226469</v>
      </c>
    </row>
    <row r="579" spans="1:3" x14ac:dyDescent="0.25">
      <c r="A579">
        <v>164906</v>
      </c>
      <c r="B579">
        <v>5890</v>
      </c>
      <c r="C579" t="s">
        <v>752</v>
      </c>
    </row>
    <row r="580" spans="1:3" x14ac:dyDescent="0.25">
      <c r="A580">
        <v>223963</v>
      </c>
    </row>
    <row r="581" spans="1:3" x14ac:dyDescent="0.25">
      <c r="A581">
        <v>164914</v>
      </c>
      <c r="B581">
        <v>6590</v>
      </c>
      <c r="C581" t="s">
        <v>938</v>
      </c>
    </row>
    <row r="582" spans="1:3" x14ac:dyDescent="0.25">
      <c r="A582">
        <v>164913</v>
      </c>
      <c r="B582">
        <v>7890</v>
      </c>
      <c r="C582" t="s">
        <v>939</v>
      </c>
    </row>
    <row r="583" spans="1:3" x14ac:dyDescent="0.25">
      <c r="A583">
        <v>213720</v>
      </c>
    </row>
    <row r="584" spans="1:3" x14ac:dyDescent="0.25">
      <c r="A584">
        <v>164912</v>
      </c>
      <c r="B584">
        <v>7190</v>
      </c>
      <c r="C584" t="s">
        <v>753</v>
      </c>
    </row>
    <row r="585" spans="1:3" x14ac:dyDescent="0.25">
      <c r="A585">
        <v>223945</v>
      </c>
      <c r="B585">
        <v>11290</v>
      </c>
      <c r="C585" t="s">
        <v>892</v>
      </c>
    </row>
    <row r="586" spans="1:3" x14ac:dyDescent="0.25">
      <c r="A586">
        <v>164903</v>
      </c>
    </row>
    <row r="587" spans="1:3" x14ac:dyDescent="0.25">
      <c r="A587">
        <v>164910</v>
      </c>
      <c r="B587">
        <v>9790</v>
      </c>
      <c r="C587" t="s">
        <v>942</v>
      </c>
    </row>
    <row r="588" spans="1:3" x14ac:dyDescent="0.25">
      <c r="A588">
        <v>164905</v>
      </c>
    </row>
    <row r="589" spans="1:3" x14ac:dyDescent="0.25">
      <c r="A589">
        <v>187492</v>
      </c>
    </row>
    <row r="590" spans="1:3" x14ac:dyDescent="0.25">
      <c r="A590">
        <v>187491</v>
      </c>
    </row>
    <row r="591" spans="1:3" x14ac:dyDescent="0.25">
      <c r="A591">
        <v>164904</v>
      </c>
      <c r="B591">
        <v>11990</v>
      </c>
      <c r="C591" t="s">
        <v>743</v>
      </c>
    </row>
    <row r="592" spans="1:3" x14ac:dyDescent="0.25">
      <c r="A592" t="s">
        <v>0</v>
      </c>
      <c r="B592" t="s">
        <v>1144</v>
      </c>
    </row>
    <row r="593" spans="1:2" x14ac:dyDescent="0.25">
      <c r="A593">
        <v>138535</v>
      </c>
      <c r="B593" t="s">
        <v>1270</v>
      </c>
    </row>
    <row r="594" spans="1:2" x14ac:dyDescent="0.25">
      <c r="A594">
        <v>138536</v>
      </c>
      <c r="B594" t="s">
        <v>1270</v>
      </c>
    </row>
    <row r="595" spans="1:2" x14ac:dyDescent="0.25">
      <c r="A595">
        <v>152891</v>
      </c>
      <c r="B595" t="s">
        <v>1269</v>
      </c>
    </row>
    <row r="596" spans="1:2" x14ac:dyDescent="0.25">
      <c r="A596">
        <v>152892</v>
      </c>
      <c r="B596" t="s">
        <v>1269</v>
      </c>
    </row>
    <row r="597" spans="1:2" x14ac:dyDescent="0.25">
      <c r="A597">
        <v>152893</v>
      </c>
      <c r="B597" t="s">
        <v>1269</v>
      </c>
    </row>
    <row r="598" spans="1:2" x14ac:dyDescent="0.25">
      <c r="A598">
        <v>152894</v>
      </c>
      <c r="B598" t="s">
        <v>1269</v>
      </c>
    </row>
    <row r="599" spans="1:2" x14ac:dyDescent="0.25">
      <c r="A599">
        <v>152895</v>
      </c>
      <c r="B599" t="s">
        <v>1269</v>
      </c>
    </row>
    <row r="600" spans="1:2" x14ac:dyDescent="0.25">
      <c r="A600">
        <v>152896</v>
      </c>
      <c r="B600" t="s">
        <v>1269</v>
      </c>
    </row>
    <row r="601" spans="1:2" x14ac:dyDescent="0.25">
      <c r="A601">
        <v>152897</v>
      </c>
      <c r="B601" t="s">
        <v>1269</v>
      </c>
    </row>
    <row r="602" spans="1:2" x14ac:dyDescent="0.25">
      <c r="A602">
        <v>152898</v>
      </c>
      <c r="B602" t="s">
        <v>1269</v>
      </c>
    </row>
    <row r="603" spans="1:2" x14ac:dyDescent="0.25">
      <c r="A603">
        <v>152899</v>
      </c>
      <c r="B603" t="s">
        <v>1269</v>
      </c>
    </row>
    <row r="604" spans="1:2" x14ac:dyDescent="0.25">
      <c r="A604">
        <v>152900</v>
      </c>
      <c r="B604" t="s">
        <v>1269</v>
      </c>
    </row>
    <row r="605" spans="1:2" x14ac:dyDescent="0.25">
      <c r="A605">
        <v>152901</v>
      </c>
      <c r="B605" t="s">
        <v>1269</v>
      </c>
    </row>
    <row r="606" spans="1:2" x14ac:dyDescent="0.25">
      <c r="A606">
        <v>152902</v>
      </c>
      <c r="B606" t="s">
        <v>1269</v>
      </c>
    </row>
    <row r="607" spans="1:2" x14ac:dyDescent="0.25">
      <c r="A607">
        <v>152903</v>
      </c>
      <c r="B607" t="s">
        <v>1269</v>
      </c>
    </row>
    <row r="608" spans="1:2" x14ac:dyDescent="0.25">
      <c r="A608">
        <v>152904</v>
      </c>
      <c r="B608" t="s">
        <v>1269</v>
      </c>
    </row>
    <row r="609" spans="1:3" x14ac:dyDescent="0.25">
      <c r="A609">
        <v>152905</v>
      </c>
      <c r="B609" t="s">
        <v>1269</v>
      </c>
    </row>
    <row r="610" spans="1:3" x14ac:dyDescent="0.25">
      <c r="A610">
        <v>152907</v>
      </c>
      <c r="B610">
        <v>8490</v>
      </c>
      <c r="C610" t="s">
        <v>1350</v>
      </c>
    </row>
    <row r="611" spans="1:3" x14ac:dyDescent="0.25">
      <c r="A611">
        <v>152908</v>
      </c>
      <c r="B611">
        <v>9090</v>
      </c>
      <c r="C611" t="s">
        <v>1350</v>
      </c>
    </row>
    <row r="612" spans="1:3" x14ac:dyDescent="0.25">
      <c r="A612">
        <v>335658</v>
      </c>
      <c r="B612">
        <v>9090</v>
      </c>
      <c r="C612" t="s">
        <v>1350</v>
      </c>
    </row>
    <row r="613" spans="1:3" x14ac:dyDescent="0.25">
      <c r="A613">
        <v>152909</v>
      </c>
      <c r="B613">
        <v>9090</v>
      </c>
      <c r="C613" t="s">
        <v>1350</v>
      </c>
    </row>
    <row r="614" spans="1:3" x14ac:dyDescent="0.25">
      <c r="A614">
        <v>152910</v>
      </c>
      <c r="B614">
        <v>9090</v>
      </c>
      <c r="C614" t="s">
        <v>1350</v>
      </c>
    </row>
    <row r="615" spans="1:3" x14ac:dyDescent="0.25">
      <c r="A615">
        <v>152911</v>
      </c>
      <c r="B615">
        <v>9090</v>
      </c>
      <c r="C615" t="s">
        <v>1350</v>
      </c>
    </row>
    <row r="616" spans="1:3" x14ac:dyDescent="0.25">
      <c r="A616">
        <v>152912</v>
      </c>
      <c r="B616">
        <v>9090</v>
      </c>
      <c r="C616" t="s">
        <v>1350</v>
      </c>
    </row>
    <row r="617" spans="1:3" x14ac:dyDescent="0.25">
      <c r="A617">
        <v>152913</v>
      </c>
      <c r="B617">
        <v>9090</v>
      </c>
      <c r="C617" t="s">
        <v>1350</v>
      </c>
    </row>
    <row r="618" spans="1:3" x14ac:dyDescent="0.25">
      <c r="A618">
        <v>152914</v>
      </c>
      <c r="B618">
        <v>9090</v>
      </c>
      <c r="C618" t="s">
        <v>1350</v>
      </c>
    </row>
    <row r="619" spans="1:3" x14ac:dyDescent="0.25">
      <c r="A619">
        <v>152915</v>
      </c>
      <c r="B619">
        <v>9090</v>
      </c>
      <c r="C619" t="s">
        <v>1350</v>
      </c>
    </row>
    <row r="620" spans="1:3" x14ac:dyDescent="0.25">
      <c r="A620">
        <v>152916</v>
      </c>
      <c r="B620">
        <v>9090</v>
      </c>
      <c r="C620" t="s">
        <v>1350</v>
      </c>
    </row>
    <row r="621" spans="1:3" x14ac:dyDescent="0.25">
      <c r="A621">
        <v>152917</v>
      </c>
      <c r="B621">
        <v>9090</v>
      </c>
      <c r="C621" t="s">
        <v>1350</v>
      </c>
    </row>
    <row r="622" spans="1:3" x14ac:dyDescent="0.25">
      <c r="A622">
        <v>152918</v>
      </c>
      <c r="B622">
        <v>9090</v>
      </c>
      <c r="C622" t="s">
        <v>1350</v>
      </c>
    </row>
    <row r="623" spans="1:3" x14ac:dyDescent="0.25">
      <c r="A623">
        <v>152919</v>
      </c>
      <c r="B623">
        <v>9090</v>
      </c>
      <c r="C623" t="s">
        <v>1350</v>
      </c>
    </row>
    <row r="624" spans="1:3" x14ac:dyDescent="0.25">
      <c r="A624">
        <v>152920</v>
      </c>
      <c r="B624">
        <v>9090</v>
      </c>
      <c r="C624" t="s">
        <v>1350</v>
      </c>
    </row>
    <row r="625" spans="1:3" x14ac:dyDescent="0.25">
      <c r="A625">
        <v>152921</v>
      </c>
      <c r="B625">
        <v>9090</v>
      </c>
      <c r="C625" t="s">
        <v>1350</v>
      </c>
    </row>
    <row r="626" spans="1:3" x14ac:dyDescent="0.25">
      <c r="A626">
        <v>169224</v>
      </c>
      <c r="B626">
        <v>2990</v>
      </c>
      <c r="C626" t="s">
        <v>1282</v>
      </c>
    </row>
    <row r="627" spans="1:3" x14ac:dyDescent="0.25">
      <c r="A627">
        <v>169225</v>
      </c>
      <c r="B627">
        <v>3590</v>
      </c>
      <c r="C627" t="s">
        <v>1282</v>
      </c>
    </row>
    <row r="628" spans="1:3" x14ac:dyDescent="0.25">
      <c r="A628">
        <v>348048</v>
      </c>
      <c r="B628">
        <v>3590</v>
      </c>
      <c r="C628" t="s">
        <v>1282</v>
      </c>
    </row>
    <row r="629" spans="1:3" x14ac:dyDescent="0.25">
      <c r="A629">
        <v>169226</v>
      </c>
      <c r="B629">
        <v>3590</v>
      </c>
      <c r="C629" t="s">
        <v>1282</v>
      </c>
    </row>
    <row r="630" spans="1:3" x14ac:dyDescent="0.25">
      <c r="A630">
        <v>169227</v>
      </c>
      <c r="B630">
        <v>3590</v>
      </c>
      <c r="C630" t="s">
        <v>1282</v>
      </c>
    </row>
    <row r="631" spans="1:3" x14ac:dyDescent="0.25">
      <c r="A631">
        <v>169228</v>
      </c>
      <c r="B631">
        <v>3590</v>
      </c>
      <c r="C631" t="s">
        <v>1282</v>
      </c>
    </row>
    <row r="632" spans="1:3" x14ac:dyDescent="0.25">
      <c r="A632">
        <v>169229</v>
      </c>
      <c r="B632">
        <v>3590</v>
      </c>
      <c r="C632" t="s">
        <v>1282</v>
      </c>
    </row>
    <row r="633" spans="1:3" x14ac:dyDescent="0.25">
      <c r="A633">
        <v>169230</v>
      </c>
      <c r="B633">
        <v>3590</v>
      </c>
      <c r="C633" t="s">
        <v>1282</v>
      </c>
    </row>
    <row r="634" spans="1:3" x14ac:dyDescent="0.25">
      <c r="A634">
        <v>169231</v>
      </c>
      <c r="B634">
        <v>3590</v>
      </c>
      <c r="C634" t="s">
        <v>1282</v>
      </c>
    </row>
    <row r="635" spans="1:3" x14ac:dyDescent="0.25">
      <c r="A635">
        <v>169232</v>
      </c>
      <c r="B635">
        <v>3590</v>
      </c>
      <c r="C635" t="s">
        <v>1282</v>
      </c>
    </row>
    <row r="636" spans="1:3" x14ac:dyDescent="0.25">
      <c r="A636">
        <v>169233</v>
      </c>
      <c r="B636">
        <v>3590</v>
      </c>
      <c r="C636" t="s">
        <v>1282</v>
      </c>
    </row>
    <row r="637" spans="1:3" x14ac:dyDescent="0.25">
      <c r="A637">
        <v>169234</v>
      </c>
      <c r="B637">
        <v>3590</v>
      </c>
      <c r="C637" t="s">
        <v>1282</v>
      </c>
    </row>
    <row r="638" spans="1:3" x14ac:dyDescent="0.25">
      <c r="A638">
        <v>169235</v>
      </c>
      <c r="B638">
        <v>3590</v>
      </c>
      <c r="C638" t="s">
        <v>1282</v>
      </c>
    </row>
    <row r="639" spans="1:3" x14ac:dyDescent="0.25">
      <c r="A639">
        <v>169236</v>
      </c>
      <c r="B639">
        <v>3590</v>
      </c>
      <c r="C639" t="s">
        <v>1282</v>
      </c>
    </row>
    <row r="640" spans="1:3" x14ac:dyDescent="0.25">
      <c r="A640">
        <v>169237</v>
      </c>
      <c r="B640">
        <v>3590</v>
      </c>
      <c r="C640" t="s">
        <v>1282</v>
      </c>
    </row>
    <row r="641" spans="1:3" x14ac:dyDescent="0.25">
      <c r="A641">
        <v>169238</v>
      </c>
      <c r="B641">
        <v>3590</v>
      </c>
      <c r="C641" t="s">
        <v>1282</v>
      </c>
    </row>
    <row r="642" spans="1:3" x14ac:dyDescent="0.25">
      <c r="A642">
        <v>194418</v>
      </c>
      <c r="B642" t="s">
        <v>1269</v>
      </c>
    </row>
    <row r="643" spans="1:3" x14ac:dyDescent="0.25">
      <c r="A643">
        <v>194419</v>
      </c>
      <c r="B643" t="s">
        <v>1269</v>
      </c>
    </row>
    <row r="644" spans="1:3" x14ac:dyDescent="0.25">
      <c r="A644">
        <v>207590</v>
      </c>
      <c r="B644">
        <v>12490</v>
      </c>
      <c r="C644" t="s">
        <v>1351</v>
      </c>
    </row>
    <row r="645" spans="1:3" x14ac:dyDescent="0.25">
      <c r="A645">
        <v>207591</v>
      </c>
      <c r="B645">
        <v>11290</v>
      </c>
      <c r="C645" t="s">
        <v>1352</v>
      </c>
    </row>
    <row r="646" spans="1:3" x14ac:dyDescent="0.25">
      <c r="A646">
        <v>243499</v>
      </c>
      <c r="B646" t="s">
        <v>1269</v>
      </c>
    </row>
    <row r="647" spans="1:3" x14ac:dyDescent="0.25">
      <c r="A647">
        <v>243500</v>
      </c>
      <c r="B647" t="s">
        <v>1269</v>
      </c>
    </row>
    <row r="648" spans="1:3" x14ac:dyDescent="0.25">
      <c r="A648">
        <v>243501</v>
      </c>
      <c r="B648" t="s">
        <v>1269</v>
      </c>
    </row>
    <row r="649" spans="1:3" x14ac:dyDescent="0.25">
      <c r="A649">
        <v>243502</v>
      </c>
      <c r="B649" t="s">
        <v>1269</v>
      </c>
    </row>
    <row r="650" spans="1:3" x14ac:dyDescent="0.25">
      <c r="A650">
        <v>243503</v>
      </c>
      <c r="B650" t="s">
        <v>1269</v>
      </c>
    </row>
    <row r="651" spans="1:3" x14ac:dyDescent="0.25">
      <c r="A651">
        <v>243504</v>
      </c>
      <c r="B651" t="s">
        <v>1269</v>
      </c>
    </row>
    <row r="652" spans="1:3" x14ac:dyDescent="0.25">
      <c r="A652">
        <v>243505</v>
      </c>
      <c r="B652" t="s">
        <v>1269</v>
      </c>
    </row>
    <row r="653" spans="1:3" x14ac:dyDescent="0.25">
      <c r="A653">
        <v>243506</v>
      </c>
      <c r="B653" t="s">
        <v>1269</v>
      </c>
    </row>
    <row r="654" spans="1:3" x14ac:dyDescent="0.25">
      <c r="A654">
        <v>243507</v>
      </c>
      <c r="B654" t="s">
        <v>1269</v>
      </c>
    </row>
    <row r="655" spans="1:3" x14ac:dyDescent="0.25">
      <c r="A655">
        <v>243508</v>
      </c>
      <c r="B655" t="s">
        <v>1269</v>
      </c>
    </row>
    <row r="656" spans="1:3" x14ac:dyDescent="0.25">
      <c r="A656">
        <v>243509</v>
      </c>
      <c r="B656" t="s">
        <v>1269</v>
      </c>
    </row>
    <row r="657" spans="1:2" x14ac:dyDescent="0.25">
      <c r="A657">
        <v>243510</v>
      </c>
      <c r="B657" t="s">
        <v>1269</v>
      </c>
    </row>
    <row r="658" spans="1:2" x14ac:dyDescent="0.25">
      <c r="A658">
        <v>243511</v>
      </c>
      <c r="B658" t="s">
        <v>1269</v>
      </c>
    </row>
    <row r="659" spans="1:2" x14ac:dyDescent="0.25">
      <c r="A659">
        <v>243512</v>
      </c>
      <c r="B659" t="s">
        <v>1269</v>
      </c>
    </row>
    <row r="660" spans="1:2" x14ac:dyDescent="0.25">
      <c r="A660">
        <v>243513</v>
      </c>
      <c r="B660" t="s">
        <v>1269</v>
      </c>
    </row>
    <row r="661" spans="1:2" x14ac:dyDescent="0.25">
      <c r="A661">
        <v>243514</v>
      </c>
      <c r="B661" t="s">
        <v>1269</v>
      </c>
    </row>
    <row r="662" spans="1:2" x14ac:dyDescent="0.25">
      <c r="A662">
        <v>243515</v>
      </c>
      <c r="B662" t="s">
        <v>1269</v>
      </c>
    </row>
    <row r="663" spans="1:2" x14ac:dyDescent="0.25">
      <c r="A663">
        <v>243516</v>
      </c>
      <c r="B663" t="s">
        <v>1269</v>
      </c>
    </row>
    <row r="664" spans="1:2" x14ac:dyDescent="0.25">
      <c r="A664">
        <v>243517</v>
      </c>
      <c r="B664" t="s">
        <v>1269</v>
      </c>
    </row>
    <row r="665" spans="1:2" x14ac:dyDescent="0.25">
      <c r="A665">
        <v>243518</v>
      </c>
      <c r="B665" t="s">
        <v>1269</v>
      </c>
    </row>
    <row r="666" spans="1:2" x14ac:dyDescent="0.25">
      <c r="A666">
        <v>243519</v>
      </c>
      <c r="B666" t="s">
        <v>1269</v>
      </c>
    </row>
    <row r="667" spans="1:2" x14ac:dyDescent="0.25">
      <c r="A667">
        <v>243520</v>
      </c>
      <c r="B667" t="s">
        <v>1269</v>
      </c>
    </row>
    <row r="668" spans="1:2" x14ac:dyDescent="0.25">
      <c r="A668">
        <v>243521</v>
      </c>
      <c r="B668" t="s">
        <v>1269</v>
      </c>
    </row>
    <row r="669" spans="1:2" x14ac:dyDescent="0.25">
      <c r="A669">
        <v>243522</v>
      </c>
      <c r="B669" t="s">
        <v>1269</v>
      </c>
    </row>
    <row r="670" spans="1:2" x14ac:dyDescent="0.25">
      <c r="A670">
        <v>243523</v>
      </c>
      <c r="B670" t="s">
        <v>1269</v>
      </c>
    </row>
    <row r="671" spans="1:2" x14ac:dyDescent="0.25">
      <c r="A671">
        <v>243524</v>
      </c>
      <c r="B671" t="s">
        <v>1269</v>
      </c>
    </row>
    <row r="672" spans="1:2" x14ac:dyDescent="0.25">
      <c r="A672">
        <v>243525</v>
      </c>
      <c r="B672" t="s">
        <v>1269</v>
      </c>
    </row>
    <row r="673" spans="1:3" x14ac:dyDescent="0.25">
      <c r="A673">
        <v>243526</v>
      </c>
      <c r="B673" t="s">
        <v>1269</v>
      </c>
    </row>
    <row r="674" spans="1:3" x14ac:dyDescent="0.25">
      <c r="A674">
        <v>243527</v>
      </c>
      <c r="B674" t="s">
        <v>1269</v>
      </c>
    </row>
    <row r="675" spans="1:3" x14ac:dyDescent="0.25">
      <c r="A675">
        <v>243528</v>
      </c>
      <c r="B675" t="s">
        <v>1269</v>
      </c>
    </row>
    <row r="676" spans="1:3" x14ac:dyDescent="0.25">
      <c r="A676">
        <v>243529</v>
      </c>
      <c r="B676" t="s">
        <v>1269</v>
      </c>
    </row>
    <row r="677" spans="1:3" x14ac:dyDescent="0.25">
      <c r="A677">
        <v>243530</v>
      </c>
      <c r="B677" t="s">
        <v>1269</v>
      </c>
    </row>
    <row r="678" spans="1:3" x14ac:dyDescent="0.25">
      <c r="A678">
        <v>243531</v>
      </c>
      <c r="B678" t="s">
        <v>1269</v>
      </c>
    </row>
    <row r="679" spans="1:3" x14ac:dyDescent="0.25">
      <c r="A679">
        <v>243532</v>
      </c>
      <c r="B679" t="s">
        <v>1269</v>
      </c>
    </row>
    <row r="680" spans="1:3" x14ac:dyDescent="0.25">
      <c r="A680">
        <v>243533</v>
      </c>
      <c r="B680" t="s">
        <v>1269</v>
      </c>
    </row>
    <row r="681" spans="1:3" x14ac:dyDescent="0.25">
      <c r="A681">
        <v>243534</v>
      </c>
      <c r="B681" t="s">
        <v>1269</v>
      </c>
    </row>
    <row r="682" spans="1:3" x14ac:dyDescent="0.25">
      <c r="A682">
        <v>267808</v>
      </c>
      <c r="B682">
        <v>490</v>
      </c>
      <c r="C682" t="s">
        <v>750</v>
      </c>
    </row>
    <row r="683" spans="1:3" x14ac:dyDescent="0.25">
      <c r="A683">
        <v>358195</v>
      </c>
      <c r="B683">
        <v>479</v>
      </c>
      <c r="C683" t="s">
        <v>1416</v>
      </c>
    </row>
    <row r="684" spans="1:3" x14ac:dyDescent="0.25">
      <c r="A684">
        <v>267809</v>
      </c>
      <c r="B684">
        <v>390</v>
      </c>
      <c r="C684" t="s">
        <v>910</v>
      </c>
    </row>
    <row r="685" spans="1:3" x14ac:dyDescent="0.25">
      <c r="A685">
        <v>267810</v>
      </c>
      <c r="B685">
        <v>390</v>
      </c>
      <c r="C685" t="s">
        <v>909</v>
      </c>
    </row>
    <row r="686" spans="1:3" x14ac:dyDescent="0.25">
      <c r="A686">
        <v>267811</v>
      </c>
      <c r="B686">
        <v>490</v>
      </c>
      <c r="C686" t="s">
        <v>1274</v>
      </c>
    </row>
    <row r="687" spans="1:3" x14ac:dyDescent="0.25">
      <c r="A687">
        <v>267812</v>
      </c>
      <c r="B687">
        <v>490</v>
      </c>
      <c r="C687" t="s">
        <v>908</v>
      </c>
    </row>
    <row r="688" spans="1:3" x14ac:dyDescent="0.25">
      <c r="A688">
        <v>263212</v>
      </c>
      <c r="B688" t="s">
        <v>1269</v>
      </c>
    </row>
    <row r="689" spans="1:2" x14ac:dyDescent="0.25">
      <c r="A689">
        <v>263213</v>
      </c>
      <c r="B689" t="s">
        <v>1269</v>
      </c>
    </row>
    <row r="690" spans="1:2" x14ac:dyDescent="0.25">
      <c r="A690">
        <v>263214</v>
      </c>
      <c r="B690" t="s">
        <v>1269</v>
      </c>
    </row>
    <row r="691" spans="1:2" x14ac:dyDescent="0.25">
      <c r="A691">
        <v>263215</v>
      </c>
      <c r="B691" t="s">
        <v>1269</v>
      </c>
    </row>
    <row r="692" spans="1:2" x14ac:dyDescent="0.25">
      <c r="A692">
        <v>263216</v>
      </c>
      <c r="B692" t="s">
        <v>1269</v>
      </c>
    </row>
    <row r="693" spans="1:2" x14ac:dyDescent="0.25">
      <c r="A693">
        <v>263217</v>
      </c>
      <c r="B693" t="s">
        <v>1269</v>
      </c>
    </row>
    <row r="694" spans="1:2" x14ac:dyDescent="0.25">
      <c r="A694">
        <v>263218</v>
      </c>
      <c r="B694" t="s">
        <v>1269</v>
      </c>
    </row>
    <row r="695" spans="1:2" x14ac:dyDescent="0.25">
      <c r="A695">
        <v>263219</v>
      </c>
      <c r="B695" t="s">
        <v>1269</v>
      </c>
    </row>
    <row r="696" spans="1:2" x14ac:dyDescent="0.25">
      <c r="A696">
        <v>315543</v>
      </c>
      <c r="B696" t="s">
        <v>1269</v>
      </c>
    </row>
    <row r="697" spans="1:2" x14ac:dyDescent="0.25">
      <c r="A697">
        <v>315540</v>
      </c>
      <c r="B697" t="s">
        <v>1269</v>
      </c>
    </row>
    <row r="698" spans="1:2" x14ac:dyDescent="0.25">
      <c r="A698">
        <v>315542</v>
      </c>
      <c r="B698" t="s">
        <v>1269</v>
      </c>
    </row>
    <row r="699" spans="1:2" x14ac:dyDescent="0.25">
      <c r="A699">
        <v>315537</v>
      </c>
      <c r="B699" t="s">
        <v>1269</v>
      </c>
    </row>
    <row r="700" spans="1:2" x14ac:dyDescent="0.25">
      <c r="A700">
        <v>315541</v>
      </c>
      <c r="B700" t="s">
        <v>1269</v>
      </c>
    </row>
    <row r="701" spans="1:2" x14ac:dyDescent="0.25">
      <c r="A701">
        <v>315538</v>
      </c>
      <c r="B701" t="s">
        <v>1269</v>
      </c>
    </row>
    <row r="702" spans="1:2" x14ac:dyDescent="0.25">
      <c r="A702">
        <v>315539</v>
      </c>
      <c r="B702" t="s">
        <v>1269</v>
      </c>
    </row>
    <row r="703" spans="1:2" x14ac:dyDescent="0.25">
      <c r="A703">
        <v>357798</v>
      </c>
      <c r="B703" t="s">
        <v>1269</v>
      </c>
    </row>
    <row r="704" spans="1:2" x14ac:dyDescent="0.25">
      <c r="A704">
        <v>357795</v>
      </c>
      <c r="B704" t="s">
        <v>1269</v>
      </c>
    </row>
    <row r="705" spans="1:2" x14ac:dyDescent="0.25">
      <c r="A705">
        <v>357797</v>
      </c>
      <c r="B705" t="s">
        <v>1269</v>
      </c>
    </row>
    <row r="706" spans="1:2" x14ac:dyDescent="0.25">
      <c r="A706">
        <v>357796</v>
      </c>
      <c r="B706" t="s">
        <v>1269</v>
      </c>
    </row>
    <row r="707" spans="1:2" x14ac:dyDescent="0.25">
      <c r="A707">
        <v>361699</v>
      </c>
      <c r="B707" t="s">
        <v>1269</v>
      </c>
    </row>
    <row r="708" spans="1:2" x14ac:dyDescent="0.25">
      <c r="A708">
        <v>361700</v>
      </c>
      <c r="B708" t="s">
        <v>1269</v>
      </c>
    </row>
    <row r="709" spans="1:2" x14ac:dyDescent="0.25">
      <c r="A709">
        <v>361701</v>
      </c>
      <c r="B709" t="s">
        <v>1269</v>
      </c>
    </row>
    <row r="710" spans="1:2" x14ac:dyDescent="0.25">
      <c r="A710">
        <v>361702</v>
      </c>
      <c r="B710" t="s">
        <v>1269</v>
      </c>
    </row>
    <row r="711" spans="1:2" x14ac:dyDescent="0.25">
      <c r="A711">
        <v>361703</v>
      </c>
      <c r="B711" t="s">
        <v>1269</v>
      </c>
    </row>
    <row r="712" spans="1:2" x14ac:dyDescent="0.25">
      <c r="A712">
        <v>361704</v>
      </c>
      <c r="B712" t="s">
        <v>1269</v>
      </c>
    </row>
    <row r="713" spans="1:2" x14ac:dyDescent="0.25">
      <c r="A713">
        <v>361705</v>
      </c>
      <c r="B713" t="s">
        <v>1269</v>
      </c>
    </row>
    <row r="714" spans="1:2" x14ac:dyDescent="0.25">
      <c r="A714">
        <v>357809</v>
      </c>
      <c r="B714" t="s">
        <v>1269</v>
      </c>
    </row>
    <row r="715" spans="1:2" x14ac:dyDescent="0.25">
      <c r="A715">
        <v>357808</v>
      </c>
      <c r="B715" t="s">
        <v>1269</v>
      </c>
    </row>
    <row r="716" spans="1:2" x14ac:dyDescent="0.25">
      <c r="A716">
        <v>357807</v>
      </c>
      <c r="B716" t="s">
        <v>1269</v>
      </c>
    </row>
    <row r="717" spans="1:2" x14ac:dyDescent="0.25">
      <c r="A717">
        <v>357507</v>
      </c>
      <c r="B717" t="s">
        <v>1269</v>
      </c>
    </row>
    <row r="718" spans="1:2" x14ac:dyDescent="0.25">
      <c r="A718">
        <v>357508</v>
      </c>
      <c r="B718" t="s">
        <v>1269</v>
      </c>
    </row>
    <row r="719" spans="1:2" x14ac:dyDescent="0.25">
      <c r="A719">
        <v>357574</v>
      </c>
      <c r="B719" t="s">
        <v>1269</v>
      </c>
    </row>
    <row r="720" spans="1:2" x14ac:dyDescent="0.25">
      <c r="A720">
        <v>357575</v>
      </c>
      <c r="B720" t="s">
        <v>1269</v>
      </c>
    </row>
    <row r="721" spans="1:3" x14ac:dyDescent="0.25">
      <c r="A721">
        <v>357440</v>
      </c>
      <c r="B721">
        <v>1099</v>
      </c>
      <c r="C721" t="s">
        <v>1477</v>
      </c>
    </row>
    <row r="722" spans="1:3" x14ac:dyDescent="0.25">
      <c r="A722">
        <v>357442</v>
      </c>
      <c r="B722">
        <v>1099</v>
      </c>
      <c r="C722" t="s">
        <v>1498</v>
      </c>
    </row>
    <row r="723" spans="1:3" x14ac:dyDescent="0.25">
      <c r="A723">
        <v>357452</v>
      </c>
      <c r="B723">
        <v>1099</v>
      </c>
      <c r="C723" t="s">
        <v>1499</v>
      </c>
    </row>
    <row r="724" spans="1:3" x14ac:dyDescent="0.25">
      <c r="A724">
        <v>357439</v>
      </c>
      <c r="B724">
        <v>1299</v>
      </c>
      <c r="C724" t="s">
        <v>1500</v>
      </c>
    </row>
    <row r="725" spans="1:3" x14ac:dyDescent="0.25">
      <c r="A725">
        <v>357441</v>
      </c>
      <c r="B725">
        <v>1299</v>
      </c>
      <c r="C725" t="s">
        <v>1501</v>
      </c>
    </row>
    <row r="726" spans="1:3" x14ac:dyDescent="0.25">
      <c r="A726">
        <v>357428</v>
      </c>
      <c r="B726" t="s">
        <v>1269</v>
      </c>
    </row>
    <row r="727" spans="1:3" x14ac:dyDescent="0.25">
      <c r="A727">
        <v>357427</v>
      </c>
      <c r="B727" t="s">
        <v>1269</v>
      </c>
    </row>
    <row r="728" spans="1:3" x14ac:dyDescent="0.25">
      <c r="A728">
        <v>357429</v>
      </c>
      <c r="B728" t="s">
        <v>1269</v>
      </c>
    </row>
    <row r="729" spans="1:3" x14ac:dyDescent="0.25">
      <c r="A729">
        <v>357426</v>
      </c>
      <c r="B729" t="s">
        <v>1269</v>
      </c>
    </row>
    <row r="730" spans="1:3" x14ac:dyDescent="0.25">
      <c r="A730">
        <v>363991</v>
      </c>
      <c r="B730">
        <v>319</v>
      </c>
      <c r="C730" t="s">
        <v>904</v>
      </c>
    </row>
    <row r="731" spans="1:3" x14ac:dyDescent="0.25">
      <c r="A731">
        <v>363992</v>
      </c>
      <c r="B731" t="s">
        <v>1531</v>
      </c>
    </row>
    <row r="732" spans="1:3" x14ac:dyDescent="0.25">
      <c r="A732">
        <v>363993</v>
      </c>
      <c r="B732">
        <v>319</v>
      </c>
      <c r="C732" t="s">
        <v>903</v>
      </c>
    </row>
    <row r="733" spans="1:3" x14ac:dyDescent="0.25">
      <c r="A733">
        <v>363400</v>
      </c>
      <c r="B733" t="s">
        <v>1531</v>
      </c>
    </row>
    <row r="734" spans="1:3" x14ac:dyDescent="0.25">
      <c r="A734">
        <v>363408</v>
      </c>
      <c r="B734">
        <v>319</v>
      </c>
      <c r="C734" t="s">
        <v>1457</v>
      </c>
    </row>
    <row r="735" spans="1:3" x14ac:dyDescent="0.25">
      <c r="A735">
        <v>363399</v>
      </c>
      <c r="B735">
        <v>319</v>
      </c>
      <c r="C735" t="s">
        <v>905</v>
      </c>
    </row>
    <row r="736" spans="1:3" x14ac:dyDescent="0.25">
      <c r="A736">
        <v>363401</v>
      </c>
      <c r="B736">
        <v>319</v>
      </c>
      <c r="C736" t="s">
        <v>906</v>
      </c>
    </row>
    <row r="737" spans="1:3" x14ac:dyDescent="0.25">
      <c r="A737">
        <v>363415</v>
      </c>
      <c r="B737">
        <v>319</v>
      </c>
      <c r="C737" t="s">
        <v>738</v>
      </c>
    </row>
  </sheetData>
  <hyperlinks>
    <hyperlink ref="B445" r:id="rId1" display="https://motorring.ru/product/11869-spoylery-diodom-dvorniki-karbon" xr:uid="{610D48EC-D375-4067-B71E-04636733393C}"/>
    <hyperlink ref="B50" r:id="rId2" display="https://motorring.ru/product/8342-chernye-diodnye-protivotumannye-fary-vaz-2110-2112" xr:uid="{F132E6DE-EF87-4391-90F4-9728048BF1B4}"/>
    <hyperlink ref="B273" r:id="rId3" display="https://motorring.ru/product/25053-svetodiodnye-podfarniki-plavniye-dho-povtoritel-4x4-niva" xr:uid="{2C31E773-5DE0-448B-8EA9-685DA086769E}"/>
    <hyperlink ref="B570" r:id="rId4" display="https://motorring.ru/product/18762-svetodiodnye-fary-chernom-korpuse-90w-dyuymov-povtoritelem" xr:uid="{63E7EF79-07BC-48AA-AA4C-AAE5F789615D}"/>
    <hyperlink ref="B286" r:id="rId5" display="https://motorring.ru/product/25915-zadnie-chernye-svetodiodnye-fonari-polosy-begayuschim" xr:uid="{FE9F34B8-BABB-4483-8838-5F93D8C7B558}"/>
    <hyperlink ref="B360" r:id="rId6" display="https://motorring.ru/product/16189-tyuning-fary-chernom-korpuse-diodnymi-dho-lada-granta" xr:uid="{68DF1E96-E4EE-4629-A17B-621AFDE4CA69}"/>
    <hyperlink ref="B591" r:id="rId7" display="https://motorring.ru/product/260" xr:uid="{7A496165-4E0A-4F2C-9A89-A18C907183AA}"/>
    <hyperlink ref="B384" r:id="rId8" display="https://motorring.ru/product/8283-diodnaya-balka-pl-3107-300w-100-3vt" xr:uid="{CE3F8439-A5B7-4852-90DC-78435050AF35}"/>
    <hyperlink ref="B287" r:id="rId9" display="https://motorring.ru/product/34249-zadnie-svetodiodnye-fonari-tonirovannye-stile-range-rover-niva" xr:uid="{2AEC522B-A025-48BC-8531-2AB98FAB8685}"/>
    <hyperlink ref="B380" r:id="rId10" display="https://motorring.ru/product/8282-diodnaya-balka-pl-3106-240w-3vt" xr:uid="{8556B7C1-448A-4773-8836-EB16E0CFFE5A}"/>
    <hyperlink ref="B63" r:id="rId11" display="https://motorring.ru/product/8338-protivotumannye-fary-glaz-orla-vaz-2110-2115" xr:uid="{0370854A-D10B-4515-9608-6BEA4895781A}"/>
    <hyperlink ref="B18" r:id="rId12" display="https://motorring.ru/product/11781-diodnaya-balka-42-hk-yx" xr:uid="{15BE014F-B70F-4613-8BC8-919AEAA56EFD}"/>
    <hyperlink ref="B13" r:id="rId13" display="https://motorring.ru/product/11751-diodnaya-balka-48w-a-blighniy-3vt" xr:uid="{4EB402C6-7F59-4FA1-9C1B-C103ECFAE342}"/>
    <hyperlink ref="B579" r:id="rId14" display="https://motorring.ru/product/10675-nabor-instrumentov-aerofors-59-pc-predmetov" xr:uid="{67AFD1F4-131F-4815-AE4C-CA46383F66BA}"/>
    <hyperlink ref="B584" r:id="rId15" display="https://motorring.ru/product/688-nabor-instrumentov-aerofors-97-pc-predmetov" xr:uid="{317B4C46-772B-49B3-BEE6-14F17CFEF0BB}"/>
    <hyperlink ref="B4" r:id="rId16" display="https://motorring.ru/product/32728-zadnie-diodnye-fonari-orlinyy-glaz-belyue-vaz" xr:uid="{B8281BC3-E095-4951-9818-79F54A3CB38D}"/>
    <hyperlink ref="B351" r:id="rId17" display="https://motorring.ru/product/32064-zadnie-chernye-svetodiodnye-fonari-stile-amg-lada-priora" xr:uid="{9F2F21CE-6EFF-4351-AC1E-310FD8FC5CF9}"/>
    <hyperlink ref="B385" r:id="rId18" display="https://motorring.ru/product/38698-komplekt-diodnyh-far-thebestpartner-stile-audi-lada-vesta" xr:uid="{C0E5A950-D29D-4EC0-844B-287DC5227255}"/>
    <hyperlink ref="B310" r:id="rId19" display="https://motorring.ru/product/35105-zadnie-diodnye-fonari-orlinyy-glaz-tonirovannye-vaz-2105" xr:uid="{5506B130-BFE6-4E3F-B7FF-A237389D996A}"/>
    <hyperlink ref="B311" r:id="rId20" display="https://motorring.ru/product/28138-zadnie-diodnye-fonari-orlinyy-glaz-tonirovannye-vaz" xr:uid="{1A55F529-4D69-4FD0-BA30-915972771CEB}"/>
    <hyperlink ref="B279" r:id="rId21" display="https://motorring.ru/product/38688-zadnie-diodnye-fonari-orlinyy-glaz-vaz-2105" xr:uid="{C19C811E-1C3C-427E-8E16-65A0C52BA203}"/>
    <hyperlink ref="B349" r:id="rId22" display="https://motorring.ru/product/27717-svetodiodnye-fary-cherep-dyuymov-chernye-led-kolycom" xr:uid="{18FB916B-3DF4-467F-B712-153D750E10E8}"/>
    <hyperlink ref="B317" r:id="rId23" display="https://motorring.ru/product/36708-zadnie-svetodiodnye-svetlie-fonari-stile-range-rover-niva" xr:uid="{89853FF1-5AFD-47A0-BF22-D83EED3958D5}"/>
    <hyperlink ref="B348" r:id="rId24" display="https://motorring.ru/product/27719-svetodiodnye-fary-shkali-dyuymov-chernye-led-kolycom" xr:uid="{F2C4F9CA-A8B9-468F-B978-8B04CA258C68}"/>
    <hyperlink ref="B332" r:id="rId25" display="https://motorring.ru/product/10566-podfarniki-dlaa-diodnymi-povorotnikami-dho-temnyy-hrom-niva" xr:uid="{F678EDBD-F249-43B6-BCA0-6C453BD0BD0C}"/>
    <hyperlink ref="B330" r:id="rId26" display="https://motorring.ru/product/27715-svetodiodnye-fary-zvezdi-dyuymov-chernye-led-kolycom" xr:uid="{65DDA504-355B-4423-AB0E-9EDA9B285905}"/>
    <hyperlink ref="B343" r:id="rId27" display="https://motorring.ru/product/15119-svetodiodnye-fary-chernom-korpuse-96w-dyuymov-povtoritelem" xr:uid="{B8B25286-E224-4EEA-A178-1DCCC6A5977A}"/>
    <hyperlink ref="B312" r:id="rId28" display="https://motorring.ru/product/12231-svetodiodnye-fary-90w-dyuymov-chernye-diodnym-kolycom" xr:uid="{5F378115-3A6B-4821-9A12-741FC1508A30}"/>
    <hyperlink ref="B342" r:id="rId29" display="https://motorring.ru/product/21524-svetodiodnye-fary-chernom-korpuse-96w-dyuymov-led-kolycom" xr:uid="{103D82B9-E53D-4137-A136-D34CC33DDBD4}"/>
    <hyperlink ref="B557" r:id="rId30" display="https://motorring.ru/product/15120-svetodiodnye-fary-90w-dyuymov-chernye-povtoritelem-povorota" xr:uid="{4B610CAC-0360-40DD-AE88-CFC6A455E183}"/>
    <hyperlink ref="B301" r:id="rId31" display="https://motorring.ru/product/13579-svetodiodnye-fary-80w-dyuymov-chernye-povtoritelem-povorota" xr:uid="{5A9AD65E-547A-419B-8F55-3CBA48D2C021}"/>
    <hyperlink ref="B302" r:id="rId32" display="https://motorring.ru/product/14256-svetodiodnye-fary-80w-dyuymov-chernye-povtoritelem-povorota" xr:uid="{B5D63CC6-5119-4C28-9E6B-F4F7CB66DF92}"/>
    <hyperlink ref="B532" r:id="rId33" display="https://motorring.ru/product/4252-zadnie-fonari-krasnoy-polosoy-vaz-2108-21099-2113-2114" xr:uid="{55F722BB-E654-4A04-A296-FD5EEA089AE9}"/>
    <hyperlink ref="B356" r:id="rId34" display="https://motorring.ru/product/31560-svetodiodnye-fary-90w-bluetooth-regulirovkoy-cveta" xr:uid="{3AEDAC4F-BD0C-408D-B727-715084C5353B}"/>
    <hyperlink ref="B346" r:id="rId35" display="https://motorring.ru/product/21802-svetodiodnye-fary-chernom-korpuse-60w-dyuymov-h-obraznym" xr:uid="{59E23E3B-B6B3-47E1-B86A-F046B16098E1}"/>
    <hyperlink ref="B345" r:id="rId36" display="https://motorring.ru/product/21803-svetodiodnye-fary-chernom-korpuse-60w-dyuymov-v-obraznym" xr:uid="{3499995A-3483-4E18-963C-CC95A7C9778B}"/>
    <hyperlink ref="B344" r:id="rId37" display="https://motorring.ru/product/21804-svetodiodnye-fary-60w-dyuymov-chernye-krug-centre" xr:uid="{2E64346D-433B-4D00-9486-42DF2CEE48C8}"/>
    <hyperlink ref="B341" r:id="rId38" display="https://motorring.ru/product/14255-svetodiodnye-fary-chernom-korpuse-90w-dyuymov-kolycom" xr:uid="{56642A34-0BE0-43C3-9456-17E5E6F02A50}"/>
    <hyperlink ref="B335" r:id="rId39" display="https://motorring.ru/product/27718-svetodiodnye-fary-boss-chernye-povtoritelem-povorotnika-dho" xr:uid="{D6AE4030-9B38-483F-B0C3-29435D23A284}"/>
    <hyperlink ref="B334" r:id="rId40" display="https://motorring.ru/product/21805-svetodiodnye-fary-60w-dyuymov-chernye-risunok-misheny" xr:uid="{2774725B-1F75-4104-9CFD-06C9357099AF}"/>
    <hyperlink ref="B333" r:id="rId41" display="https://motorring.ru/product/19767-ptf-998-led-lada-vesta-iks-rey-granta-niva-urban-reno" xr:uid="{6C24CBDC-22FB-4020-96A1-639D7E37396B}"/>
    <hyperlink ref="B331" r:id="rId42" display="https://motorring.ru/product/11775-diodnaya-balka-g-240-240w-3vt" xr:uid="{A0D4698C-F7DD-447F-A674-65BB8CDA4E8B}"/>
    <hyperlink ref="B329" r:id="rId43" display="https://motorring.ru/product/22259-zadnie-svetodiodnye-fonari-britaniya-krasnye-begayuschim" xr:uid="{A70E1B98-DFB8-4FE7-AA87-8A937464D53E}"/>
    <hyperlink ref="B328" r:id="rId44" display="https://motorring.ru/product/22260-zadnie-svetodiodnye-fonari-britaniya-chernye-begayuschim" xr:uid="{26D3D516-1AD8-44FD-87A9-68F9D6E23B68}"/>
    <hyperlink ref="B339" r:id="rId45" display="https://motorring.ru/product/13578-svetodiodnye-fary-chernye-90w-dyuymov-led-povtoritelem" xr:uid="{2D4B9E35-BBF5-4814-8417-56996D952B0C}"/>
    <hyperlink ref="B320" r:id="rId46" display="https://motorring.ru/product/10566-podfarniki-dlaa-diodnymi-povorotnikami-dho-temnyy-hrom-niva" xr:uid="{4EC8E6EA-7809-40CC-9729-4E6AE8085D05}"/>
    <hyperlink ref="B295" r:id="rId47" display="https://motorring.ru/product/24714-zadnie-svetodiodnye-fonari-kapli-chernye-lada-niva-4h4" xr:uid="{6009F3CB-DDD5-45AA-B56C-CCC7BA43EC7F}"/>
    <hyperlink ref="B338" r:id="rId48" display="https://motorring.ru/product/27716-svetodiodnye-fary-uzor-dyuymov-chernye-led-kolycom" xr:uid="{609B281E-79CB-4B43-8B0E-255F1193E0F9}"/>
    <hyperlink ref="B303" r:id="rId49" display="https://motorring.ru/product/14257-svetodiodnye-fary-dyuymov-d0875x-vaz-2101-lada-niva-4h4" xr:uid="{9798A64C-5023-4AC9-AD63-CF51F5764E3B}"/>
    <hyperlink ref="B276" r:id="rId50" display="https://motorring.ru/product/25053-svetodiodnye-podfarniki-plavniye-dho-povtoritel-4x4-niva" xr:uid="{F70666D9-17A4-448C-8B9C-80D0E2BB4DC3}"/>
    <hyperlink ref="B274" r:id="rId51" display="https://motorring.ru/product/8279-diodnaya-balka-pl-3102-36w-3vt" xr:uid="{A66DAF29-B463-4C3A-BEF7-FB48C2A68732}"/>
    <hyperlink ref="B373" r:id="rId52" display="https://motorring.ru/product/36972-komplekt-diodnyh-fonarey-led-obvodkoy-lada-4h4-niva" xr:uid="{01A93EA1-8407-422A-8017-20317D6D76B4}"/>
    <hyperlink ref="B370" r:id="rId53" display="https://motorring.ru/product/38644-komplekt-diodnyh-fonarey-polosy-lada-4h4-niva" xr:uid="{9059FBC4-1C8E-4C21-A9D2-FAED8EE65BE0}"/>
    <hyperlink ref="B371" r:id="rId54" display="https://motorring.ru/product/38645-komplekt-diodnyh-fonarey-polosy-lada-4h4-niva" xr:uid="{53662040-0F68-4346-AF07-03A8E831F4B1}"/>
    <hyperlink ref="B368" r:id="rId55" display="https://motorring.ru/product/38639-komplekt-diodnyh-serih-fonarey-led-obvodkoy-lada-4h4-niva" xr:uid="{DC714ADF-A7F0-4558-AF67-156CA0204578}"/>
    <hyperlink ref="B369" r:id="rId56" display="https://motorring.ru/product/38641-komplekt-diodnyh-fonarey-puls-lada-4h4-niva" xr:uid="{DD4457BB-5FF8-4B4F-8B10-E47AEDF586EE}"/>
    <hyperlink ref="B381" r:id="rId57" display="https://motorring.ru/product/36856-perednie-fary-vypolnennye-stile-audi-q8-lada-granta-fl" xr:uid="{48715438-8AEE-4178-AE6A-231EDBA26DF0}"/>
    <hyperlink ref="B375" r:id="rId58" display="https://motorring.ru/product/38690-komplekt-krasnyh-zadnih-led-fonarey-dinamich-vesta" xr:uid="{2EE9B52A-6580-4023-82CD-7E3865FD32DB}"/>
    <hyperlink ref="B374" r:id="rId59" display="https://motorring.ru/product/32636-komplekt-chernyh-zadnih-led-fonarey-dinamich-vesta" xr:uid="{81B07245-3BE6-4868-BE25-9E7679825609}"/>
    <hyperlink ref="B323" r:id="rId60" display="https://motorring.ru/product/25912-zadnie-svetodiodnye-fonari-iksy-chernye-begayuschim" xr:uid="{5732C086-12B7-46CE-93CE-9DFD37003DF5}"/>
    <hyperlink ref="B324" r:id="rId61" display="https://motorring.ru/product/25913-zadnie-svetodiodnye-fonari-iksy-krasnye-begayuschim" xr:uid="{84D9C0A6-E93D-4773-9927-061E55E850ED}"/>
    <hyperlink ref="B150" r:id="rId62" display="https://motorring.ru/product/15868-tuning-fonari-lada-niva-4x4-chernye" xr:uid="{8063A4A8-0BDA-4911-93FB-7450F2A217F5}"/>
    <hyperlink ref="B204" r:id="rId63" display="https://motorring.ru/product/4259-zadnie-fonari-krasnoy-polosoy-dlya-vaz-2105-2107" xr:uid="{6D7B940A-AF31-4904-9CA7-2F92722CF790}"/>
    <hyperlink ref="B526" r:id="rId64" display="снят" xr:uid="{EE195685-A5FD-4164-9917-88B52B1B1FB6}"/>
    <hyperlink ref="B205" r:id="rId65" display="https://motorring.ru/product/4250-zadnie-fonari-torino-hy-200-krasnye-beloy-polosoy-vaz" xr:uid="{6CCD4852-531F-486A-9DA4-70EEBC33154C}"/>
    <hyperlink ref="B268" r:id="rId66" display="https://motorring.ru/product/15969-zadnie-diodnye-fonari-chernye-beloy-polosoy-vaz-2108-21099" xr:uid="{FD6BA49E-5CDA-4EC9-BFEF-08AD7844DB0C}"/>
    <hyperlink ref="B270" r:id="rId67" display="https://motorring.ru/product/15954-svetodiodnye-zadnie-fonari-krasnye-seroy-polosoy-2108" xr:uid="{1F6932CE-3337-4F69-94C5-BD014AB71D2F}"/>
    <hyperlink ref="B271" r:id="rId68" display="https://motorring.ru/product/249-zadnie-diodnye-fonari-krasno-belye-vaz-2108-2113-2109-2114" xr:uid="{398D43D9-CA17-4C4B-BBFA-A809C9814721}"/>
    <hyperlink ref="B296" r:id="rId69" display="https://motorring.ru/product/8171-diodnye-krasno-belye-fonari-lada-granta-sedan" xr:uid="{A29491FA-A101-4198-99AE-81BF87A99C32}"/>
    <hyperlink ref="B309" r:id="rId70" display="https://motorring.ru/product/36707-diodnye-belo-serye-fonari-lada-granta-sedan" xr:uid="{64596575-E350-4075-A636-D0AB8EF31197}"/>
    <hyperlink ref="B284" r:id="rId71" display="https://motorring.ru/product/13366-diodnye-zadnie-fonari-red-led-krasnye-begayuschim" xr:uid="{F7EF4041-A894-461F-85BD-083B99E8BE64}"/>
    <hyperlink ref="B285" r:id="rId72" display="https://motorring.ru/product/2444-diodnye-zadnie-fonari-grey-led-chernye-begayuschim" xr:uid="{9C031D0A-7F03-4EF3-A042-2A356740992E}"/>
    <hyperlink ref="B306" r:id="rId73" display="https://motorring.ru/product/30580-zadnie-svetodiodnye-fonari-kapli-lada-niva-4h4" xr:uid="{0B079BF3-D470-4468-9A95-A5880E064310}"/>
    <hyperlink ref="B561" r:id="rId74" display="https://motorring.ru/product/8172-diodnye-krasno-serye-fonari-lada-granta-sedan" xr:uid="{9E4003C4-241A-4D30-9171-FC07D2562CD0}"/>
    <hyperlink ref="B319" r:id="rId75" display="https://motorring.ru/product/32726-zadnie-diodnye-fonari-418g-toporiki-tonirovannye-dlya-vaz" xr:uid="{CDF449C8-5448-4C8E-B670-BA632A7DC857}"/>
    <hyperlink ref="B322" r:id="rId76" display="https://motorring.ru/product/6919-zadnie-fonari-prosport-rs-09070-audi-dlya-vaz-2108-14" xr:uid="{5EA853FF-C4D3-4E7F-B1EB-3660E4F34AE1}"/>
    <hyperlink ref="B325" r:id="rId77" display="https://motorring.ru/product/25914-zadnie-svetodiodnye-fonari-belie-iksy-chernye-begayuschim" xr:uid="{2501B393-1BDC-4655-BC6B-F0C1BED2EA65}"/>
    <hyperlink ref="B326" r:id="rId78" display="https://motorring.ru/product/27746-zadnie-diodnye-fonari-iksy-tonirovannye-vaz-2108-21099-2113" xr:uid="{96F2556F-1E95-4A71-8DD0-4D7B1C678DFC}"/>
    <hyperlink ref="B358" r:id="rId79" display="https://motorring.ru/product/37146-zadnie-diodnye-krasnye-fonari-stile-mersedes-lada-granta" xr:uid="{265FB557-6836-4453-B400-01DC3F6E17EF}"/>
    <hyperlink ref="B254" r:id="rId80" display="https://motorring.ru/product/34862-tonirovannye-svetodiodnye-led-podfarniki-polos-dho" xr:uid="{1047CBC7-C4E4-4E4E-8FC4-6CEFBE964A65}"/>
    <hyperlink ref="B553" r:id="rId81" display="https://motorring.ru/product/25053-svetodiodnye-podfarniki-plavniye-dho-povtoritel-4x4-niva" xr:uid="{EC3E958D-CD1A-433A-BAFD-113B3339E325}"/>
    <hyperlink ref="B294" r:id="rId82" display="https://motorring.ru/product/8357-svetodiodnye-ptf-lada-vesta-iks-rey-granta-niva-urban-reno" xr:uid="{86E0250C-C603-4E13-9CC9-27F007C1A6B0}"/>
    <hyperlink ref="B298" r:id="rId83" display="https://motorring.ru/product/10471-fary-neonovymi-dho-hromirovannye-lada-niva-4h4-vaz-2101" xr:uid="{6D5C276C-5A76-4194-9059-7F44CA4A3327}"/>
    <hyperlink ref="B318" r:id="rId84" display="https://motorring.ru/product/8483-fary-neonovymi-dho-tonirovannye-dlya-lada-4h4-niva-vaz-2101" xr:uid="{D5ED8AC0-C798-4BC4-8125-6329C53BBD0C}"/>
    <hyperlink ref="B299" r:id="rId85" display="https://motorring.ru/product/7158-ramki-ptf-hodovymi-ognyami-dlya-lada-largus" xr:uid="{D355A083-C157-4338-B4AB-A48AFB48F5D0}"/>
    <hyperlink ref="B347" r:id="rId86" display="https://motorring.ru/product/27714-svetodiodnye-fary-linii-dyuymov-chernye-led-kolycom" xr:uid="{887D11E2-32BC-454F-AE31-D3FF605B391A}"/>
    <hyperlink ref="B336" r:id="rId87" display="https://motorring.ru/product/27713-svetodiodnye-fary-polosa-dyuymov-chernye-led-kolycom" xr:uid="{20950F04-7DAC-4C3E-9974-920BD43CC588}"/>
    <hyperlink ref="B585" r:id="rId88" display="https://motorring.ru/product/32800-tyuning-fary-chernym-korpusom-polosoy-dho-linzoy-lada-priora" xr:uid="{A07C1F3A-D4B7-408D-8EBB-DDB317C7AFEF}"/>
    <hyperlink ref="B376" r:id="rId89" display="https://motorring.ru/product/32637-komplekt-chernyh-svetodiodnyh-linzovannyh-far-lada-vesta" xr:uid="{622F75E9-B9D3-46B4-BEF7-B5A35C468B0A}"/>
    <hyperlink ref="B260" r:id="rId90" display="https://motorring.ru/product/20430-svetodiodnye-podfarniki-tonirovannoe-steklo-dho-begayuschim" xr:uid="{952FEF39-FE53-4C23-AC50-B0B55D1319AF}"/>
    <hyperlink ref="B259" r:id="rId91" display="https://motorring.ru/product/20429-svetodiodnye-podfarniki-dho-begayuschim-povorotnikom-lada" xr:uid="{80BCB651-A307-4FF0-80EC-134E27E40DC6}"/>
    <hyperlink ref="B253" r:id="rId92" display="https://motorring.ru/product/22269-svetodiodnye-podfarniki-krasnye-dho-begayuschim" xr:uid="{7E3775F9-17AF-41F9-9DCD-EC805C5F647F}"/>
    <hyperlink ref="B550" r:id="rId93" display="https://motorring.ru/product/27724-diodnye-dvuhcvetnye-ptf-polos-analog-lada-granta-lada-vesta" xr:uid="{091CAB96-98E2-489C-A636-A0B8470EE1EB}"/>
    <hyperlink ref="B247" r:id="rId94" display="https://motorring.ru/product/27721-diodnye-ptf-polos-dvuhcvetnye-analog-vaz-2110-2112" xr:uid="{1DAC1435-598C-48DC-A930-FC6CEE7B1769}"/>
    <hyperlink ref="B228" r:id="rId95" display="https://motorring.ru/product/27725-diodnye-dvuhcvetnye-ptf-angelyskimi-glazkami-lada-kalina3" xr:uid="{1C59FE37-3080-4DCD-A571-6639FAB9EF0F}"/>
    <hyperlink ref="B242" r:id="rId96" display="https://motorring.ru/product/21357-diodnye-ptf-30w-dho-lada-kalina-kalina-granta-largus-datsun" xr:uid="{15CD5152-8104-4181-B64E-3E98EBBC0369}"/>
    <hyperlink ref="B240" r:id="rId97" display="https://motorring.ru/product/19766-ptf-699-lada-vesta-iks-rey-granta-niva-urban-reno" xr:uid="{7717EB56-4F0D-486A-B161-A693F698560A}"/>
    <hyperlink ref="B231" r:id="rId98" display="https://motorring.ru/product/27720-diodnye-ptf-polos-analog-vaz-2110-2112-2113-2115-shevrole" xr:uid="{835AAC0D-070A-4176-92A0-B544733EA92C}"/>
    <hyperlink ref="B216" r:id="rId99" display="https://motorring.ru/product/24471-svetodiodnye-dvuhcvetnie-led-protivotumannye-fary-analog-polosy" xr:uid="{5D4087A5-6FB1-4C78-BDE2-BE875BCC680F}"/>
    <hyperlink ref="B215" r:id="rId100" display="https://motorring.ru/product/24470-svetodiodnye-led-protivotumannye-fary-analog-polosy" xr:uid="{215CAC4B-9170-4E5C-A308-556AAE137E84}"/>
    <hyperlink ref="B527" r:id="rId101" display="https://motorring.ru/product/24470-svetodiodnye-led-protivotumannye-fary-analog-polosy" xr:uid="{453123FD-E9C6-4C91-9334-A392BC6DB536}"/>
    <hyperlink ref="B197" r:id="rId102" display="https://motorring.ru/product/21355-diodnye-ptf-30w-lada-priora-analog" xr:uid="{9CCB3C56-4534-4BF6-8100-FB1A55A5045B}"/>
    <hyperlink ref="B193" r:id="rId103" display="https://motorring.ru/product/8144-ramki-ptf-diodnymi-hodovymi-ognyami-lada-largus" xr:uid="{4B9E9400-5387-40FC-A7A5-91730F1DAAA2}"/>
    <hyperlink ref="B188" r:id="rId104" display="https://motorring.ru/product/20616-protivotumannye-fary-ld-673-lada-vesta-iks-rey-granta-niva" xr:uid="{6895674B-729B-4CA5-826F-02B63673ABA5}"/>
    <hyperlink ref="B168" r:id="rId105" display="https://motorring.ru/product/8347-protivotumannye-fary-ld-327-dlya-lada-priora" xr:uid="{87807FEF-2549-4470-9C79-11A6032BC4B8}"/>
    <hyperlink ref="B160" r:id="rId106" display="https://motorring.ru/product/8329-protivotumannye-fary-dlaa-vaz-2110-2112-2113-2115" xr:uid="{6015F836-3B62-488A-90CA-1120C025EB1E}"/>
    <hyperlink ref="B139" r:id="rId107" display="https://motorring.ru/product/8348-protivotumannye-fary-ld-093-pod-kirghach-lada-priora" xr:uid="{5E0664B4-65F4-4CB1-A3E3-B274B1BE7AC3}"/>
    <hyperlink ref="B490" r:id="rId108" display="https://motorring.ru/product/8345-protivotumannye-fary-ld-089-ramkami-lada-kalina" xr:uid="{99E9FD8A-2844-40A4-8C09-EC3FF67528E0}"/>
    <hyperlink ref="B138" r:id="rId109" display="https://motorring.ru/product/8343-protivotumannye-fary-diodnye-ld-089l-ramkami-lada-kalina" xr:uid="{FA97D3ED-E878-4952-A8C5-F1EC5A6F298B}"/>
    <hyperlink ref="B158" r:id="rId110" display="https://motorring.ru/product/8328-klassicheskie-protivotumannye-fary-dlaa-dlya-vaz-2110-2112" xr:uid="{26D9F16D-7E61-4FF8-86D7-FA74F7E3F875}"/>
    <hyperlink ref="B498" r:id="rId111" display="https://motorring.ru/product/8351" xr:uid="{B8F9FF63-1E6B-4290-A31A-1824D20524A7}"/>
    <hyperlink ref="B149" r:id="rId112" display="https://motorring.ru/product/8326-protivotumannye-fary-ld-472-lada-kalina-granta-largus" xr:uid="{DD5A2BA4-DC7E-404F-9BCE-81E8B0740F6C}"/>
    <hyperlink ref="B159" r:id="rId113" display="https://motorring.ru/product/8334-protivotumannye-fary-ld-088-chernye-vaz-2110-12-2113-15" xr:uid="{1F383D07-94F1-405C-97AA-6B37C00EDF00}"/>
    <hyperlink ref="B184" r:id="rId114" display="https://motorring.ru/product/14680-protivotumannye-fary-linzoy-ld-271-ramkami-lada-granta" xr:uid="{89512FEA-2CC1-4692-8B46-0EB69669CA8F}"/>
    <hyperlink ref="B229" r:id="rId115" display="https://motorring.ru/product/27724-diodnye-dvuhcvetnye-ptf-polos-analog-lada-granta-lada-vesta" xr:uid="{3981F489-F52A-40E2-91A8-D27EACBEE8D1}"/>
    <hyperlink ref="B248" r:id="rId116" display="https://motorring.ru/product/15987-bokovye-zerkala-volna-belye-povtoritelem-vaz-2104-2107" xr:uid="{03273B89-4AE4-4569-9C99-779D90E36B8C}"/>
    <hyperlink ref="B533" r:id="rId117" display="https://motorring.ru/product/15995-bokovye-zerkala-volna-chernye-vaz-2104-2105-2107" xr:uid="{20B89530-BBAD-4772-9590-A0D671D28A13}"/>
    <hyperlink ref="B222" r:id="rId118" display="https://motorring.ru/product/15997-bokovye-zerkala-volna-hrom-nakladkami-vaz-2104-2105-2107" xr:uid="{E097DD3D-FD64-42C5-9D99-D0E762DAB2C9}"/>
    <hyperlink ref="B223" r:id="rId119" display="https://motorring.ru/product/12746-bokovye-zerkala-piter-belye-antiblikom-vaz-2104-2105-2107" xr:uid="{14483FD5-7B36-444C-8369-37352A52F959}"/>
    <hyperlink ref="B227" r:id="rId120" display="https://motorring.ru/product/12749-bokovye-zerkala-piter-sneghka-antiblikom-vaz-2108-2115" xr:uid="{7F4E123F-4ADB-4793-AF54-138EEDB8B5B3}"/>
    <hyperlink ref="B233" r:id="rId121" display="https://motorring.ru/product/15959-bokovye-zerkala-volna-povtoritelem-chernyy-korpus-vaz" xr:uid="{722EB4D1-1355-43E6-853B-82773CA40FF3}"/>
    <hyperlink ref="B540" r:id="rId122" display="https://motorring.ru/product/22575-protivotumannye-fary-diodnye-polosy-restaylingovyy-bamper" xr:uid="{F884078B-4FE0-458F-B0F8-5F2895AE28FC}"/>
    <hyperlink ref="B241" r:id="rId123" display="https://motorring.ru/product/16660-svetodiodnye-nakladki-porogi-nadpisyyu-urban-lada-niva" xr:uid="{D0731465-3270-4AD9-B2A0-824C81DB1435}"/>
    <hyperlink ref="B213" r:id="rId124" display="https://motorring.ru/product/12751" xr:uid="{2F41251A-CD81-45D6-821A-73CDB0C074FC}"/>
    <hyperlink ref="B288" r:id="rId125" display="https://motorring.ru/product/148-blok-fara-levaya-analog-lada-kalina" xr:uid="{1F3EBABE-72AE-450C-B8C0-D5766D575781}"/>
    <hyperlink ref="B289" r:id="rId126" display="https://motorring.ru/product/746-blok-fara-pravaya-analog-lada-kalina" xr:uid="{255D5534-5488-42BD-98DF-BD2CF0360428}"/>
    <hyperlink ref="B292" r:id="rId127" display="https://motorring.ru/product/35954-ruly-nardi-old-school-derevo-dlya-shervole-niva" xr:uid="{FDE1CF07-44BB-4B8D-8D74-D9BAFABB4214}"/>
    <hyperlink ref="B9" r:id="rId128" display="https://motorring.ru/product/11903-podsvetka-salona-knopkoy-a-10" xr:uid="{97ADE142-7F40-41EE-92F0-A98B1FFED3C1}"/>
    <hyperlink ref="B28" r:id="rId129" display="https://motorring.ru/product/21208-povtoriteli-povorotov-led-nadpisyyu-priora-lada-priora" xr:uid="{0149E4CE-82B0-44F6-8BBC-0A90CE7CF84C}"/>
    <hyperlink ref="B30" r:id="rId130" display="https://motorring.ru/product/21669-led-povtoriteli-povorotnika-belye-gerbom-dvuglavyy-orel-vaz" xr:uid="{FB8D13ED-8CEA-4DC5-94E5-BB0A7A38CFAF}"/>
    <hyperlink ref="B35" r:id="rId131" display="https://motorring.ru/product/6425-diodnye-povtoriteli-nadpisyyu-priora-dlya-lada-priora" xr:uid="{03C5C18F-8D44-40DE-96E1-9546C7DEDEE7}"/>
    <hyperlink ref="B203" r:id="rId132" display="https://motorring.ru/product/12752-bokovye-zerkala-piter-chernye-vaz-2110-2112" xr:uid="{963D0D18-5285-4783-ABD2-BFF92B4368B3}"/>
    <hyperlink ref="B581" r:id="rId133" display="https://motorring.ru/product/15197" xr:uid="{00077A1D-AA08-40E1-9919-C7E293E7C7CA}"/>
    <hyperlink ref="B447" r:id="rId134" display="https://motorring.ru/product/11873-spoylery-diodom-dvorniki-hrom" xr:uid="{FFCF09EB-D951-486B-B525-34E801BD64BA}"/>
    <hyperlink ref="B459" r:id="rId135" display="https://motorring.ru/product/13905-diodnye-povtoriteli-nadpisyyu-dlya-lada-priora" xr:uid="{467E168E-1D1A-4246-98C9-021C73A46894}"/>
    <hyperlink ref="B524" r:id="rId136" display="https://motorring.ru/product/15996-bokovye-zerkala-piter-chernye-vaz-2101-2107" xr:uid="{55ED6229-4AE3-4EDA-A8B5-4F343798751C}"/>
    <hyperlink ref="B210" r:id="rId137" display="https://motorring.ru/product/15968-bokovye-zerkala-piter-hrom-vaz-2108-21099-2113-2115" xr:uid="{1A3BBB18-0334-4AD5-9F8A-166EBF6AC041}"/>
    <hyperlink ref="B211" r:id="rId138" display="https://motorring.ru/product/12748-bokovye-zerkala-piter-chernye-antiblikom-vaz-2108-21099" xr:uid="{1D0A9430-26CE-4F47-81DE-FA1469BCF3EE}"/>
    <hyperlink ref="B305" r:id="rId139" display="https://motorring.ru/product/11776-diodnaya-balka-xrb-240-240w-3vt" xr:uid="{F3BD02FF-82A6-4CDA-A3BC-C6C25CDB3EB1}"/>
    <hyperlink ref="B582" r:id="rId140" display="https://motorring.ru/product/10664" xr:uid="{0F84B9B8-79CC-440A-ABEF-7A1895D299A5}"/>
    <hyperlink ref="B363" r:id="rId141" display="https://motorring.ru/product/8281-diodnaya-balka-pl-3104-120w-3vt" xr:uid="{473FA462-6C12-446F-A3CA-6F5C5AB2824E}"/>
    <hyperlink ref="B25" r:id="rId142" display="https://motorring.ru/product/11752-vspyshki-fso-48w-16-svetodiodov" xr:uid="{DDD73E3E-A965-4516-A263-94963CF7F795}"/>
    <hyperlink ref="B21" r:id="rId143" display="https://motorring.ru/product/11748-vspyshki-fso-27w-svetodiod" xr:uid="{FB1788BE-7058-4B78-9ED7-F31B68925D18}"/>
    <hyperlink ref="B41" r:id="rId144" display="https://motorring.ru/product/11746-diodnaya-balka-27w-b-dalyniy-3vt" xr:uid="{1B082F48-F902-41EB-9F28-C7400F2C7E3E}"/>
    <hyperlink ref="B196" r:id="rId145" display="https://motorring.ru/product/15957-bokovye-zerkala-piter-chernye-libo-belye-vaz-2108-21099" xr:uid="{AA3299D3-D7D6-4FA7-9B50-D054A0A7C20C}"/>
    <hyperlink ref="B201" r:id="rId146" display="https://motorring.ru/product/15961-bokovye-zerkala-piter-karbon-vaz-2108-2115" xr:uid="{780CBAEA-03EA-465B-AF5D-AF22AC018913}"/>
    <hyperlink ref="B206" r:id="rId147" display="https://motorring.ru/product/15972-bokovye-zerkala-volna-chernye-hrom-nakladkoy-povtoritelem" xr:uid="{88ED8704-EB81-41E9-AA55-15620503EDED}"/>
    <hyperlink ref="B209" r:id="rId148" display="https://motorring.ru/product/15956-bokovye-zerkala-volna-belye-libo-chernye-vaz-2108-21099" xr:uid="{D3EAC389-C818-4DAA-A63B-D95A0E70C92A}"/>
    <hyperlink ref="B225" r:id="rId149" display="https://motorring.ru/product/11764-diodnaya-balka-cclb-36-36w-3vt" xr:uid="{55C73587-3F4F-4430-97BF-01732AA0DDF6}"/>
    <hyperlink ref="B304" r:id="rId150" display="https://motorring.ru/product/11770-diodnaya-balka-xrb-180-180w-3vt" xr:uid="{AD7FAB0A-EF3D-4F8D-A8F6-501184EF87A9}"/>
    <hyperlink ref="B353" r:id="rId151" display="https://motorring.ru/product/8287-diodnaya-balka-pl-3204-90w-3vt" xr:uid="{7FE55241-DBEE-4DA5-82E9-CB88A1BED47A}"/>
    <hyperlink ref="B587" r:id="rId152" display="https://motorring.ru/product/849" xr:uid="{2CA00D7F-5204-4441-9DA7-97F638CDDE7A}"/>
    <hyperlink ref="B444" r:id="rId153" display="https://motorring.ru/product/11867-dekorativnye-nakladki-ghabry-0395-kuzov-avtomobilya-krasnye" xr:uid="{359BF6A6-C62C-40A3-BF7E-ACD269CFC963}"/>
    <hyperlink ref="B29" r:id="rId154" display="https://motorring.ru/product/21211-povtoriteli-povorotov-led-nadpisyyu-granta-lada-granta" xr:uid="{CC82D4A8-8205-447B-80CA-2F7CF2F13922}"/>
    <hyperlink ref="B31" r:id="rId155" display="https://motorring.ru/product/21668-led-povtoriteli-povorotnika-oranghevye-gerbom-dvuglavyy" xr:uid="{14574DFE-C37D-4CE4-BBC1-3F289104118F}"/>
    <hyperlink ref="B34" r:id="rId156" display="https://motorring.ru/product/6424-diodnye-povtoriteli-nadpisyyu-granta-dlya-lada-granta" xr:uid="{62E6D755-EA87-493D-91EC-858DFCABBC82}"/>
    <hyperlink ref="B200" r:id="rId157" display="https://motorring.ru/product/15967-bokovye-zerkala-volna-hrom-chernyy-vaz-2108-2115" xr:uid="{1E193E07-0335-454D-ACEA-4B885CD08941}"/>
    <hyperlink ref="B212" r:id="rId158" display="https://motorring.ru/product/12750-bokovye-zerkala-piter-belye-antiblikom-vaz-2108-21099" xr:uid="{7693A41C-35E8-4C81-881C-6366B1CA96A8}"/>
    <hyperlink ref="B224" r:id="rId159" display="https://motorring.ru/product/8278-diodnaya-balka-pl-3101-24w-3vt" xr:uid="{9B8719FA-72A7-4978-9848-765F47C384F1}"/>
    <hyperlink ref="B264" r:id="rId160" display="https://motorring.ru/product/11765-diodnaya-balka-xrb-120-120w-3vt" xr:uid="{7D2190E1-41B8-4CF6-B931-FFF2FA533307}"/>
    <hyperlink ref="B364" r:id="rId161" display="https://motorring.ru/product/8288-diodnaya-balka-pl-3205-120w-3vt" xr:uid="{AC1983D1-97EB-4F52-AA6D-D82437FCA7B1}"/>
    <hyperlink ref="B352" r:id="rId162" display="https://motorring.ru/product/8280-diodnaya-balka-pl-3103-60w-3vt" xr:uid="{E0080BB2-02EE-4839-A5DE-188A124789BB}"/>
    <hyperlink ref="B383" r:id="rId163" display="https://motorring.ru/product/41799-chernye-fary-thebestpartner-linzami-dho-povorotnikom-largus" xr:uid="{62093E46-06CC-4E3F-BA7F-1D1D38538268}"/>
    <hyperlink ref="B315" r:id="rId164" display="https://motorring.ru/product/12720-zadnie-fonari-diodnymi-povtoritelyami-stopami-gabaritami" xr:uid="{F9E8B57C-C1B8-4C9C-A8BD-2F2552C041A2}"/>
  </hyperlinks>
  <pageMargins left="0.7" right="0.7" top="0.75" bottom="0.75" header="0.3" footer="0.3"/>
  <pageSetup paperSize="9" orientation="portrait" r:id="rId165"/>
  <drawing r:id="rId166"/>
  <legacyDrawing r:id="rId167"/>
  <controls>
    <mc:AlternateContent xmlns:mc="http://schemas.openxmlformats.org/markup-compatibility/2006">
      <mc:Choice Requires="x14">
        <control shapeId="7169" r:id="rId168" name="CommandButton1">
          <controlPr defaultSize="0" autoLine="0" autoPict="0" r:id="rId169">
            <anchor moveWithCells="1">
              <from>
                <xdr:col>7</xdr:col>
                <xdr:colOff>247650</xdr:colOff>
                <xdr:row>1</xdr:row>
                <xdr:rowOff>47625</xdr:rowOff>
              </from>
              <to>
                <xdr:col>9</xdr:col>
                <xdr:colOff>476250</xdr:colOff>
                <xdr:row>2</xdr:row>
                <xdr:rowOff>171450</xdr:rowOff>
              </to>
            </anchor>
          </controlPr>
        </control>
      </mc:Choice>
      <mc:Fallback>
        <control shapeId="7169" r:id="rId168" name="CommandButton1"/>
      </mc:Fallback>
    </mc:AlternateContent>
  </control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870D46-5603-41AF-B285-C9B5BA3059B2}">
  <sheetPr codeName="Лист8">
    <tabColor rgb="FF92D050"/>
  </sheetPr>
  <dimension ref="A1:S735"/>
  <sheetViews>
    <sheetView workbookViewId="0">
      <selection activeCell="E14" sqref="E14"/>
    </sheetView>
  </sheetViews>
  <sheetFormatPr defaultRowHeight="15" x14ac:dyDescent="0.25"/>
  <cols>
    <col min="1" max="1" width="19.85546875" bestFit="1" customWidth="1"/>
    <col min="2" max="2" width="11.140625" bestFit="1" customWidth="1"/>
    <col min="3" max="3" width="13.28515625" bestFit="1" customWidth="1"/>
    <col min="4" max="4" width="81.140625" bestFit="1" customWidth="1"/>
    <col min="5" max="5" width="28.28515625" bestFit="1" customWidth="1"/>
    <col min="6" max="6" width="35.5703125" bestFit="1" customWidth="1"/>
    <col min="7" max="9" width="11.140625" bestFit="1" customWidth="1"/>
    <col min="10" max="18" width="12.140625" bestFit="1" customWidth="1"/>
    <col min="19" max="19" width="12.140625" customWidth="1"/>
  </cols>
  <sheetData>
    <row r="1" spans="1:19" x14ac:dyDescent="0.25">
      <c r="A1" t="s">
        <v>797</v>
      </c>
      <c r="B1" t="s">
        <v>798</v>
      </c>
      <c r="C1" t="s">
        <v>1141</v>
      </c>
      <c r="D1" t="s">
        <v>1142</v>
      </c>
      <c r="E1" t="s">
        <v>815</v>
      </c>
      <c r="F1" t="s">
        <v>1283</v>
      </c>
      <c r="G1" t="s">
        <v>801</v>
      </c>
      <c r="H1" t="s">
        <v>802</v>
      </c>
      <c r="I1" t="s">
        <v>803</v>
      </c>
      <c r="J1" t="s">
        <v>804</v>
      </c>
      <c r="K1" t="s">
        <v>805</v>
      </c>
      <c r="L1" t="s">
        <v>806</v>
      </c>
      <c r="M1" t="s">
        <v>807</v>
      </c>
      <c r="N1" t="s">
        <v>808</v>
      </c>
      <c r="O1" t="s">
        <v>809</v>
      </c>
      <c r="P1" t="s">
        <v>810</v>
      </c>
      <c r="Q1" t="s">
        <v>811</v>
      </c>
      <c r="R1" t="s">
        <v>812</v>
      </c>
      <c r="S1" t="s">
        <v>1275</v>
      </c>
    </row>
    <row r="2" spans="1:19" x14ac:dyDescent="0.25">
      <c r="A2" s="13" t="s">
        <v>1478</v>
      </c>
      <c r="B2" t="s">
        <v>1479</v>
      </c>
      <c r="C2" s="13" t="s">
        <v>1480</v>
      </c>
      <c r="D2" s="13" t="s">
        <v>1143</v>
      </c>
      <c r="E2" s="13" t="s">
        <v>799</v>
      </c>
      <c r="F2" s="13" t="s">
        <v>800</v>
      </c>
      <c r="G2" s="13"/>
    </row>
    <row r="3" spans="1:19" x14ac:dyDescent="0.25">
      <c r="A3" s="13"/>
      <c r="B3" t="s">
        <v>0</v>
      </c>
      <c r="C3" s="13"/>
      <c r="D3" s="13" t="s">
        <v>813</v>
      </c>
      <c r="E3" s="13" t="s">
        <v>814</v>
      </c>
      <c r="F3" s="13" t="s">
        <v>814</v>
      </c>
      <c r="G3" s="13"/>
    </row>
    <row r="4" spans="1:19" x14ac:dyDescent="0.25">
      <c r="A4" s="13" t="s">
        <v>3</v>
      </c>
      <c r="B4">
        <v>202705</v>
      </c>
      <c r="C4" s="13"/>
      <c r="D4" s="13"/>
      <c r="E4" s="13"/>
      <c r="F4" s="13"/>
      <c r="G4" s="13" t="s">
        <v>947</v>
      </c>
    </row>
    <row r="5" spans="1:19" x14ac:dyDescent="0.25">
      <c r="A5" s="13" t="s">
        <v>3</v>
      </c>
      <c r="B5">
        <v>218502</v>
      </c>
      <c r="C5" s="13" t="s">
        <v>1269</v>
      </c>
      <c r="D5" s="13"/>
      <c r="E5" s="13"/>
      <c r="F5" s="13"/>
      <c r="G5" s="13" t="s">
        <v>947</v>
      </c>
    </row>
    <row r="6" spans="1:19" x14ac:dyDescent="0.25">
      <c r="A6" s="13" t="s">
        <v>3</v>
      </c>
      <c r="B6">
        <v>201804</v>
      </c>
      <c r="C6" s="13">
        <v>3290</v>
      </c>
      <c r="D6" s="13" t="s">
        <v>1421</v>
      </c>
      <c r="E6" s="13"/>
      <c r="F6" s="13"/>
      <c r="G6" s="13" t="s">
        <v>1481</v>
      </c>
    </row>
    <row r="7" spans="1:19" x14ac:dyDescent="0.25">
      <c r="A7" s="13" t="s">
        <v>3</v>
      </c>
      <c r="B7">
        <v>143810</v>
      </c>
      <c r="C7" s="13"/>
      <c r="D7" s="13"/>
      <c r="E7" s="13"/>
      <c r="F7" s="13"/>
      <c r="G7" s="13" t="s">
        <v>947</v>
      </c>
    </row>
    <row r="8" spans="1:19" x14ac:dyDescent="0.25">
      <c r="A8" s="13" t="s">
        <v>3</v>
      </c>
      <c r="B8">
        <v>145535</v>
      </c>
      <c r="C8" s="13">
        <v>3590</v>
      </c>
      <c r="D8" s="13" t="s">
        <v>1271</v>
      </c>
      <c r="E8" s="13"/>
      <c r="F8" s="13"/>
      <c r="G8" s="13" t="s">
        <v>1284</v>
      </c>
    </row>
    <row r="9" spans="1:19" x14ac:dyDescent="0.25">
      <c r="A9" s="13" t="s">
        <v>3</v>
      </c>
      <c r="B9">
        <v>143530</v>
      </c>
      <c r="C9" s="13">
        <v>319</v>
      </c>
      <c r="D9" s="13" t="s">
        <v>903</v>
      </c>
      <c r="E9" s="13"/>
      <c r="F9" s="13"/>
      <c r="G9" s="13" t="s">
        <v>1285</v>
      </c>
    </row>
    <row r="10" spans="1:19" x14ac:dyDescent="0.25">
      <c r="A10" s="13" t="s">
        <v>3</v>
      </c>
      <c r="B10">
        <v>143529</v>
      </c>
      <c r="C10" s="13">
        <v>319</v>
      </c>
      <c r="D10" s="13" t="s">
        <v>904</v>
      </c>
      <c r="E10" s="13"/>
      <c r="F10" s="13"/>
      <c r="G10" s="13" t="s">
        <v>1285</v>
      </c>
    </row>
    <row r="11" spans="1:19" x14ac:dyDescent="0.25">
      <c r="A11" s="13" t="s">
        <v>3</v>
      </c>
      <c r="B11">
        <v>217222</v>
      </c>
      <c r="C11" s="13">
        <v>319</v>
      </c>
      <c r="D11" s="13" t="s">
        <v>738</v>
      </c>
      <c r="E11" s="13"/>
      <c r="F11" s="13"/>
      <c r="G11" s="13" t="s">
        <v>1285</v>
      </c>
    </row>
    <row r="12" spans="1:19" x14ac:dyDescent="0.25">
      <c r="A12" s="13" t="s">
        <v>3</v>
      </c>
      <c r="B12">
        <v>217225</v>
      </c>
      <c r="C12" s="13" t="s">
        <v>1428</v>
      </c>
      <c r="D12" s="13"/>
      <c r="E12" s="13"/>
      <c r="F12" s="13"/>
      <c r="G12" s="13" t="s">
        <v>947</v>
      </c>
    </row>
    <row r="13" spans="1:19" x14ac:dyDescent="0.25">
      <c r="A13" s="13" t="s">
        <v>3</v>
      </c>
      <c r="B13">
        <v>217224</v>
      </c>
      <c r="C13" s="13">
        <v>319</v>
      </c>
      <c r="D13" s="13" t="s">
        <v>905</v>
      </c>
      <c r="E13" s="13"/>
      <c r="F13" s="13"/>
      <c r="G13" s="13" t="s">
        <v>1285</v>
      </c>
    </row>
    <row r="14" spans="1:19" x14ac:dyDescent="0.25">
      <c r="A14" s="13" t="s">
        <v>3</v>
      </c>
      <c r="B14">
        <v>217226</v>
      </c>
      <c r="C14" s="13">
        <v>319</v>
      </c>
      <c r="D14" s="13" t="s">
        <v>906</v>
      </c>
      <c r="E14" s="13"/>
      <c r="F14" s="13"/>
      <c r="G14" s="13" t="s">
        <v>1285</v>
      </c>
    </row>
    <row r="15" spans="1:19" x14ac:dyDescent="0.25">
      <c r="A15" s="13" t="s">
        <v>3</v>
      </c>
      <c r="B15">
        <v>203963</v>
      </c>
      <c r="C15" s="13">
        <v>229</v>
      </c>
      <c r="D15" s="13" t="s">
        <v>1458</v>
      </c>
      <c r="E15" s="13"/>
      <c r="F15" s="13"/>
      <c r="G15" s="13" t="s">
        <v>1482</v>
      </c>
    </row>
    <row r="16" spans="1:19" x14ac:dyDescent="0.25">
      <c r="A16" s="13" t="s">
        <v>3</v>
      </c>
      <c r="B16">
        <v>143527</v>
      </c>
      <c r="C16" s="13" t="s">
        <v>1428</v>
      </c>
      <c r="D16" s="13"/>
      <c r="E16" s="13"/>
      <c r="F16" s="13"/>
      <c r="G16" s="13" t="s">
        <v>947</v>
      </c>
    </row>
    <row r="17" spans="1:7" x14ac:dyDescent="0.25">
      <c r="A17" s="13" t="s">
        <v>3</v>
      </c>
      <c r="B17">
        <v>224466</v>
      </c>
      <c r="C17" s="13" t="s">
        <v>1269</v>
      </c>
      <c r="D17" s="13"/>
      <c r="E17" s="13"/>
      <c r="F17" s="13"/>
      <c r="G17" s="13" t="s">
        <v>947</v>
      </c>
    </row>
    <row r="18" spans="1:7" x14ac:dyDescent="0.25">
      <c r="A18" s="13" t="s">
        <v>3</v>
      </c>
      <c r="B18">
        <v>224465</v>
      </c>
      <c r="C18" s="13" t="s">
        <v>1269</v>
      </c>
      <c r="D18" s="13"/>
      <c r="E18" s="13"/>
      <c r="F18" s="13"/>
      <c r="G18" s="13" t="s">
        <v>947</v>
      </c>
    </row>
    <row r="19" spans="1:7" x14ac:dyDescent="0.25">
      <c r="A19" s="13" t="s">
        <v>3</v>
      </c>
      <c r="B19">
        <v>194545</v>
      </c>
      <c r="C19" s="13">
        <v>549</v>
      </c>
      <c r="D19" s="13" t="s">
        <v>907</v>
      </c>
      <c r="E19" s="13"/>
      <c r="F19" s="13"/>
      <c r="G19" s="13" t="s">
        <v>1286</v>
      </c>
    </row>
    <row r="20" spans="1:7" x14ac:dyDescent="0.25">
      <c r="A20" s="13" t="s">
        <v>3</v>
      </c>
      <c r="B20">
        <v>224474</v>
      </c>
      <c r="C20" s="13" t="s">
        <v>1269</v>
      </c>
      <c r="D20" s="13"/>
      <c r="E20" s="13"/>
      <c r="F20" s="13"/>
      <c r="G20" s="13" t="s">
        <v>947</v>
      </c>
    </row>
    <row r="21" spans="1:7" x14ac:dyDescent="0.25">
      <c r="A21" s="13" t="s">
        <v>3</v>
      </c>
      <c r="B21">
        <v>217223</v>
      </c>
      <c r="C21" s="13">
        <v>319</v>
      </c>
      <c r="D21" s="13" t="s">
        <v>1457</v>
      </c>
      <c r="E21" s="13"/>
      <c r="F21" s="13"/>
      <c r="G21" s="13" t="s">
        <v>1285</v>
      </c>
    </row>
    <row r="22" spans="1:7" x14ac:dyDescent="0.25">
      <c r="A22" s="13" t="s">
        <v>3</v>
      </c>
      <c r="B22">
        <v>133225</v>
      </c>
      <c r="C22" s="13">
        <v>749</v>
      </c>
      <c r="D22" s="13" t="s">
        <v>919</v>
      </c>
      <c r="E22" s="13"/>
      <c r="F22" s="13"/>
      <c r="G22" s="13" t="s">
        <v>1292</v>
      </c>
    </row>
    <row r="23" spans="1:7" x14ac:dyDescent="0.25">
      <c r="A23" s="13" t="s">
        <v>3</v>
      </c>
      <c r="B23">
        <v>133228</v>
      </c>
      <c r="C23" s="13">
        <v>649</v>
      </c>
      <c r="D23" s="13" t="s">
        <v>911</v>
      </c>
      <c r="E23" s="13"/>
      <c r="F23" s="13"/>
      <c r="G23" s="13" t="s">
        <v>1289</v>
      </c>
    </row>
    <row r="24" spans="1:7" x14ac:dyDescent="0.25">
      <c r="A24" s="13" t="s">
        <v>3</v>
      </c>
      <c r="B24">
        <v>133308</v>
      </c>
      <c r="C24" s="13">
        <v>649</v>
      </c>
      <c r="D24" s="13" t="s">
        <v>1459</v>
      </c>
      <c r="E24" s="13"/>
      <c r="F24" s="13"/>
      <c r="G24" s="13" t="s">
        <v>1289</v>
      </c>
    </row>
    <row r="25" spans="1:7" x14ac:dyDescent="0.25">
      <c r="A25" s="13" t="s">
        <v>3</v>
      </c>
      <c r="B25">
        <v>133309</v>
      </c>
      <c r="C25" s="13">
        <v>649</v>
      </c>
      <c r="D25" s="13" t="s">
        <v>1460</v>
      </c>
      <c r="E25" s="13"/>
      <c r="F25" s="13"/>
      <c r="G25" s="13" t="s">
        <v>1289</v>
      </c>
    </row>
    <row r="26" spans="1:7" x14ac:dyDescent="0.25">
      <c r="A26" s="13" t="s">
        <v>3</v>
      </c>
      <c r="B26">
        <v>133315</v>
      </c>
      <c r="C26" s="13">
        <v>649</v>
      </c>
      <c r="D26" s="13" t="s">
        <v>911</v>
      </c>
      <c r="E26" s="13"/>
      <c r="F26" s="13"/>
      <c r="G26" s="13" t="s">
        <v>1289</v>
      </c>
    </row>
    <row r="27" spans="1:7" x14ac:dyDescent="0.25">
      <c r="A27" s="13" t="s">
        <v>3</v>
      </c>
      <c r="B27">
        <v>133310</v>
      </c>
      <c r="C27" s="13">
        <v>590</v>
      </c>
      <c r="D27" s="13" t="s">
        <v>943</v>
      </c>
      <c r="E27" s="13"/>
      <c r="F27" s="13"/>
      <c r="G27" s="13" t="s">
        <v>1287</v>
      </c>
    </row>
    <row r="28" spans="1:7" x14ac:dyDescent="0.25">
      <c r="A28" s="13" t="s">
        <v>3</v>
      </c>
      <c r="B28">
        <v>133311</v>
      </c>
      <c r="C28" s="13">
        <v>590</v>
      </c>
      <c r="D28" s="13" t="s">
        <v>943</v>
      </c>
      <c r="E28" s="13"/>
      <c r="F28" s="13"/>
      <c r="G28" s="13" t="s">
        <v>1287</v>
      </c>
    </row>
    <row r="29" spans="1:7" x14ac:dyDescent="0.25">
      <c r="A29" s="13" t="s">
        <v>3</v>
      </c>
      <c r="B29">
        <v>224472</v>
      </c>
      <c r="C29" s="13" t="s">
        <v>1269</v>
      </c>
      <c r="D29" s="13"/>
      <c r="E29" s="13"/>
      <c r="F29" s="13"/>
      <c r="G29" s="13" t="s">
        <v>947</v>
      </c>
    </row>
    <row r="30" spans="1:7" x14ac:dyDescent="0.25">
      <c r="A30" s="13" t="s">
        <v>3</v>
      </c>
      <c r="B30">
        <v>133220</v>
      </c>
      <c r="C30" s="13">
        <v>990</v>
      </c>
      <c r="D30" s="13" t="s">
        <v>1461</v>
      </c>
      <c r="E30" s="13"/>
      <c r="F30" s="13"/>
      <c r="G30" s="13" t="s">
        <v>1288</v>
      </c>
    </row>
    <row r="31" spans="1:7" x14ac:dyDescent="0.25">
      <c r="A31" s="13" t="s">
        <v>3</v>
      </c>
      <c r="B31">
        <v>133229</v>
      </c>
      <c r="C31" s="13">
        <v>649</v>
      </c>
      <c r="D31" s="13" t="s">
        <v>911</v>
      </c>
      <c r="E31" s="13"/>
      <c r="F31" s="13"/>
      <c r="G31" s="13" t="s">
        <v>1289</v>
      </c>
    </row>
    <row r="32" spans="1:7" x14ac:dyDescent="0.25">
      <c r="A32" s="13" t="s">
        <v>3</v>
      </c>
      <c r="B32">
        <v>133238</v>
      </c>
      <c r="C32" s="13">
        <v>990</v>
      </c>
      <c r="D32" s="13" t="s">
        <v>749</v>
      </c>
      <c r="E32" s="13"/>
      <c r="F32" s="13"/>
      <c r="G32" s="13" t="s">
        <v>1288</v>
      </c>
    </row>
    <row r="33" spans="1:7" x14ac:dyDescent="0.25">
      <c r="A33" s="13" t="s">
        <v>3</v>
      </c>
      <c r="B33">
        <v>133237</v>
      </c>
      <c r="C33" s="13" t="s">
        <v>1269</v>
      </c>
      <c r="D33" s="13"/>
      <c r="E33" s="13"/>
      <c r="F33" s="13"/>
      <c r="G33" s="13" t="s">
        <v>947</v>
      </c>
    </row>
    <row r="34" spans="1:7" x14ac:dyDescent="0.25">
      <c r="A34" s="13" t="s">
        <v>3</v>
      </c>
      <c r="B34">
        <v>139539</v>
      </c>
      <c r="C34" s="13">
        <v>649</v>
      </c>
      <c r="D34" s="13" t="s">
        <v>911</v>
      </c>
      <c r="E34" s="13"/>
      <c r="F34" s="13"/>
      <c r="G34" s="13" t="s">
        <v>1289</v>
      </c>
    </row>
    <row r="35" spans="1:7" x14ac:dyDescent="0.25">
      <c r="A35" s="13" t="s">
        <v>3</v>
      </c>
      <c r="B35">
        <v>224471</v>
      </c>
      <c r="C35" s="13" t="s">
        <v>1269</v>
      </c>
      <c r="D35" s="13"/>
      <c r="E35" s="13"/>
      <c r="F35" s="13"/>
      <c r="G35" s="13" t="s">
        <v>947</v>
      </c>
    </row>
    <row r="36" spans="1:7" x14ac:dyDescent="0.25">
      <c r="A36" s="13" t="s">
        <v>3</v>
      </c>
      <c r="B36">
        <v>133273</v>
      </c>
      <c r="C36" s="13" t="s">
        <v>1269</v>
      </c>
      <c r="D36" s="13"/>
      <c r="E36" s="13"/>
      <c r="F36" s="13"/>
      <c r="G36" s="13" t="s">
        <v>947</v>
      </c>
    </row>
    <row r="37" spans="1:7" x14ac:dyDescent="0.25">
      <c r="A37" s="13" t="s">
        <v>3</v>
      </c>
      <c r="B37">
        <v>133242</v>
      </c>
      <c r="C37" s="13" t="s">
        <v>1269</v>
      </c>
      <c r="D37" s="13"/>
      <c r="E37" s="13"/>
      <c r="F37" s="13"/>
      <c r="G37" s="13" t="s">
        <v>947</v>
      </c>
    </row>
    <row r="38" spans="1:7" x14ac:dyDescent="0.25">
      <c r="A38" s="13" t="s">
        <v>3</v>
      </c>
      <c r="B38">
        <v>133313</v>
      </c>
      <c r="C38" s="13">
        <v>849</v>
      </c>
      <c r="D38" s="13" t="s">
        <v>1456</v>
      </c>
      <c r="E38" s="13"/>
      <c r="F38" s="13"/>
      <c r="G38" s="13" t="s">
        <v>1483</v>
      </c>
    </row>
    <row r="39" spans="1:7" x14ac:dyDescent="0.25">
      <c r="A39" s="13" t="s">
        <v>3</v>
      </c>
      <c r="B39">
        <v>224468</v>
      </c>
      <c r="C39" s="13" t="s">
        <v>1269</v>
      </c>
      <c r="D39" s="13"/>
      <c r="E39" s="13"/>
      <c r="F39" s="13"/>
      <c r="G39" s="13" t="s">
        <v>947</v>
      </c>
    </row>
    <row r="40" spans="1:7" x14ac:dyDescent="0.25">
      <c r="A40" s="13" t="s">
        <v>3</v>
      </c>
      <c r="B40">
        <v>194063</v>
      </c>
      <c r="C40" s="13">
        <v>690</v>
      </c>
      <c r="D40" s="13" t="s">
        <v>912</v>
      </c>
      <c r="E40" s="13"/>
      <c r="F40" s="13"/>
      <c r="G40" s="13" t="s">
        <v>1290</v>
      </c>
    </row>
    <row r="41" spans="1:7" x14ac:dyDescent="0.25">
      <c r="A41" s="13" t="s">
        <v>3</v>
      </c>
      <c r="B41">
        <v>194056</v>
      </c>
      <c r="C41" s="13">
        <v>690</v>
      </c>
      <c r="D41" s="13" t="s">
        <v>913</v>
      </c>
      <c r="E41" s="13"/>
      <c r="F41" s="13"/>
      <c r="G41" s="13" t="s">
        <v>1290</v>
      </c>
    </row>
    <row r="42" spans="1:7" x14ac:dyDescent="0.25">
      <c r="A42" s="13" t="s">
        <v>3</v>
      </c>
      <c r="B42">
        <v>194073</v>
      </c>
      <c r="C42" s="13">
        <v>590</v>
      </c>
      <c r="D42" s="13" t="s">
        <v>914</v>
      </c>
      <c r="E42" s="13"/>
      <c r="F42" s="13"/>
      <c r="G42" s="13" t="s">
        <v>1287</v>
      </c>
    </row>
    <row r="43" spans="1:7" x14ac:dyDescent="0.25">
      <c r="A43" s="13" t="s">
        <v>3</v>
      </c>
      <c r="B43">
        <v>194074</v>
      </c>
      <c r="C43" s="13">
        <v>629</v>
      </c>
      <c r="D43" s="13" t="s">
        <v>915</v>
      </c>
      <c r="E43" s="13"/>
      <c r="F43" s="13"/>
      <c r="G43" s="13" t="s">
        <v>1291</v>
      </c>
    </row>
    <row r="44" spans="1:7" x14ac:dyDescent="0.25">
      <c r="A44" s="13" t="s">
        <v>3</v>
      </c>
      <c r="B44">
        <v>133227</v>
      </c>
      <c r="C44" s="13" t="s">
        <v>1269</v>
      </c>
      <c r="D44" s="13"/>
      <c r="E44" s="13"/>
      <c r="F44" s="13"/>
      <c r="G44" s="13" t="s">
        <v>947</v>
      </c>
    </row>
    <row r="45" spans="1:7" x14ac:dyDescent="0.25">
      <c r="A45" s="13" t="s">
        <v>3</v>
      </c>
      <c r="B45">
        <v>133224</v>
      </c>
      <c r="C45" s="13" t="s">
        <v>1269</v>
      </c>
      <c r="D45" s="13"/>
      <c r="E45" s="13"/>
      <c r="F45" s="13"/>
      <c r="G45" s="13" t="s">
        <v>947</v>
      </c>
    </row>
    <row r="46" spans="1:7" x14ac:dyDescent="0.25">
      <c r="A46" s="13" t="s">
        <v>3</v>
      </c>
      <c r="B46">
        <v>194061</v>
      </c>
      <c r="C46" s="13">
        <v>590</v>
      </c>
      <c r="D46" s="13" t="s">
        <v>916</v>
      </c>
      <c r="E46" s="13"/>
      <c r="F46" s="13"/>
      <c r="G46" s="13" t="s">
        <v>1287</v>
      </c>
    </row>
    <row r="47" spans="1:7" x14ac:dyDescent="0.25">
      <c r="A47" s="13" t="s">
        <v>3</v>
      </c>
      <c r="B47">
        <v>194064</v>
      </c>
      <c r="C47" s="13">
        <v>990</v>
      </c>
      <c r="D47" s="13" t="s">
        <v>917</v>
      </c>
      <c r="E47" s="13"/>
      <c r="F47" s="13"/>
      <c r="G47" s="13" t="s">
        <v>1288</v>
      </c>
    </row>
    <row r="48" spans="1:7" x14ac:dyDescent="0.25">
      <c r="A48" s="13" t="s">
        <v>3</v>
      </c>
      <c r="B48">
        <v>224467</v>
      </c>
      <c r="C48" s="13" t="s">
        <v>1269</v>
      </c>
      <c r="D48" s="13"/>
      <c r="E48" s="13"/>
      <c r="F48" s="13"/>
      <c r="G48" s="13" t="s">
        <v>947</v>
      </c>
    </row>
    <row r="49" spans="1:7" x14ac:dyDescent="0.25">
      <c r="A49" s="13" t="s">
        <v>3</v>
      </c>
      <c r="B49">
        <v>133241</v>
      </c>
      <c r="C49" s="13" t="s">
        <v>1269</v>
      </c>
      <c r="D49" s="13"/>
      <c r="E49" s="13"/>
      <c r="F49" s="13"/>
      <c r="G49" s="13" t="s">
        <v>947</v>
      </c>
    </row>
    <row r="50" spans="1:7" x14ac:dyDescent="0.25">
      <c r="A50" s="13" t="s">
        <v>3</v>
      </c>
      <c r="B50">
        <v>133236</v>
      </c>
      <c r="C50" s="13" t="s">
        <v>1269</v>
      </c>
      <c r="D50" s="13"/>
      <c r="E50" s="13"/>
      <c r="F50" s="13"/>
      <c r="G50" s="13" t="s">
        <v>947</v>
      </c>
    </row>
    <row r="51" spans="1:7" x14ac:dyDescent="0.25">
      <c r="A51" s="13" t="s">
        <v>3</v>
      </c>
      <c r="B51">
        <v>117296</v>
      </c>
      <c r="C51" s="13">
        <v>690</v>
      </c>
      <c r="D51" s="13" t="s">
        <v>918</v>
      </c>
      <c r="E51" s="13"/>
      <c r="F51" s="13"/>
      <c r="G51" s="13" t="s">
        <v>1290</v>
      </c>
    </row>
    <row r="52" spans="1:7" x14ac:dyDescent="0.25">
      <c r="A52" s="13" t="s">
        <v>3</v>
      </c>
      <c r="B52">
        <v>133275</v>
      </c>
      <c r="C52" s="13" t="s">
        <v>1269</v>
      </c>
      <c r="D52" s="13"/>
      <c r="E52" s="13"/>
      <c r="F52" s="13"/>
      <c r="G52" s="13" t="s">
        <v>947</v>
      </c>
    </row>
    <row r="53" spans="1:7" x14ac:dyDescent="0.25">
      <c r="A53" s="13" t="s">
        <v>3</v>
      </c>
      <c r="B53">
        <v>133239</v>
      </c>
      <c r="C53" s="13" t="s">
        <v>1269</v>
      </c>
      <c r="D53" s="13"/>
      <c r="E53" s="13"/>
      <c r="F53" s="13"/>
      <c r="G53" s="13" t="s">
        <v>947</v>
      </c>
    </row>
    <row r="54" spans="1:7" x14ac:dyDescent="0.25">
      <c r="A54" s="13" t="s">
        <v>3</v>
      </c>
      <c r="B54">
        <v>133226</v>
      </c>
      <c r="C54" s="13">
        <v>749</v>
      </c>
      <c r="D54" s="13" t="s">
        <v>919</v>
      </c>
      <c r="E54" s="13"/>
      <c r="F54" s="13"/>
      <c r="G54" s="13" t="s">
        <v>1292</v>
      </c>
    </row>
    <row r="55" spans="1:7" x14ac:dyDescent="0.25">
      <c r="A55" s="13" t="s">
        <v>3</v>
      </c>
      <c r="B55">
        <v>133230</v>
      </c>
      <c r="C55" s="13" t="s">
        <v>1269</v>
      </c>
      <c r="D55" s="13"/>
      <c r="E55" s="13"/>
      <c r="F55" s="13"/>
      <c r="G55" s="13" t="s">
        <v>947</v>
      </c>
    </row>
    <row r="56" spans="1:7" x14ac:dyDescent="0.25">
      <c r="A56" s="13" t="s">
        <v>3</v>
      </c>
      <c r="B56">
        <v>133231</v>
      </c>
      <c r="C56" s="13" t="s">
        <v>1269</v>
      </c>
      <c r="D56" s="13"/>
      <c r="E56" s="13"/>
      <c r="F56" s="13"/>
      <c r="G56" s="13" t="s">
        <v>947</v>
      </c>
    </row>
    <row r="57" spans="1:7" x14ac:dyDescent="0.25">
      <c r="A57" s="13" t="s">
        <v>3</v>
      </c>
      <c r="B57">
        <v>133234</v>
      </c>
      <c r="C57" s="13">
        <v>745</v>
      </c>
      <c r="D57" s="13" t="s">
        <v>1462</v>
      </c>
      <c r="E57" s="13"/>
      <c r="F57" s="13"/>
      <c r="G57" s="13" t="s">
        <v>1294</v>
      </c>
    </row>
    <row r="58" spans="1:7" x14ac:dyDescent="0.25">
      <c r="A58" s="13" t="s">
        <v>3</v>
      </c>
      <c r="B58">
        <v>133235</v>
      </c>
      <c r="C58" s="13" t="s">
        <v>1269</v>
      </c>
      <c r="D58" s="13"/>
      <c r="E58" s="13"/>
      <c r="F58" s="13"/>
      <c r="G58" s="13" t="s">
        <v>947</v>
      </c>
    </row>
    <row r="59" spans="1:7" x14ac:dyDescent="0.25">
      <c r="A59" s="13" t="s">
        <v>3</v>
      </c>
      <c r="B59">
        <v>133244</v>
      </c>
      <c r="C59" s="13" t="s">
        <v>1269</v>
      </c>
      <c r="D59" s="13"/>
      <c r="E59" s="13"/>
      <c r="F59" s="13"/>
      <c r="G59" s="13" t="s">
        <v>947</v>
      </c>
    </row>
    <row r="60" spans="1:7" x14ac:dyDescent="0.25">
      <c r="A60" s="13" t="s">
        <v>3</v>
      </c>
      <c r="B60">
        <v>133277</v>
      </c>
      <c r="C60" s="13" t="s">
        <v>1269</v>
      </c>
      <c r="D60" s="13"/>
      <c r="E60" s="13"/>
      <c r="F60" s="13"/>
      <c r="G60" s="13" t="s">
        <v>947</v>
      </c>
    </row>
    <row r="61" spans="1:7" x14ac:dyDescent="0.25">
      <c r="A61" s="13" t="s">
        <v>3</v>
      </c>
      <c r="B61">
        <v>133233</v>
      </c>
      <c r="C61" s="13" t="s">
        <v>1269</v>
      </c>
      <c r="D61" s="13"/>
      <c r="E61" s="13"/>
      <c r="F61" s="13"/>
      <c r="G61" s="13" t="s">
        <v>947</v>
      </c>
    </row>
    <row r="62" spans="1:7" x14ac:dyDescent="0.25">
      <c r="A62" s="13" t="s">
        <v>3</v>
      </c>
      <c r="B62">
        <v>201783</v>
      </c>
      <c r="C62" s="13">
        <v>690</v>
      </c>
      <c r="D62" s="13" t="s">
        <v>739</v>
      </c>
      <c r="E62" s="13"/>
      <c r="F62" s="13"/>
      <c r="G62" s="13" t="s">
        <v>1290</v>
      </c>
    </row>
    <row r="63" spans="1:7" x14ac:dyDescent="0.25">
      <c r="A63" s="13" t="s">
        <v>3</v>
      </c>
      <c r="B63">
        <v>133314</v>
      </c>
      <c r="C63" s="13">
        <v>949</v>
      </c>
      <c r="D63" s="13" t="s">
        <v>1455</v>
      </c>
      <c r="E63" s="13"/>
      <c r="F63" s="13"/>
      <c r="G63" s="13" t="s">
        <v>1484</v>
      </c>
    </row>
    <row r="64" spans="1:7" x14ac:dyDescent="0.25">
      <c r="A64" s="13" t="s">
        <v>3</v>
      </c>
      <c r="B64">
        <v>223080</v>
      </c>
      <c r="C64" s="13" t="s">
        <v>1269</v>
      </c>
      <c r="D64" s="13"/>
      <c r="E64" s="13"/>
      <c r="F64" s="13"/>
      <c r="G64" s="13" t="s">
        <v>947</v>
      </c>
    </row>
    <row r="65" spans="1:7" x14ac:dyDescent="0.25">
      <c r="A65" s="13" t="s">
        <v>3</v>
      </c>
      <c r="B65">
        <v>223088</v>
      </c>
      <c r="C65" s="13" t="s">
        <v>1269</v>
      </c>
      <c r="D65" s="13"/>
      <c r="E65" s="13"/>
      <c r="F65" s="13"/>
      <c r="G65" s="13" t="s">
        <v>947</v>
      </c>
    </row>
    <row r="66" spans="1:7" x14ac:dyDescent="0.25">
      <c r="A66" s="13" t="s">
        <v>3</v>
      </c>
      <c r="B66">
        <v>133253</v>
      </c>
      <c r="C66" s="13" t="s">
        <v>1269</v>
      </c>
      <c r="D66" s="13"/>
      <c r="E66" s="13"/>
      <c r="F66" s="13"/>
      <c r="G66" s="13" t="s">
        <v>947</v>
      </c>
    </row>
    <row r="67" spans="1:7" x14ac:dyDescent="0.25">
      <c r="A67" s="13" t="s">
        <v>3</v>
      </c>
      <c r="B67">
        <v>133245</v>
      </c>
      <c r="C67" s="13" t="s">
        <v>1269</v>
      </c>
      <c r="D67" s="13"/>
      <c r="E67" s="13"/>
      <c r="F67" s="13"/>
      <c r="G67" s="13" t="s">
        <v>947</v>
      </c>
    </row>
    <row r="68" spans="1:7" x14ac:dyDescent="0.25">
      <c r="A68" s="13" t="s">
        <v>3</v>
      </c>
      <c r="B68">
        <v>133249</v>
      </c>
      <c r="C68" s="13" t="s">
        <v>1269</v>
      </c>
      <c r="D68" s="13"/>
      <c r="E68" s="13"/>
      <c r="F68" s="13"/>
      <c r="G68" s="13" t="s">
        <v>947</v>
      </c>
    </row>
    <row r="69" spans="1:7" x14ac:dyDescent="0.25">
      <c r="A69" s="13" t="s">
        <v>3</v>
      </c>
      <c r="B69">
        <v>133254</v>
      </c>
      <c r="C69" s="13" t="s">
        <v>1269</v>
      </c>
      <c r="D69" s="13"/>
      <c r="E69" s="13"/>
      <c r="F69" s="13"/>
      <c r="G69" s="13" t="s">
        <v>947</v>
      </c>
    </row>
    <row r="70" spans="1:7" x14ac:dyDescent="0.25">
      <c r="A70" s="13" t="s">
        <v>3</v>
      </c>
      <c r="B70">
        <v>133256</v>
      </c>
      <c r="C70" s="13" t="s">
        <v>1269</v>
      </c>
      <c r="D70" s="13"/>
      <c r="E70" s="13"/>
      <c r="F70" s="13"/>
      <c r="G70" s="13" t="s">
        <v>947</v>
      </c>
    </row>
    <row r="71" spans="1:7" x14ac:dyDescent="0.25">
      <c r="A71" s="13" t="s">
        <v>3</v>
      </c>
      <c r="B71">
        <v>133259</v>
      </c>
      <c r="C71" s="13" t="s">
        <v>1269</v>
      </c>
      <c r="D71" s="13"/>
      <c r="E71" s="13"/>
      <c r="F71" s="13"/>
      <c r="G71" s="13" t="s">
        <v>947</v>
      </c>
    </row>
    <row r="72" spans="1:7" x14ac:dyDescent="0.25">
      <c r="A72" s="13" t="s">
        <v>3</v>
      </c>
      <c r="B72">
        <v>133261</v>
      </c>
      <c r="C72" s="13" t="s">
        <v>1269</v>
      </c>
      <c r="D72" s="13"/>
      <c r="E72" s="13"/>
      <c r="F72" s="13"/>
      <c r="G72" s="13" t="s">
        <v>947</v>
      </c>
    </row>
    <row r="73" spans="1:7" x14ac:dyDescent="0.25">
      <c r="A73" s="13" t="s">
        <v>3</v>
      </c>
      <c r="B73">
        <v>133267</v>
      </c>
      <c r="C73" s="13" t="s">
        <v>1269</v>
      </c>
      <c r="D73" s="13"/>
      <c r="E73" s="13"/>
      <c r="F73" s="13"/>
      <c r="G73" s="13" t="s">
        <v>947</v>
      </c>
    </row>
    <row r="74" spans="1:7" x14ac:dyDescent="0.25">
      <c r="A74" s="13" t="s">
        <v>3</v>
      </c>
      <c r="B74">
        <v>133284</v>
      </c>
      <c r="C74" s="13">
        <v>849</v>
      </c>
      <c r="D74" s="13" t="s">
        <v>1469</v>
      </c>
      <c r="E74" s="13"/>
      <c r="F74" s="13"/>
      <c r="G74" s="13" t="s">
        <v>1483</v>
      </c>
    </row>
    <row r="75" spans="1:7" x14ac:dyDescent="0.25">
      <c r="A75" s="13" t="s">
        <v>3</v>
      </c>
      <c r="B75">
        <v>139540</v>
      </c>
      <c r="C75" s="13">
        <v>590</v>
      </c>
      <c r="D75" s="13" t="s">
        <v>943</v>
      </c>
      <c r="E75" s="13"/>
      <c r="F75" s="13"/>
      <c r="G75" s="13" t="s">
        <v>1287</v>
      </c>
    </row>
    <row r="76" spans="1:7" x14ac:dyDescent="0.25">
      <c r="A76" s="13" t="s">
        <v>3</v>
      </c>
      <c r="B76">
        <v>201781</v>
      </c>
      <c r="C76" s="13">
        <v>790</v>
      </c>
      <c r="D76" s="13" t="s">
        <v>748</v>
      </c>
      <c r="E76" s="13"/>
      <c r="F76" s="13"/>
      <c r="G76" s="13" t="s">
        <v>1293</v>
      </c>
    </row>
    <row r="77" spans="1:7" x14ac:dyDescent="0.25">
      <c r="A77" s="13" t="s">
        <v>3</v>
      </c>
      <c r="B77">
        <v>133312</v>
      </c>
      <c r="C77" s="13">
        <v>990</v>
      </c>
      <c r="D77" s="13" t="s">
        <v>1468</v>
      </c>
      <c r="E77" s="13"/>
      <c r="F77" s="13"/>
      <c r="G77" s="13" t="s">
        <v>1288</v>
      </c>
    </row>
    <row r="78" spans="1:7" x14ac:dyDescent="0.25">
      <c r="A78" s="13" t="s">
        <v>3</v>
      </c>
      <c r="B78">
        <v>224473</v>
      </c>
      <c r="C78" s="13" t="s">
        <v>1269</v>
      </c>
      <c r="D78" s="13"/>
      <c r="E78" s="13"/>
      <c r="F78" s="13"/>
      <c r="G78" s="13" t="s">
        <v>947</v>
      </c>
    </row>
    <row r="79" spans="1:7" x14ac:dyDescent="0.25">
      <c r="A79" s="13" t="s">
        <v>3</v>
      </c>
      <c r="B79">
        <v>224469</v>
      </c>
      <c r="C79" s="13" t="s">
        <v>1269</v>
      </c>
      <c r="D79" s="13"/>
      <c r="E79" s="13"/>
      <c r="F79" s="13"/>
      <c r="G79" s="13" t="s">
        <v>947</v>
      </c>
    </row>
    <row r="80" spans="1:7" x14ac:dyDescent="0.25">
      <c r="A80" s="13" t="s">
        <v>3</v>
      </c>
      <c r="B80">
        <v>224470</v>
      </c>
      <c r="C80" s="13" t="s">
        <v>1269</v>
      </c>
      <c r="D80" s="13"/>
      <c r="E80" s="13"/>
      <c r="F80" s="13"/>
      <c r="G80" s="13" t="s">
        <v>947</v>
      </c>
    </row>
    <row r="81" spans="1:7" x14ac:dyDescent="0.25">
      <c r="A81" s="13" t="s">
        <v>3</v>
      </c>
      <c r="B81">
        <v>223078</v>
      </c>
      <c r="C81" s="13" t="s">
        <v>1269</v>
      </c>
      <c r="D81" s="13"/>
      <c r="E81" s="13"/>
      <c r="F81" s="13"/>
      <c r="G81" s="13" t="s">
        <v>947</v>
      </c>
    </row>
    <row r="82" spans="1:7" x14ac:dyDescent="0.25">
      <c r="A82" s="13" t="s">
        <v>3</v>
      </c>
      <c r="B82">
        <v>158383</v>
      </c>
      <c r="C82" s="13">
        <v>590</v>
      </c>
      <c r="D82" s="13" t="s">
        <v>751</v>
      </c>
      <c r="E82" s="13"/>
      <c r="F82" s="13"/>
      <c r="G82" s="13" t="s">
        <v>1287</v>
      </c>
    </row>
    <row r="83" spans="1:7" x14ac:dyDescent="0.25">
      <c r="A83" s="13" t="s">
        <v>3</v>
      </c>
      <c r="B83">
        <v>133286</v>
      </c>
      <c r="C83" s="13" t="s">
        <v>1269</v>
      </c>
      <c r="D83" s="13"/>
      <c r="E83" s="13"/>
      <c r="F83" s="13"/>
      <c r="G83" s="13" t="s">
        <v>947</v>
      </c>
    </row>
    <row r="84" spans="1:7" x14ac:dyDescent="0.25">
      <c r="A84" s="13" t="s">
        <v>3</v>
      </c>
      <c r="B84">
        <v>133288</v>
      </c>
      <c r="C84" s="13">
        <v>990</v>
      </c>
      <c r="D84" s="13" t="s">
        <v>1466</v>
      </c>
      <c r="E84" s="13"/>
      <c r="F84" s="13"/>
      <c r="G84" s="13" t="s">
        <v>1288</v>
      </c>
    </row>
    <row r="85" spans="1:7" x14ac:dyDescent="0.25">
      <c r="A85" s="13" t="s">
        <v>3</v>
      </c>
      <c r="B85">
        <v>133341</v>
      </c>
      <c r="C85" s="13">
        <v>790</v>
      </c>
      <c r="D85" s="13" t="s">
        <v>1471</v>
      </c>
      <c r="E85" s="13"/>
      <c r="F85" s="13"/>
      <c r="G85" s="13" t="s">
        <v>1293</v>
      </c>
    </row>
    <row r="86" spans="1:7" x14ac:dyDescent="0.25">
      <c r="A86" s="13" t="s">
        <v>3</v>
      </c>
      <c r="B86">
        <v>133342</v>
      </c>
      <c r="C86" s="13">
        <v>1190</v>
      </c>
      <c r="D86" s="13" t="s">
        <v>1472</v>
      </c>
      <c r="E86" s="13"/>
      <c r="F86" s="13"/>
      <c r="G86" s="13" t="s">
        <v>1295</v>
      </c>
    </row>
    <row r="87" spans="1:7" x14ac:dyDescent="0.25">
      <c r="A87" s="13" t="s">
        <v>3</v>
      </c>
      <c r="B87">
        <v>133222</v>
      </c>
      <c r="C87" s="13">
        <v>990</v>
      </c>
      <c r="D87" s="13" t="s">
        <v>1467</v>
      </c>
      <c r="E87" s="13"/>
      <c r="F87" s="13"/>
      <c r="G87" s="13" t="s">
        <v>1288</v>
      </c>
    </row>
    <row r="88" spans="1:7" x14ac:dyDescent="0.25">
      <c r="A88" s="13" t="s">
        <v>3</v>
      </c>
      <c r="B88">
        <v>133243</v>
      </c>
      <c r="C88" s="13" t="s">
        <v>1269</v>
      </c>
      <c r="D88" s="13"/>
      <c r="E88" s="13"/>
      <c r="F88" s="13"/>
      <c r="G88" s="13" t="s">
        <v>947</v>
      </c>
    </row>
    <row r="89" spans="1:7" x14ac:dyDescent="0.25">
      <c r="A89" s="13" t="s">
        <v>3</v>
      </c>
      <c r="B89">
        <v>133246</v>
      </c>
      <c r="C89" s="13" t="s">
        <v>1269</v>
      </c>
      <c r="D89" s="13"/>
      <c r="E89" s="13"/>
      <c r="F89" s="13"/>
      <c r="G89" s="13" t="s">
        <v>947</v>
      </c>
    </row>
    <row r="90" spans="1:7" x14ac:dyDescent="0.25">
      <c r="A90" s="13" t="s">
        <v>3</v>
      </c>
      <c r="B90">
        <v>133272</v>
      </c>
      <c r="C90" s="13" t="s">
        <v>1269</v>
      </c>
      <c r="D90" s="13"/>
      <c r="E90" s="13"/>
      <c r="F90" s="13"/>
      <c r="G90" s="13" t="s">
        <v>947</v>
      </c>
    </row>
    <row r="91" spans="1:7" x14ac:dyDescent="0.25">
      <c r="A91" s="13" t="s">
        <v>3</v>
      </c>
      <c r="B91">
        <v>133232</v>
      </c>
      <c r="C91" s="13">
        <v>990</v>
      </c>
      <c r="D91" s="13" t="s">
        <v>1465</v>
      </c>
      <c r="E91" s="13"/>
      <c r="F91" s="13"/>
      <c r="G91" s="13" t="s">
        <v>1288</v>
      </c>
    </row>
    <row r="92" spans="1:7" x14ac:dyDescent="0.25">
      <c r="A92" s="13" t="s">
        <v>3</v>
      </c>
      <c r="B92">
        <v>133285</v>
      </c>
      <c r="C92" s="13">
        <v>1290</v>
      </c>
      <c r="D92" s="13" t="s">
        <v>1464</v>
      </c>
      <c r="E92" s="13"/>
      <c r="F92" s="13"/>
      <c r="G92" s="13" t="s">
        <v>1485</v>
      </c>
    </row>
    <row r="93" spans="1:7" x14ac:dyDescent="0.25">
      <c r="A93" s="13" t="s">
        <v>3</v>
      </c>
      <c r="B93">
        <v>193605</v>
      </c>
      <c r="C93" s="13">
        <v>890</v>
      </c>
      <c r="D93" s="13" t="s">
        <v>1363</v>
      </c>
      <c r="E93" s="13"/>
      <c r="F93" s="13"/>
      <c r="G93" s="13" t="s">
        <v>1486</v>
      </c>
    </row>
    <row r="94" spans="1:7" x14ac:dyDescent="0.25">
      <c r="A94" s="13" t="s">
        <v>3</v>
      </c>
      <c r="B94">
        <v>223077</v>
      </c>
      <c r="C94" s="13" t="s">
        <v>1269</v>
      </c>
      <c r="D94" s="13"/>
      <c r="E94" s="13"/>
      <c r="F94" s="13"/>
      <c r="G94" s="13" t="s">
        <v>947</v>
      </c>
    </row>
    <row r="95" spans="1:7" x14ac:dyDescent="0.25">
      <c r="A95" s="13" t="s">
        <v>3</v>
      </c>
      <c r="B95">
        <v>117271</v>
      </c>
      <c r="C95" s="13">
        <v>529</v>
      </c>
      <c r="D95" s="13" t="s">
        <v>1454</v>
      </c>
      <c r="E95" s="13"/>
      <c r="F95" s="13"/>
      <c r="G95" s="13" t="s">
        <v>1487</v>
      </c>
    </row>
    <row r="96" spans="1:7" x14ac:dyDescent="0.25">
      <c r="A96" s="13" t="s">
        <v>3</v>
      </c>
      <c r="B96">
        <v>117279</v>
      </c>
      <c r="C96" s="13">
        <v>590</v>
      </c>
      <c r="D96" s="13" t="s">
        <v>1453</v>
      </c>
      <c r="E96" s="13"/>
      <c r="F96" s="13"/>
      <c r="G96" s="13" t="s">
        <v>1287</v>
      </c>
    </row>
    <row r="97" spans="1:7" x14ac:dyDescent="0.25">
      <c r="A97" s="13" t="s">
        <v>3</v>
      </c>
      <c r="B97">
        <v>194077</v>
      </c>
      <c r="C97" s="13">
        <v>590</v>
      </c>
      <c r="D97" s="13" t="s">
        <v>1452</v>
      </c>
      <c r="E97" s="13"/>
      <c r="F97" s="13"/>
      <c r="G97" s="13" t="s">
        <v>1287</v>
      </c>
    </row>
    <row r="98" spans="1:7" x14ac:dyDescent="0.25">
      <c r="A98" s="13" t="s">
        <v>3</v>
      </c>
      <c r="B98">
        <v>133251</v>
      </c>
      <c r="C98" s="13" t="s">
        <v>1269</v>
      </c>
      <c r="D98" s="13"/>
      <c r="E98" s="13"/>
      <c r="F98" s="13"/>
      <c r="G98" s="13" t="s">
        <v>947</v>
      </c>
    </row>
    <row r="99" spans="1:7" x14ac:dyDescent="0.25">
      <c r="A99" s="13" t="s">
        <v>3</v>
      </c>
      <c r="B99">
        <v>193611</v>
      </c>
      <c r="C99" s="13">
        <v>890</v>
      </c>
      <c r="D99" s="13" t="s">
        <v>1434</v>
      </c>
      <c r="E99" s="13"/>
      <c r="F99" s="13"/>
      <c r="G99" s="13" t="s">
        <v>1486</v>
      </c>
    </row>
    <row r="100" spans="1:7" x14ac:dyDescent="0.25">
      <c r="A100" s="13" t="s">
        <v>3</v>
      </c>
      <c r="B100">
        <v>213581</v>
      </c>
      <c r="C100" s="13">
        <v>845</v>
      </c>
      <c r="D100" s="13" t="s">
        <v>1451</v>
      </c>
      <c r="E100" s="13"/>
      <c r="F100" s="13"/>
      <c r="G100" s="13" t="s">
        <v>1488</v>
      </c>
    </row>
    <row r="101" spans="1:7" x14ac:dyDescent="0.25">
      <c r="A101" s="13" t="s">
        <v>3</v>
      </c>
      <c r="B101">
        <v>194092</v>
      </c>
      <c r="C101" s="13">
        <v>590</v>
      </c>
      <c r="D101" s="13" t="s">
        <v>1448</v>
      </c>
      <c r="E101" s="13"/>
      <c r="F101" s="13"/>
      <c r="G101" s="13" t="s">
        <v>1287</v>
      </c>
    </row>
    <row r="102" spans="1:7" x14ac:dyDescent="0.25">
      <c r="A102" s="13" t="s">
        <v>3</v>
      </c>
      <c r="B102">
        <v>117277</v>
      </c>
      <c r="C102" s="13">
        <v>590</v>
      </c>
      <c r="D102" s="13" t="s">
        <v>1449</v>
      </c>
      <c r="E102" s="13"/>
      <c r="F102" s="13"/>
      <c r="G102" s="13" t="s">
        <v>1287</v>
      </c>
    </row>
    <row r="103" spans="1:7" x14ac:dyDescent="0.25">
      <c r="A103" s="13" t="s">
        <v>3</v>
      </c>
      <c r="B103">
        <v>117292</v>
      </c>
      <c r="C103" s="13">
        <v>529</v>
      </c>
      <c r="D103" s="13" t="s">
        <v>1447</v>
      </c>
      <c r="E103" s="13"/>
      <c r="F103" s="13"/>
      <c r="G103" s="13" t="s">
        <v>1487</v>
      </c>
    </row>
    <row r="104" spans="1:7" x14ac:dyDescent="0.25">
      <c r="A104" s="13" t="s">
        <v>3</v>
      </c>
      <c r="B104">
        <v>194091</v>
      </c>
      <c r="C104" s="13" t="s">
        <v>1446</v>
      </c>
      <c r="D104" s="13" t="s">
        <v>1445</v>
      </c>
      <c r="E104" s="13"/>
      <c r="F104" s="13"/>
      <c r="G104" s="13" t="s">
        <v>1489</v>
      </c>
    </row>
    <row r="105" spans="1:7" x14ac:dyDescent="0.25">
      <c r="A105" s="13" t="s">
        <v>3</v>
      </c>
      <c r="B105">
        <v>223109</v>
      </c>
      <c r="C105" s="13" t="s">
        <v>1269</v>
      </c>
      <c r="D105" s="13"/>
      <c r="E105" s="13"/>
      <c r="F105" s="13"/>
      <c r="G105" s="13" t="s">
        <v>947</v>
      </c>
    </row>
    <row r="106" spans="1:7" x14ac:dyDescent="0.25">
      <c r="A106" s="13" t="s">
        <v>3</v>
      </c>
      <c r="B106">
        <v>223111</v>
      </c>
      <c r="C106" s="13" t="s">
        <v>1269</v>
      </c>
      <c r="D106" s="13"/>
      <c r="E106" s="13"/>
      <c r="F106" s="13"/>
      <c r="G106" s="13" t="s">
        <v>947</v>
      </c>
    </row>
    <row r="107" spans="1:7" x14ac:dyDescent="0.25">
      <c r="A107" s="13" t="s">
        <v>3</v>
      </c>
      <c r="B107">
        <v>213628</v>
      </c>
      <c r="C107" s="13"/>
      <c r="D107" s="13"/>
      <c r="E107" s="13"/>
      <c r="F107" s="13"/>
      <c r="G107" s="13" t="s">
        <v>947</v>
      </c>
    </row>
    <row r="108" spans="1:7" x14ac:dyDescent="0.25">
      <c r="A108" s="13" t="s">
        <v>3</v>
      </c>
      <c r="B108">
        <v>133283</v>
      </c>
      <c r="C108" s="13">
        <v>990</v>
      </c>
      <c r="D108" s="13" t="s">
        <v>1450</v>
      </c>
      <c r="E108" s="13"/>
      <c r="F108" s="13"/>
      <c r="G108" s="13" t="s">
        <v>1288</v>
      </c>
    </row>
    <row r="109" spans="1:7" x14ac:dyDescent="0.25">
      <c r="A109" s="13" t="s">
        <v>3</v>
      </c>
      <c r="B109">
        <v>223061</v>
      </c>
      <c r="C109" s="13" t="s">
        <v>1269</v>
      </c>
      <c r="D109" s="13"/>
      <c r="E109" s="13"/>
      <c r="F109" s="13"/>
      <c r="G109" s="13" t="s">
        <v>947</v>
      </c>
    </row>
    <row r="110" spans="1:7" x14ac:dyDescent="0.25">
      <c r="A110" s="13" t="s">
        <v>3</v>
      </c>
      <c r="B110">
        <v>194093</v>
      </c>
      <c r="C110" s="13">
        <v>529</v>
      </c>
      <c r="D110" s="13" t="s">
        <v>1444</v>
      </c>
      <c r="E110" s="13"/>
      <c r="F110" s="13"/>
      <c r="G110" s="13" t="s">
        <v>1487</v>
      </c>
    </row>
    <row r="111" spans="1:7" x14ac:dyDescent="0.25">
      <c r="A111" s="13" t="s">
        <v>3</v>
      </c>
      <c r="B111">
        <v>133316</v>
      </c>
      <c r="C111" s="13">
        <v>749</v>
      </c>
      <c r="D111" s="13" t="s">
        <v>919</v>
      </c>
      <c r="E111" s="13"/>
      <c r="F111" s="13"/>
      <c r="G111" s="13" t="s">
        <v>1292</v>
      </c>
    </row>
    <row r="112" spans="1:7" x14ac:dyDescent="0.25">
      <c r="A112" s="13" t="s">
        <v>3</v>
      </c>
      <c r="B112">
        <v>213631</v>
      </c>
      <c r="C112" s="13"/>
      <c r="D112" s="13"/>
      <c r="E112" s="13"/>
      <c r="F112" s="13"/>
      <c r="G112" s="13" t="s">
        <v>947</v>
      </c>
    </row>
    <row r="113" spans="1:7" x14ac:dyDescent="0.25">
      <c r="A113" s="13" t="s">
        <v>3</v>
      </c>
      <c r="B113">
        <v>213629</v>
      </c>
      <c r="C113" s="13"/>
      <c r="D113" s="13"/>
      <c r="E113" s="13"/>
      <c r="F113" s="13"/>
      <c r="G113" s="13" t="s">
        <v>947</v>
      </c>
    </row>
    <row r="114" spans="1:7" x14ac:dyDescent="0.25">
      <c r="A114" s="13" t="s">
        <v>3</v>
      </c>
      <c r="B114">
        <v>193597</v>
      </c>
      <c r="C114" s="13">
        <v>990</v>
      </c>
      <c r="D114" s="13" t="s">
        <v>1433</v>
      </c>
      <c r="E114" s="13"/>
      <c r="F114" s="13"/>
      <c r="G114" s="13" t="s">
        <v>1288</v>
      </c>
    </row>
    <row r="115" spans="1:7" x14ac:dyDescent="0.25">
      <c r="A115" s="13" t="s">
        <v>3</v>
      </c>
      <c r="B115">
        <v>223085</v>
      </c>
      <c r="C115" s="13" t="s">
        <v>1269</v>
      </c>
      <c r="D115" s="13"/>
      <c r="E115" s="13"/>
      <c r="F115" s="13"/>
      <c r="G115" s="13" t="s">
        <v>947</v>
      </c>
    </row>
    <row r="116" spans="1:7" x14ac:dyDescent="0.25">
      <c r="A116" s="13" t="s">
        <v>3</v>
      </c>
      <c r="B116">
        <v>223096</v>
      </c>
      <c r="C116" s="13" t="s">
        <v>1269</v>
      </c>
      <c r="D116" s="13"/>
      <c r="E116" s="13"/>
      <c r="F116" s="13"/>
      <c r="G116" s="13" t="s">
        <v>947</v>
      </c>
    </row>
    <row r="117" spans="1:7" x14ac:dyDescent="0.25">
      <c r="A117" s="13" t="s">
        <v>3</v>
      </c>
      <c r="B117">
        <v>223112</v>
      </c>
      <c r="C117" s="13" t="s">
        <v>1269</v>
      </c>
      <c r="D117" s="13"/>
      <c r="E117" s="13"/>
      <c r="F117" s="13"/>
      <c r="G117" s="13" t="s">
        <v>947</v>
      </c>
    </row>
    <row r="118" spans="1:7" x14ac:dyDescent="0.25">
      <c r="A118" s="13" t="s">
        <v>3</v>
      </c>
      <c r="B118">
        <v>133268</v>
      </c>
      <c r="C118" s="13" t="s">
        <v>1269</v>
      </c>
      <c r="D118" s="13"/>
      <c r="E118" s="13"/>
      <c r="F118" s="13"/>
      <c r="G118" s="13" t="s">
        <v>947</v>
      </c>
    </row>
    <row r="119" spans="1:7" x14ac:dyDescent="0.25">
      <c r="A119" s="13" t="s">
        <v>3</v>
      </c>
      <c r="B119">
        <v>133266</v>
      </c>
      <c r="C119" s="13" t="s">
        <v>1269</v>
      </c>
      <c r="D119" s="13"/>
      <c r="E119" s="13"/>
      <c r="F119" s="13"/>
      <c r="G119" s="13" t="s">
        <v>947</v>
      </c>
    </row>
    <row r="120" spans="1:7" x14ac:dyDescent="0.25">
      <c r="A120" s="13" t="s">
        <v>3</v>
      </c>
      <c r="B120">
        <v>223110</v>
      </c>
      <c r="C120" s="13" t="s">
        <v>1269</v>
      </c>
      <c r="D120" s="13"/>
      <c r="E120" s="13"/>
      <c r="F120" s="13"/>
      <c r="G120" s="13" t="s">
        <v>947</v>
      </c>
    </row>
    <row r="121" spans="1:7" x14ac:dyDescent="0.25">
      <c r="A121" s="13" t="s">
        <v>3</v>
      </c>
      <c r="B121">
        <v>133344</v>
      </c>
      <c r="C121" s="13" t="s">
        <v>1269</v>
      </c>
      <c r="D121" s="13"/>
      <c r="E121" s="13"/>
      <c r="F121" s="13"/>
      <c r="G121" s="13" t="s">
        <v>947</v>
      </c>
    </row>
    <row r="122" spans="1:7" x14ac:dyDescent="0.25">
      <c r="A122" s="13" t="s">
        <v>3</v>
      </c>
      <c r="B122">
        <v>212189</v>
      </c>
      <c r="C122" s="13" t="s">
        <v>1269</v>
      </c>
      <c r="D122" s="13"/>
      <c r="E122" s="13"/>
      <c r="F122" s="13"/>
      <c r="G122" s="13" t="s">
        <v>947</v>
      </c>
    </row>
    <row r="123" spans="1:7" x14ac:dyDescent="0.25">
      <c r="A123" s="13" t="s">
        <v>3</v>
      </c>
      <c r="B123">
        <v>211459</v>
      </c>
      <c r="C123" s="13" t="s">
        <v>1269</v>
      </c>
      <c r="D123" s="13"/>
      <c r="E123" s="13"/>
      <c r="F123" s="13"/>
      <c r="G123" s="13" t="s">
        <v>947</v>
      </c>
    </row>
    <row r="124" spans="1:7" x14ac:dyDescent="0.25">
      <c r="A124" s="13" t="s">
        <v>3</v>
      </c>
      <c r="B124">
        <v>211480</v>
      </c>
      <c r="C124" s="13" t="s">
        <v>1269</v>
      </c>
      <c r="D124" s="13"/>
      <c r="E124" s="13"/>
      <c r="F124" s="13"/>
      <c r="G124" s="13" t="s">
        <v>947</v>
      </c>
    </row>
    <row r="125" spans="1:7" x14ac:dyDescent="0.25">
      <c r="A125" s="13" t="s">
        <v>3</v>
      </c>
      <c r="B125">
        <v>217246</v>
      </c>
      <c r="C125" s="13" t="s">
        <v>1269</v>
      </c>
      <c r="D125" s="13"/>
      <c r="E125" s="13"/>
      <c r="F125" s="13"/>
      <c r="G125" s="13" t="s">
        <v>947</v>
      </c>
    </row>
    <row r="126" spans="1:7" x14ac:dyDescent="0.25">
      <c r="A126" s="13" t="s">
        <v>3</v>
      </c>
      <c r="B126">
        <v>213586</v>
      </c>
      <c r="C126" s="13">
        <v>1490</v>
      </c>
      <c r="D126" s="13" t="s">
        <v>1443</v>
      </c>
      <c r="E126" s="13"/>
      <c r="F126" s="13"/>
      <c r="G126" s="13" t="s">
        <v>1294</v>
      </c>
    </row>
    <row r="127" spans="1:7" x14ac:dyDescent="0.25">
      <c r="A127" s="13" t="s">
        <v>3</v>
      </c>
      <c r="B127">
        <v>133264</v>
      </c>
      <c r="C127" s="13" t="s">
        <v>1269</v>
      </c>
      <c r="D127" s="13"/>
      <c r="E127" s="13"/>
      <c r="F127" s="13"/>
      <c r="G127" s="13" t="s">
        <v>947</v>
      </c>
    </row>
    <row r="128" spans="1:7" x14ac:dyDescent="0.25">
      <c r="A128" s="13" t="s">
        <v>3</v>
      </c>
      <c r="B128">
        <v>133260</v>
      </c>
      <c r="C128" s="13" t="s">
        <v>1269</v>
      </c>
      <c r="D128" s="13"/>
      <c r="E128" s="13"/>
      <c r="F128" s="13"/>
      <c r="G128" s="13" t="s">
        <v>947</v>
      </c>
    </row>
    <row r="129" spans="1:7" x14ac:dyDescent="0.25">
      <c r="A129" s="13" t="s">
        <v>3</v>
      </c>
      <c r="B129">
        <v>133257</v>
      </c>
      <c r="C129" s="13" t="s">
        <v>1269</v>
      </c>
      <c r="D129" s="13"/>
      <c r="E129" s="13"/>
      <c r="F129" s="13"/>
      <c r="G129" s="13" t="s">
        <v>947</v>
      </c>
    </row>
    <row r="130" spans="1:7" x14ac:dyDescent="0.25">
      <c r="A130" s="13" t="s">
        <v>3</v>
      </c>
      <c r="B130">
        <v>133262</v>
      </c>
      <c r="C130" s="13" t="s">
        <v>1269</v>
      </c>
      <c r="D130" s="13"/>
      <c r="E130" s="13"/>
      <c r="F130" s="13"/>
      <c r="G130" s="13" t="s">
        <v>947</v>
      </c>
    </row>
    <row r="131" spans="1:7" x14ac:dyDescent="0.25">
      <c r="A131" s="13" t="s">
        <v>3</v>
      </c>
      <c r="B131">
        <v>213630</v>
      </c>
      <c r="C131" s="13"/>
      <c r="D131" s="13"/>
      <c r="E131" s="13"/>
      <c r="F131" s="13"/>
      <c r="G131" s="13" t="s">
        <v>947</v>
      </c>
    </row>
    <row r="132" spans="1:7" x14ac:dyDescent="0.25">
      <c r="A132" s="13" t="s">
        <v>3</v>
      </c>
      <c r="B132">
        <v>138486</v>
      </c>
      <c r="C132" s="13">
        <v>1399</v>
      </c>
      <c r="D132" s="13" t="s">
        <v>1442</v>
      </c>
      <c r="E132" s="13"/>
      <c r="F132" s="13"/>
      <c r="G132" s="13" t="s">
        <v>1490</v>
      </c>
    </row>
    <row r="133" spans="1:7" x14ac:dyDescent="0.25">
      <c r="A133" s="13" t="s">
        <v>3</v>
      </c>
      <c r="B133">
        <v>223079</v>
      </c>
      <c r="C133" s="13" t="s">
        <v>1269</v>
      </c>
      <c r="D133" s="13"/>
      <c r="E133" s="13"/>
      <c r="F133" s="13"/>
      <c r="G133" s="13" t="s">
        <v>947</v>
      </c>
    </row>
    <row r="134" spans="1:7" x14ac:dyDescent="0.25">
      <c r="A134" s="13" t="s">
        <v>3</v>
      </c>
      <c r="B134">
        <v>223095</v>
      </c>
      <c r="C134" s="13" t="s">
        <v>1269</v>
      </c>
      <c r="D134" s="13"/>
      <c r="E134" s="13"/>
      <c r="F134" s="13"/>
      <c r="G134" s="13" t="s">
        <v>947</v>
      </c>
    </row>
    <row r="135" spans="1:7" x14ac:dyDescent="0.25">
      <c r="A135" s="13" t="s">
        <v>3</v>
      </c>
      <c r="B135">
        <v>213587</v>
      </c>
      <c r="C135" s="13">
        <v>1190</v>
      </c>
      <c r="D135" s="13" t="s">
        <v>1422</v>
      </c>
      <c r="E135" s="13"/>
      <c r="F135" s="13"/>
      <c r="G135" s="13" t="s">
        <v>1295</v>
      </c>
    </row>
    <row r="136" spans="1:7" x14ac:dyDescent="0.25">
      <c r="A136" s="13" t="s">
        <v>3</v>
      </c>
      <c r="B136">
        <v>223108</v>
      </c>
      <c r="C136" s="13" t="s">
        <v>1269</v>
      </c>
      <c r="D136" s="13"/>
      <c r="E136" s="13"/>
      <c r="F136" s="13"/>
      <c r="G136" s="13" t="s">
        <v>947</v>
      </c>
    </row>
    <row r="137" spans="1:7" x14ac:dyDescent="0.25">
      <c r="A137" s="13" t="s">
        <v>3</v>
      </c>
      <c r="B137">
        <v>211469</v>
      </c>
      <c r="C137" s="13" t="s">
        <v>1269</v>
      </c>
      <c r="D137" s="13"/>
      <c r="E137" s="13"/>
      <c r="F137" s="13"/>
      <c r="G137" s="13" t="s">
        <v>947</v>
      </c>
    </row>
    <row r="138" spans="1:7" x14ac:dyDescent="0.25">
      <c r="A138" s="13" t="s">
        <v>3</v>
      </c>
      <c r="B138">
        <v>211478</v>
      </c>
      <c r="C138" s="13" t="s">
        <v>1269</v>
      </c>
      <c r="D138" s="13"/>
      <c r="E138" s="13"/>
      <c r="F138" s="13"/>
      <c r="G138" s="13" t="s">
        <v>947</v>
      </c>
    </row>
    <row r="139" spans="1:7" x14ac:dyDescent="0.25">
      <c r="A139" s="13" t="s">
        <v>3</v>
      </c>
      <c r="B139">
        <v>211435</v>
      </c>
      <c r="C139" s="13" t="s">
        <v>1269</v>
      </c>
      <c r="D139" s="13"/>
      <c r="E139" s="13"/>
      <c r="F139" s="13"/>
      <c r="G139" s="13" t="s">
        <v>947</v>
      </c>
    </row>
    <row r="140" spans="1:7" x14ac:dyDescent="0.25">
      <c r="A140" s="13" t="s">
        <v>3</v>
      </c>
      <c r="B140">
        <v>211436</v>
      </c>
      <c r="C140" s="13" t="s">
        <v>1269</v>
      </c>
      <c r="D140" s="13"/>
      <c r="E140" s="13"/>
      <c r="F140" s="13"/>
      <c r="G140" s="13" t="s">
        <v>947</v>
      </c>
    </row>
    <row r="141" spans="1:7" x14ac:dyDescent="0.25">
      <c r="A141" s="13" t="s">
        <v>3</v>
      </c>
      <c r="B141">
        <v>211434</v>
      </c>
      <c r="C141" s="13" t="s">
        <v>1269</v>
      </c>
      <c r="D141" s="13"/>
      <c r="E141" s="13"/>
      <c r="F141" s="13"/>
      <c r="G141" s="13" t="s">
        <v>947</v>
      </c>
    </row>
    <row r="142" spans="1:7" x14ac:dyDescent="0.25">
      <c r="A142" s="13" t="s">
        <v>3</v>
      </c>
      <c r="B142">
        <v>223083</v>
      </c>
      <c r="C142" s="13" t="s">
        <v>1269</v>
      </c>
      <c r="D142" s="13"/>
      <c r="E142" s="13"/>
      <c r="F142" s="13"/>
      <c r="G142" s="13" t="s">
        <v>947</v>
      </c>
    </row>
    <row r="143" spans="1:7" x14ac:dyDescent="0.25">
      <c r="A143" s="13" t="s">
        <v>3</v>
      </c>
      <c r="B143">
        <v>223094</v>
      </c>
      <c r="C143" s="13" t="s">
        <v>1269</v>
      </c>
      <c r="D143" s="13"/>
      <c r="E143" s="13"/>
      <c r="F143" s="13"/>
      <c r="G143" s="13" t="s">
        <v>947</v>
      </c>
    </row>
    <row r="144" spans="1:7" x14ac:dyDescent="0.25">
      <c r="A144" s="13" t="s">
        <v>3</v>
      </c>
      <c r="B144">
        <v>211446</v>
      </c>
      <c r="C144" s="13" t="s">
        <v>1269</v>
      </c>
      <c r="D144" s="13"/>
      <c r="E144" s="13"/>
      <c r="F144" s="13"/>
      <c r="G144" s="13" t="s">
        <v>947</v>
      </c>
    </row>
    <row r="145" spans="1:7" x14ac:dyDescent="0.25">
      <c r="A145" s="13" t="s">
        <v>3</v>
      </c>
      <c r="B145">
        <v>211445</v>
      </c>
      <c r="C145" s="13" t="s">
        <v>1269</v>
      </c>
      <c r="D145" s="13"/>
      <c r="E145" s="13"/>
      <c r="F145" s="13"/>
      <c r="G145" s="13" t="s">
        <v>947</v>
      </c>
    </row>
    <row r="146" spans="1:7" x14ac:dyDescent="0.25">
      <c r="A146" s="13" t="s">
        <v>3</v>
      </c>
      <c r="B146">
        <v>211412</v>
      </c>
      <c r="C146" s="13" t="s">
        <v>1269</v>
      </c>
      <c r="D146" s="13"/>
      <c r="E146" s="13"/>
      <c r="F146" s="13"/>
      <c r="G146" s="13" t="s">
        <v>947</v>
      </c>
    </row>
    <row r="147" spans="1:7" x14ac:dyDescent="0.25">
      <c r="A147" s="13" t="s">
        <v>3</v>
      </c>
      <c r="B147">
        <v>133252</v>
      </c>
      <c r="C147" s="13" t="s">
        <v>1269</v>
      </c>
      <c r="D147" s="13"/>
      <c r="E147" s="13"/>
      <c r="F147" s="13"/>
      <c r="G147" s="13" t="s">
        <v>947</v>
      </c>
    </row>
    <row r="148" spans="1:7" x14ac:dyDescent="0.25">
      <c r="A148" s="13" t="s">
        <v>3</v>
      </c>
      <c r="B148">
        <v>133247</v>
      </c>
      <c r="C148" s="13" t="s">
        <v>1269</v>
      </c>
      <c r="D148" s="13"/>
      <c r="E148" s="13"/>
      <c r="F148" s="13"/>
      <c r="G148" s="13" t="s">
        <v>947</v>
      </c>
    </row>
    <row r="149" spans="1:7" x14ac:dyDescent="0.25">
      <c r="A149" s="13" t="s">
        <v>3</v>
      </c>
      <c r="B149">
        <v>133248</v>
      </c>
      <c r="C149" s="13" t="s">
        <v>1269</v>
      </c>
      <c r="D149" s="13"/>
      <c r="E149" s="13"/>
      <c r="F149" s="13"/>
      <c r="G149" s="13" t="s">
        <v>947</v>
      </c>
    </row>
    <row r="150" spans="1:7" x14ac:dyDescent="0.25">
      <c r="A150" s="13" t="s">
        <v>3</v>
      </c>
      <c r="B150">
        <v>201816</v>
      </c>
      <c r="C150" s="13">
        <v>1490</v>
      </c>
      <c r="D150" s="13" t="s">
        <v>833</v>
      </c>
      <c r="E150" s="13"/>
      <c r="F150" s="13"/>
      <c r="G150" s="13" t="s">
        <v>1294</v>
      </c>
    </row>
    <row r="151" spans="1:7" x14ac:dyDescent="0.25">
      <c r="A151" s="13" t="s">
        <v>3</v>
      </c>
      <c r="B151">
        <v>223100</v>
      </c>
      <c r="C151" s="13" t="s">
        <v>1269</v>
      </c>
      <c r="D151" s="13"/>
      <c r="E151" s="13"/>
      <c r="F151" s="13"/>
      <c r="G151" s="13" t="s">
        <v>947</v>
      </c>
    </row>
    <row r="152" spans="1:7" x14ac:dyDescent="0.25">
      <c r="A152" s="13" t="s">
        <v>3</v>
      </c>
      <c r="B152">
        <v>223063</v>
      </c>
      <c r="C152" s="13" t="s">
        <v>1269</v>
      </c>
      <c r="D152" s="13"/>
      <c r="E152" s="13"/>
      <c r="F152" s="13"/>
      <c r="G152" s="13" t="s">
        <v>947</v>
      </c>
    </row>
    <row r="153" spans="1:7" x14ac:dyDescent="0.25">
      <c r="A153" s="13" t="s">
        <v>3</v>
      </c>
      <c r="B153">
        <v>211447</v>
      </c>
      <c r="C153" s="13" t="s">
        <v>1269</v>
      </c>
      <c r="D153" s="13"/>
      <c r="E153" s="13"/>
      <c r="F153" s="13"/>
      <c r="G153" s="13" t="s">
        <v>947</v>
      </c>
    </row>
    <row r="154" spans="1:7" x14ac:dyDescent="0.25">
      <c r="A154" s="13" t="s">
        <v>3</v>
      </c>
      <c r="B154">
        <v>211444</v>
      </c>
      <c r="C154" s="13" t="s">
        <v>1269</v>
      </c>
      <c r="D154" s="13"/>
      <c r="E154" s="13"/>
      <c r="F154" s="13"/>
      <c r="G154" s="13" t="s">
        <v>947</v>
      </c>
    </row>
    <row r="155" spans="1:7" x14ac:dyDescent="0.25">
      <c r="A155" s="13" t="s">
        <v>3</v>
      </c>
      <c r="B155">
        <v>213597</v>
      </c>
      <c r="C155" s="13"/>
      <c r="D155" s="13"/>
      <c r="E155" s="13"/>
      <c r="F155" s="13"/>
      <c r="G155" s="13" t="s">
        <v>947</v>
      </c>
    </row>
    <row r="156" spans="1:7" x14ac:dyDescent="0.25">
      <c r="A156" s="13" t="s">
        <v>3</v>
      </c>
      <c r="B156">
        <v>133269</v>
      </c>
      <c r="C156" s="13" t="s">
        <v>1269</v>
      </c>
      <c r="D156" s="13"/>
      <c r="E156" s="13"/>
      <c r="F156" s="13"/>
      <c r="G156" s="13" t="s">
        <v>947</v>
      </c>
    </row>
    <row r="157" spans="1:7" x14ac:dyDescent="0.25">
      <c r="A157" s="13" t="s">
        <v>3</v>
      </c>
      <c r="B157">
        <v>133274</v>
      </c>
      <c r="C157" s="13" t="s">
        <v>1269</v>
      </c>
      <c r="D157" s="13"/>
      <c r="E157" s="13"/>
      <c r="F157" s="13"/>
      <c r="G157" s="13" t="s">
        <v>947</v>
      </c>
    </row>
    <row r="158" spans="1:7" x14ac:dyDescent="0.25">
      <c r="A158" s="13" t="s">
        <v>3</v>
      </c>
      <c r="B158">
        <v>213599</v>
      </c>
      <c r="C158" s="13"/>
      <c r="D158" s="13"/>
      <c r="E158" s="13"/>
      <c r="F158" s="13"/>
      <c r="G158" s="13" t="s">
        <v>947</v>
      </c>
    </row>
    <row r="159" spans="1:7" x14ac:dyDescent="0.25">
      <c r="A159" s="13" t="s">
        <v>3</v>
      </c>
      <c r="B159">
        <v>201802</v>
      </c>
      <c r="C159" s="13">
        <v>1490</v>
      </c>
      <c r="D159" s="13" t="s">
        <v>835</v>
      </c>
      <c r="E159" s="13"/>
      <c r="F159" s="13"/>
      <c r="G159" s="13" t="s">
        <v>1294</v>
      </c>
    </row>
    <row r="160" spans="1:7" x14ac:dyDescent="0.25">
      <c r="A160" s="13" t="s">
        <v>3</v>
      </c>
      <c r="B160">
        <v>201806</v>
      </c>
      <c r="C160" s="13">
        <v>1490</v>
      </c>
      <c r="D160" s="13" t="s">
        <v>834</v>
      </c>
      <c r="E160" s="13"/>
      <c r="F160" s="13"/>
      <c r="G160" s="13" t="s">
        <v>1294</v>
      </c>
    </row>
    <row r="161" spans="1:7" x14ac:dyDescent="0.25">
      <c r="A161" s="13" t="s">
        <v>3</v>
      </c>
      <c r="B161">
        <v>201778</v>
      </c>
      <c r="C161" s="13">
        <v>1190</v>
      </c>
      <c r="D161" s="13" t="s">
        <v>836</v>
      </c>
      <c r="E161" s="13"/>
      <c r="F161" s="13"/>
      <c r="G161" s="13" t="s">
        <v>1295</v>
      </c>
    </row>
    <row r="162" spans="1:7" x14ac:dyDescent="0.25">
      <c r="A162" s="13" t="s">
        <v>3</v>
      </c>
      <c r="B162">
        <v>212186</v>
      </c>
      <c r="C162" s="13" t="s">
        <v>1269</v>
      </c>
      <c r="D162" s="13"/>
      <c r="E162" s="13"/>
      <c r="F162" s="13"/>
      <c r="G162" s="13" t="s">
        <v>947</v>
      </c>
    </row>
    <row r="163" spans="1:7" x14ac:dyDescent="0.25">
      <c r="A163" s="13" t="s">
        <v>3</v>
      </c>
      <c r="B163">
        <v>211462</v>
      </c>
      <c r="C163" s="13" t="s">
        <v>1269</v>
      </c>
      <c r="D163" s="13"/>
      <c r="E163" s="13"/>
      <c r="F163" s="13"/>
      <c r="G163" s="13" t="s">
        <v>947</v>
      </c>
    </row>
    <row r="164" spans="1:7" x14ac:dyDescent="0.25">
      <c r="A164" s="13" t="s">
        <v>3</v>
      </c>
      <c r="B164">
        <v>211460</v>
      </c>
      <c r="C164" s="13" t="s">
        <v>1269</v>
      </c>
      <c r="D164" s="13"/>
      <c r="E164" s="13"/>
      <c r="F164" s="13"/>
      <c r="G164" s="13" t="s">
        <v>947</v>
      </c>
    </row>
    <row r="165" spans="1:7" x14ac:dyDescent="0.25">
      <c r="A165" s="13" t="s">
        <v>3</v>
      </c>
      <c r="B165">
        <v>138538</v>
      </c>
      <c r="C165" s="13">
        <v>1390</v>
      </c>
      <c r="D165" s="13" t="s">
        <v>1440</v>
      </c>
      <c r="E165" s="13"/>
      <c r="F165" s="13"/>
      <c r="G165" s="13" t="s">
        <v>1296</v>
      </c>
    </row>
    <row r="166" spans="1:7" x14ac:dyDescent="0.25">
      <c r="A166" s="13" t="s">
        <v>3</v>
      </c>
      <c r="B166">
        <v>138487</v>
      </c>
      <c r="C166" s="13">
        <v>1399</v>
      </c>
      <c r="D166" s="13" t="s">
        <v>1441</v>
      </c>
      <c r="E166" s="13"/>
      <c r="F166" s="13"/>
      <c r="G166" s="13" t="s">
        <v>1490</v>
      </c>
    </row>
    <row r="167" spans="1:7" x14ac:dyDescent="0.25">
      <c r="A167" s="13" t="s">
        <v>3</v>
      </c>
      <c r="B167">
        <v>223073</v>
      </c>
      <c r="C167" s="13" t="s">
        <v>1269</v>
      </c>
      <c r="D167" s="13"/>
      <c r="E167" s="13"/>
      <c r="F167" s="13"/>
      <c r="G167" s="13" t="s">
        <v>947</v>
      </c>
    </row>
    <row r="168" spans="1:7" x14ac:dyDescent="0.25">
      <c r="A168" s="13" t="s">
        <v>3</v>
      </c>
      <c r="B168">
        <v>223099</v>
      </c>
      <c r="C168" s="13" t="s">
        <v>1269</v>
      </c>
      <c r="D168" s="13"/>
      <c r="E168" s="13"/>
      <c r="F168" s="13"/>
      <c r="G168" s="13" t="s">
        <v>947</v>
      </c>
    </row>
    <row r="169" spans="1:7" x14ac:dyDescent="0.25">
      <c r="A169" s="13" t="s">
        <v>3</v>
      </c>
      <c r="B169">
        <v>223101</v>
      </c>
      <c r="C169" s="13" t="s">
        <v>1269</v>
      </c>
      <c r="D169" s="13"/>
      <c r="E169" s="13"/>
      <c r="F169" s="13"/>
      <c r="G169" s="13" t="s">
        <v>947</v>
      </c>
    </row>
    <row r="170" spans="1:7" x14ac:dyDescent="0.25">
      <c r="A170" s="13" t="s">
        <v>3</v>
      </c>
      <c r="B170">
        <v>201800</v>
      </c>
      <c r="C170" s="13">
        <v>1490</v>
      </c>
      <c r="D170" s="13" t="s">
        <v>1476</v>
      </c>
      <c r="E170" s="13"/>
      <c r="F170" s="13"/>
      <c r="G170" s="13" t="s">
        <v>947</v>
      </c>
    </row>
    <row r="171" spans="1:7" x14ac:dyDescent="0.25">
      <c r="A171" s="13" t="s">
        <v>3</v>
      </c>
      <c r="B171">
        <v>201784</v>
      </c>
      <c r="C171" s="13">
        <v>1490</v>
      </c>
      <c r="D171" s="13" t="s">
        <v>838</v>
      </c>
      <c r="E171" s="13"/>
      <c r="F171" s="13"/>
      <c r="G171" s="13" t="s">
        <v>1294</v>
      </c>
    </row>
    <row r="172" spans="1:7" x14ac:dyDescent="0.25">
      <c r="A172" s="13" t="s">
        <v>3</v>
      </c>
      <c r="B172">
        <v>201780</v>
      </c>
      <c r="C172" s="13">
        <v>1390</v>
      </c>
      <c r="D172" s="13" t="s">
        <v>839</v>
      </c>
      <c r="E172" s="13"/>
      <c r="F172" s="13"/>
      <c r="G172" s="13" t="s">
        <v>1296</v>
      </c>
    </row>
    <row r="173" spans="1:7" x14ac:dyDescent="0.25">
      <c r="A173" s="13" t="s">
        <v>3</v>
      </c>
      <c r="B173">
        <v>145553</v>
      </c>
      <c r="C173" s="13">
        <v>1790</v>
      </c>
      <c r="D173" s="13" t="s">
        <v>840</v>
      </c>
      <c r="E173" s="13"/>
      <c r="F173" s="13"/>
      <c r="G173" s="13" t="s">
        <v>947</v>
      </c>
    </row>
    <row r="174" spans="1:7" x14ac:dyDescent="0.25">
      <c r="A174" s="13" t="s">
        <v>3</v>
      </c>
      <c r="B174">
        <v>137271</v>
      </c>
      <c r="C174" s="13">
        <v>1390</v>
      </c>
      <c r="D174" s="13" t="s">
        <v>1438</v>
      </c>
      <c r="E174" s="13"/>
      <c r="F174" s="13"/>
      <c r="G174" s="13" t="s">
        <v>1296</v>
      </c>
    </row>
    <row r="175" spans="1:7" x14ac:dyDescent="0.25">
      <c r="A175" s="13" t="s">
        <v>3</v>
      </c>
      <c r="B175">
        <v>137272</v>
      </c>
      <c r="C175" s="13">
        <v>1290</v>
      </c>
      <c r="D175" s="13" t="s">
        <v>1439</v>
      </c>
      <c r="E175" s="13"/>
      <c r="F175" s="13"/>
      <c r="G175" s="13" t="s">
        <v>1485</v>
      </c>
    </row>
    <row r="176" spans="1:7" x14ac:dyDescent="0.25">
      <c r="A176" s="13" t="s">
        <v>3</v>
      </c>
      <c r="B176">
        <v>223086</v>
      </c>
      <c r="C176" s="13" t="s">
        <v>1269</v>
      </c>
      <c r="D176" s="13"/>
      <c r="E176" s="13"/>
      <c r="F176" s="13"/>
      <c r="G176" s="13" t="s">
        <v>947</v>
      </c>
    </row>
    <row r="177" spans="1:7" x14ac:dyDescent="0.25">
      <c r="A177" s="13" t="s">
        <v>3</v>
      </c>
      <c r="B177">
        <v>223072</v>
      </c>
      <c r="C177" s="13" t="s">
        <v>1269</v>
      </c>
      <c r="D177" s="13"/>
      <c r="E177" s="13"/>
      <c r="F177" s="13"/>
      <c r="G177" s="13" t="s">
        <v>947</v>
      </c>
    </row>
    <row r="178" spans="1:7" x14ac:dyDescent="0.25">
      <c r="A178" s="13" t="s">
        <v>3</v>
      </c>
      <c r="B178">
        <v>223103</v>
      </c>
      <c r="C178" s="13" t="s">
        <v>1269</v>
      </c>
      <c r="D178" s="13"/>
      <c r="E178" s="13"/>
      <c r="F178" s="13"/>
      <c r="G178" s="13" t="s">
        <v>947</v>
      </c>
    </row>
    <row r="179" spans="1:7" x14ac:dyDescent="0.25">
      <c r="A179" s="13" t="s">
        <v>3</v>
      </c>
      <c r="B179">
        <v>138545</v>
      </c>
      <c r="C179" s="13" t="s">
        <v>1269</v>
      </c>
      <c r="D179" s="13"/>
      <c r="E179" s="13"/>
      <c r="F179" s="13"/>
      <c r="G179" s="13" t="s">
        <v>947</v>
      </c>
    </row>
    <row r="180" spans="1:7" x14ac:dyDescent="0.25">
      <c r="A180" s="13" t="s">
        <v>3</v>
      </c>
      <c r="B180">
        <v>201777</v>
      </c>
      <c r="C180" s="13">
        <v>1590</v>
      </c>
      <c r="D180" s="13" t="s">
        <v>841</v>
      </c>
      <c r="E180" s="13"/>
      <c r="F180" s="13"/>
      <c r="G180" s="13" t="s">
        <v>1297</v>
      </c>
    </row>
    <row r="181" spans="1:7" x14ac:dyDescent="0.25">
      <c r="A181" s="13" t="s">
        <v>3</v>
      </c>
      <c r="B181">
        <v>211441</v>
      </c>
      <c r="C181" s="13" t="s">
        <v>1269</v>
      </c>
      <c r="D181" s="13"/>
      <c r="E181" s="13"/>
      <c r="F181" s="13"/>
      <c r="G181" s="13" t="s">
        <v>947</v>
      </c>
    </row>
    <row r="182" spans="1:7" x14ac:dyDescent="0.25">
      <c r="A182" s="13" t="s">
        <v>3</v>
      </c>
      <c r="B182">
        <v>211448</v>
      </c>
      <c r="C182" s="13" t="s">
        <v>1269</v>
      </c>
      <c r="D182" s="13"/>
      <c r="E182" s="13"/>
      <c r="F182" s="13"/>
      <c r="G182" s="13" t="s">
        <v>947</v>
      </c>
    </row>
    <row r="183" spans="1:7" x14ac:dyDescent="0.25">
      <c r="A183" s="13" t="s">
        <v>3</v>
      </c>
      <c r="B183">
        <v>211422</v>
      </c>
      <c r="C183" s="13" t="s">
        <v>1269</v>
      </c>
      <c r="D183" s="13"/>
      <c r="E183" s="13"/>
      <c r="F183" s="13"/>
      <c r="G183" s="13" t="s">
        <v>947</v>
      </c>
    </row>
    <row r="184" spans="1:7" x14ac:dyDescent="0.25">
      <c r="A184" s="13" t="s">
        <v>3</v>
      </c>
      <c r="B184">
        <v>211442</v>
      </c>
      <c r="C184" s="13" t="s">
        <v>1269</v>
      </c>
      <c r="D184" s="13"/>
      <c r="E184" s="13"/>
      <c r="F184" s="13"/>
      <c r="G184" s="13" t="s">
        <v>947</v>
      </c>
    </row>
    <row r="185" spans="1:7" x14ac:dyDescent="0.25">
      <c r="A185" s="13" t="s">
        <v>3</v>
      </c>
      <c r="B185">
        <v>211471</v>
      </c>
      <c r="C185" s="13" t="s">
        <v>1269</v>
      </c>
      <c r="D185" s="13"/>
      <c r="E185" s="13"/>
      <c r="F185" s="13"/>
      <c r="G185" s="13" t="s">
        <v>947</v>
      </c>
    </row>
    <row r="186" spans="1:7" x14ac:dyDescent="0.25">
      <c r="A186" s="13" t="s">
        <v>3</v>
      </c>
      <c r="B186">
        <v>211437</v>
      </c>
      <c r="C186" s="13" t="s">
        <v>1269</v>
      </c>
      <c r="D186" s="13"/>
      <c r="E186" s="13"/>
      <c r="F186" s="13"/>
      <c r="G186" s="13" t="s">
        <v>947</v>
      </c>
    </row>
    <row r="187" spans="1:7" x14ac:dyDescent="0.25">
      <c r="A187" s="13" t="s">
        <v>3</v>
      </c>
      <c r="B187">
        <v>138411</v>
      </c>
      <c r="C187" s="13">
        <v>1990</v>
      </c>
      <c r="D187" s="13" t="s">
        <v>1437</v>
      </c>
      <c r="E187" s="13"/>
      <c r="F187" s="13"/>
      <c r="G187" s="13" t="s">
        <v>1300</v>
      </c>
    </row>
    <row r="188" spans="1:7" x14ac:dyDescent="0.25">
      <c r="A188" s="13" t="s">
        <v>3</v>
      </c>
      <c r="B188">
        <v>194416</v>
      </c>
      <c r="C188" s="13">
        <v>1790</v>
      </c>
      <c r="D188" s="13" t="s">
        <v>1436</v>
      </c>
      <c r="E188" s="13"/>
      <c r="F188" s="13"/>
      <c r="G188" s="13" t="s">
        <v>1491</v>
      </c>
    </row>
    <row r="189" spans="1:7" x14ac:dyDescent="0.25">
      <c r="A189" s="13" t="s">
        <v>3</v>
      </c>
      <c r="B189">
        <v>211449</v>
      </c>
      <c r="C189" s="13" t="s">
        <v>1269</v>
      </c>
      <c r="D189" s="13"/>
      <c r="E189" s="13"/>
      <c r="F189" s="13"/>
      <c r="G189" s="13" t="s">
        <v>947</v>
      </c>
    </row>
    <row r="190" spans="1:7" x14ac:dyDescent="0.25">
      <c r="A190" s="13" t="s">
        <v>3</v>
      </c>
      <c r="B190">
        <v>213615</v>
      </c>
      <c r="C190" s="13"/>
      <c r="D190" s="13"/>
      <c r="E190" s="13"/>
      <c r="F190" s="13"/>
      <c r="G190" s="13" t="s">
        <v>947</v>
      </c>
    </row>
    <row r="191" spans="1:7" x14ac:dyDescent="0.25">
      <c r="A191" s="13" t="s">
        <v>3</v>
      </c>
      <c r="B191">
        <v>211411</v>
      </c>
      <c r="C191" s="13" t="s">
        <v>1269</v>
      </c>
      <c r="D191" s="13"/>
      <c r="E191" s="13"/>
      <c r="F191" s="13"/>
      <c r="G191" s="13" t="s">
        <v>947</v>
      </c>
    </row>
    <row r="192" spans="1:7" x14ac:dyDescent="0.25">
      <c r="A192" s="13" t="s">
        <v>3</v>
      </c>
      <c r="B192">
        <v>133287</v>
      </c>
      <c r="C192" s="13" t="s">
        <v>1269</v>
      </c>
      <c r="D192" s="13"/>
      <c r="E192" s="13"/>
      <c r="F192" s="13"/>
      <c r="G192" s="13" t="s">
        <v>947</v>
      </c>
    </row>
    <row r="193" spans="1:7" x14ac:dyDescent="0.25">
      <c r="A193" s="13" t="s">
        <v>3</v>
      </c>
      <c r="B193">
        <v>201793</v>
      </c>
      <c r="C193" s="13">
        <v>1490</v>
      </c>
      <c r="D193" s="13" t="s">
        <v>842</v>
      </c>
      <c r="E193" s="13"/>
      <c r="F193" s="13"/>
      <c r="G193" s="13" t="s">
        <v>1294</v>
      </c>
    </row>
    <row r="194" spans="1:7" x14ac:dyDescent="0.25">
      <c r="A194" s="13" t="s">
        <v>3</v>
      </c>
      <c r="B194">
        <v>133223</v>
      </c>
      <c r="C194" s="13" t="s">
        <v>1269</v>
      </c>
      <c r="D194" s="13"/>
      <c r="E194" s="13"/>
      <c r="F194" s="13"/>
      <c r="G194" s="13" t="s">
        <v>947</v>
      </c>
    </row>
    <row r="195" spans="1:7" x14ac:dyDescent="0.25">
      <c r="A195" s="13" t="s">
        <v>3</v>
      </c>
      <c r="B195">
        <v>223074</v>
      </c>
      <c r="C195" s="13" t="s">
        <v>1269</v>
      </c>
      <c r="D195" s="13"/>
      <c r="E195" s="13"/>
      <c r="F195" s="13"/>
      <c r="G195" s="13" t="s">
        <v>947</v>
      </c>
    </row>
    <row r="196" spans="1:7" x14ac:dyDescent="0.25">
      <c r="A196" s="13" t="s">
        <v>3</v>
      </c>
      <c r="B196">
        <v>223065</v>
      </c>
      <c r="C196" s="13" t="s">
        <v>1269</v>
      </c>
      <c r="D196" s="13"/>
      <c r="E196" s="13"/>
      <c r="F196" s="13"/>
      <c r="G196" s="13" t="s">
        <v>947</v>
      </c>
    </row>
    <row r="197" spans="1:7" x14ac:dyDescent="0.25">
      <c r="A197" s="13" t="s">
        <v>3</v>
      </c>
      <c r="B197">
        <v>223066</v>
      </c>
      <c r="C197" s="13" t="s">
        <v>1269</v>
      </c>
      <c r="D197" s="13"/>
      <c r="E197" s="13"/>
      <c r="F197" s="13"/>
      <c r="G197" s="13" t="s">
        <v>947</v>
      </c>
    </row>
    <row r="198" spans="1:7" x14ac:dyDescent="0.25">
      <c r="A198" s="13" t="s">
        <v>3</v>
      </c>
      <c r="B198">
        <v>133265</v>
      </c>
      <c r="C198" s="13" t="s">
        <v>1269</v>
      </c>
      <c r="D198" s="13"/>
      <c r="E198" s="13"/>
      <c r="F198" s="13"/>
      <c r="G198" s="13" t="s">
        <v>947</v>
      </c>
    </row>
    <row r="199" spans="1:7" x14ac:dyDescent="0.25">
      <c r="A199" s="13" t="s">
        <v>3</v>
      </c>
      <c r="B199">
        <v>133240</v>
      </c>
      <c r="C199" s="13" t="s">
        <v>1269</v>
      </c>
      <c r="D199" s="13"/>
      <c r="E199" s="13"/>
      <c r="F199" s="13"/>
      <c r="G199" s="13" t="s">
        <v>947</v>
      </c>
    </row>
    <row r="200" spans="1:7" x14ac:dyDescent="0.25">
      <c r="A200" s="13" t="s">
        <v>3</v>
      </c>
      <c r="B200">
        <v>133270</v>
      </c>
      <c r="C200" s="13" t="s">
        <v>1269</v>
      </c>
      <c r="D200" s="13"/>
      <c r="E200" s="13"/>
      <c r="F200" s="13"/>
      <c r="G200" s="13" t="s">
        <v>947</v>
      </c>
    </row>
    <row r="201" spans="1:7" x14ac:dyDescent="0.25">
      <c r="A201" s="13" t="s">
        <v>3</v>
      </c>
      <c r="B201">
        <v>145570</v>
      </c>
      <c r="C201" s="13">
        <v>1990</v>
      </c>
      <c r="D201" s="13" t="s">
        <v>843</v>
      </c>
      <c r="E201" s="13"/>
      <c r="F201" s="13"/>
      <c r="G201" s="13" t="s">
        <v>1300</v>
      </c>
    </row>
    <row r="202" spans="1:7" x14ac:dyDescent="0.25">
      <c r="A202" s="13" t="s">
        <v>3</v>
      </c>
      <c r="B202">
        <v>211472</v>
      </c>
      <c r="C202" s="13" t="s">
        <v>1269</v>
      </c>
      <c r="D202" s="13"/>
      <c r="E202" s="13"/>
      <c r="F202" s="13"/>
      <c r="G202" s="13" t="s">
        <v>947</v>
      </c>
    </row>
    <row r="203" spans="1:7" x14ac:dyDescent="0.25">
      <c r="A203" s="13" t="s">
        <v>3</v>
      </c>
      <c r="B203">
        <v>211451</v>
      </c>
      <c r="C203" s="13" t="s">
        <v>1269</v>
      </c>
      <c r="D203" s="13"/>
      <c r="E203" s="13"/>
      <c r="F203" s="13"/>
      <c r="G203" s="13" t="s">
        <v>947</v>
      </c>
    </row>
    <row r="204" spans="1:7" x14ac:dyDescent="0.25">
      <c r="A204" s="13" t="s">
        <v>3</v>
      </c>
      <c r="B204">
        <v>211439</v>
      </c>
      <c r="C204" s="13" t="s">
        <v>1269</v>
      </c>
      <c r="D204" s="13"/>
      <c r="E204" s="13"/>
      <c r="F204" s="13"/>
      <c r="G204" s="13" t="s">
        <v>947</v>
      </c>
    </row>
    <row r="205" spans="1:7" x14ac:dyDescent="0.25">
      <c r="A205" s="13" t="s">
        <v>3</v>
      </c>
      <c r="B205">
        <v>211458</v>
      </c>
      <c r="C205" s="13" t="s">
        <v>1269</v>
      </c>
      <c r="D205" s="13"/>
      <c r="E205" s="13"/>
      <c r="F205" s="13"/>
      <c r="G205" s="13" t="s">
        <v>947</v>
      </c>
    </row>
    <row r="206" spans="1:7" x14ac:dyDescent="0.25">
      <c r="A206" s="13" t="s">
        <v>3</v>
      </c>
      <c r="B206">
        <v>223104</v>
      </c>
      <c r="C206" s="13" t="s">
        <v>1269</v>
      </c>
      <c r="D206" s="13"/>
      <c r="E206" s="13"/>
      <c r="F206" s="13"/>
      <c r="G206" s="13" t="s">
        <v>947</v>
      </c>
    </row>
    <row r="207" spans="1:7" x14ac:dyDescent="0.25">
      <c r="A207" s="13" t="s">
        <v>3</v>
      </c>
      <c r="B207">
        <v>201761</v>
      </c>
      <c r="C207" s="13">
        <v>1890</v>
      </c>
      <c r="D207" s="13" t="s">
        <v>844</v>
      </c>
      <c r="E207" s="13"/>
      <c r="F207" s="13"/>
      <c r="G207" s="13" t="s">
        <v>1298</v>
      </c>
    </row>
    <row r="208" spans="1:7" x14ac:dyDescent="0.25">
      <c r="A208" s="13" t="s">
        <v>3</v>
      </c>
      <c r="B208">
        <v>211450</v>
      </c>
      <c r="C208" s="13" t="s">
        <v>1269</v>
      </c>
      <c r="D208" s="13"/>
      <c r="E208" s="13"/>
      <c r="F208" s="13"/>
      <c r="G208" s="13" t="s">
        <v>947</v>
      </c>
    </row>
    <row r="209" spans="1:7" x14ac:dyDescent="0.25">
      <c r="A209" s="13" t="s">
        <v>3</v>
      </c>
      <c r="B209">
        <v>202662</v>
      </c>
      <c r="C209" s="13" t="s">
        <v>1435</v>
      </c>
      <c r="D209" s="13"/>
      <c r="E209" s="13"/>
      <c r="F209" s="13"/>
      <c r="G209" s="13" t="s">
        <v>947</v>
      </c>
    </row>
    <row r="210" spans="1:7" x14ac:dyDescent="0.25">
      <c r="A210" s="13" t="s">
        <v>3</v>
      </c>
      <c r="B210">
        <v>211421</v>
      </c>
      <c r="C210" s="13" t="s">
        <v>1269</v>
      </c>
      <c r="D210" s="13"/>
      <c r="E210" s="13"/>
      <c r="F210" s="13"/>
      <c r="G210" s="13" t="s">
        <v>947</v>
      </c>
    </row>
    <row r="211" spans="1:7" x14ac:dyDescent="0.25">
      <c r="A211" s="13" t="s">
        <v>3</v>
      </c>
      <c r="B211">
        <v>201753</v>
      </c>
      <c r="C211" s="13">
        <v>1490</v>
      </c>
      <c r="D211" s="13" t="s">
        <v>847</v>
      </c>
      <c r="E211" s="13"/>
      <c r="F211" s="13"/>
      <c r="G211" s="13" t="s">
        <v>1294</v>
      </c>
    </row>
    <row r="212" spans="1:7" x14ac:dyDescent="0.25">
      <c r="A212" s="13" t="s">
        <v>3</v>
      </c>
      <c r="B212">
        <v>133263</v>
      </c>
      <c r="C212" s="13" t="s">
        <v>1269</v>
      </c>
      <c r="D212" s="13"/>
      <c r="E212" s="13"/>
      <c r="F212" s="13"/>
      <c r="G212" s="13" t="s">
        <v>947</v>
      </c>
    </row>
    <row r="213" spans="1:7" x14ac:dyDescent="0.25">
      <c r="A213" s="13" t="s">
        <v>3</v>
      </c>
      <c r="B213">
        <v>133258</v>
      </c>
      <c r="C213" s="13" t="s">
        <v>1269</v>
      </c>
      <c r="D213" s="13"/>
      <c r="E213" s="13"/>
      <c r="F213" s="13"/>
      <c r="G213" s="13" t="s">
        <v>947</v>
      </c>
    </row>
    <row r="214" spans="1:7" x14ac:dyDescent="0.25">
      <c r="A214" s="13" t="s">
        <v>3</v>
      </c>
      <c r="B214">
        <v>133343</v>
      </c>
      <c r="C214" s="13">
        <v>1690</v>
      </c>
      <c r="D214" s="13" t="s">
        <v>1451</v>
      </c>
      <c r="E214" s="13"/>
      <c r="F214" s="13"/>
      <c r="G214" s="13" t="s">
        <v>1488</v>
      </c>
    </row>
    <row r="215" spans="1:7" x14ac:dyDescent="0.25">
      <c r="A215" s="13" t="s">
        <v>3</v>
      </c>
      <c r="B215">
        <v>202708</v>
      </c>
      <c r="C215" s="13" t="s">
        <v>1269</v>
      </c>
      <c r="D215" s="13"/>
      <c r="E215" s="13"/>
      <c r="F215" s="13"/>
      <c r="G215" s="13" t="s">
        <v>947</v>
      </c>
    </row>
    <row r="216" spans="1:7" x14ac:dyDescent="0.25">
      <c r="A216" s="13" t="s">
        <v>3</v>
      </c>
      <c r="B216">
        <v>202712</v>
      </c>
      <c r="C216" s="13">
        <v>1890</v>
      </c>
      <c r="D216" s="13" t="s">
        <v>846</v>
      </c>
      <c r="E216" s="13"/>
      <c r="F216" s="13"/>
      <c r="G216" s="13" t="s">
        <v>1298</v>
      </c>
    </row>
    <row r="217" spans="1:7" x14ac:dyDescent="0.25">
      <c r="A217" s="13" t="s">
        <v>3</v>
      </c>
      <c r="B217">
        <v>145572</v>
      </c>
      <c r="C217" s="13" t="s">
        <v>1429</v>
      </c>
      <c r="D217" s="13" t="s">
        <v>845</v>
      </c>
      <c r="E217" s="13"/>
      <c r="F217" s="13"/>
      <c r="G217" s="13" t="s">
        <v>1300</v>
      </c>
    </row>
    <row r="218" spans="1:7" x14ac:dyDescent="0.25">
      <c r="A218" s="13" t="s">
        <v>3</v>
      </c>
      <c r="B218">
        <v>202716</v>
      </c>
      <c r="C218" s="13">
        <v>1790</v>
      </c>
      <c r="D218" s="13" t="s">
        <v>1432</v>
      </c>
      <c r="E218" s="13"/>
      <c r="F218" s="13"/>
      <c r="G218" s="13" t="s">
        <v>1491</v>
      </c>
    </row>
    <row r="219" spans="1:7" x14ac:dyDescent="0.25">
      <c r="A219" s="13" t="s">
        <v>3</v>
      </c>
      <c r="B219">
        <v>133250</v>
      </c>
      <c r="C219" s="13" t="s">
        <v>1269</v>
      </c>
      <c r="D219" s="13"/>
      <c r="E219" s="13"/>
      <c r="F219" s="13"/>
      <c r="G219" s="13" t="s">
        <v>947</v>
      </c>
    </row>
    <row r="220" spans="1:7" x14ac:dyDescent="0.25">
      <c r="A220" s="13" t="s">
        <v>3</v>
      </c>
      <c r="B220">
        <v>138440</v>
      </c>
      <c r="C220" s="13">
        <v>1590</v>
      </c>
      <c r="D220" s="13" t="s">
        <v>920</v>
      </c>
      <c r="E220" s="13"/>
      <c r="F220" s="13"/>
      <c r="G220" s="13" t="s">
        <v>1297</v>
      </c>
    </row>
    <row r="221" spans="1:7" x14ac:dyDescent="0.25">
      <c r="A221" s="13" t="s">
        <v>3</v>
      </c>
      <c r="B221">
        <v>158510</v>
      </c>
      <c r="C221" s="13">
        <v>1889</v>
      </c>
      <c r="D221" s="13" t="s">
        <v>848</v>
      </c>
      <c r="E221" s="13"/>
      <c r="F221" s="13"/>
      <c r="G221" s="13" t="s">
        <v>1299</v>
      </c>
    </row>
    <row r="222" spans="1:7" x14ac:dyDescent="0.25">
      <c r="A222" s="13" t="s">
        <v>3</v>
      </c>
      <c r="B222">
        <v>212190</v>
      </c>
      <c r="C222" s="13" t="s">
        <v>1269</v>
      </c>
      <c r="D222" s="13"/>
      <c r="E222" s="13"/>
      <c r="F222" s="13"/>
      <c r="G222" s="13" t="s">
        <v>947</v>
      </c>
    </row>
    <row r="223" spans="1:7" x14ac:dyDescent="0.25">
      <c r="A223" s="13" t="s">
        <v>3</v>
      </c>
      <c r="B223">
        <v>217247</v>
      </c>
      <c r="C223" s="13" t="s">
        <v>1269</v>
      </c>
      <c r="D223" s="13"/>
      <c r="E223" s="13"/>
      <c r="F223" s="13"/>
      <c r="G223" s="13" t="s">
        <v>947</v>
      </c>
    </row>
    <row r="224" spans="1:7" x14ac:dyDescent="0.25">
      <c r="A224" s="13" t="s">
        <v>3</v>
      </c>
      <c r="B224">
        <v>145569</v>
      </c>
      <c r="C224" s="13">
        <v>1990</v>
      </c>
      <c r="D224" s="13" t="s">
        <v>770</v>
      </c>
      <c r="E224" s="13"/>
      <c r="F224" s="13"/>
      <c r="G224" s="13" t="s">
        <v>1300</v>
      </c>
    </row>
    <row r="225" spans="1:7" x14ac:dyDescent="0.25">
      <c r="A225" s="13" t="s">
        <v>3</v>
      </c>
      <c r="B225">
        <v>145527</v>
      </c>
      <c r="C225" s="13">
        <v>1990</v>
      </c>
      <c r="D225" s="13" t="s">
        <v>849</v>
      </c>
      <c r="E225" s="13"/>
      <c r="F225" s="13"/>
      <c r="G225" s="13" t="s">
        <v>1300</v>
      </c>
    </row>
    <row r="226" spans="1:7" x14ac:dyDescent="0.25">
      <c r="A226" s="13" t="s">
        <v>3</v>
      </c>
      <c r="B226">
        <v>138437</v>
      </c>
      <c r="C226" s="13">
        <v>1990</v>
      </c>
      <c r="D226" s="13" t="s">
        <v>921</v>
      </c>
      <c r="E226" s="13"/>
      <c r="F226" s="13"/>
      <c r="G226" s="13" t="s">
        <v>1300</v>
      </c>
    </row>
    <row r="227" spans="1:7" x14ac:dyDescent="0.25">
      <c r="A227" s="13" t="s">
        <v>3</v>
      </c>
      <c r="B227">
        <v>138413</v>
      </c>
      <c r="C227" s="13">
        <v>1689</v>
      </c>
      <c r="D227" s="13" t="s">
        <v>922</v>
      </c>
      <c r="E227" s="13"/>
      <c r="F227" s="13"/>
      <c r="G227" s="13" t="s">
        <v>1301</v>
      </c>
    </row>
    <row r="228" spans="1:7" x14ac:dyDescent="0.25">
      <c r="A228" s="13" t="s">
        <v>3</v>
      </c>
      <c r="B228">
        <v>138433</v>
      </c>
      <c r="C228" s="13">
        <v>1990</v>
      </c>
      <c r="D228" s="13" t="s">
        <v>923</v>
      </c>
      <c r="E228" s="13"/>
      <c r="F228" s="13"/>
      <c r="G228" s="13" t="s">
        <v>1300</v>
      </c>
    </row>
    <row r="229" spans="1:7" x14ac:dyDescent="0.25">
      <c r="A229" s="13" t="s">
        <v>3</v>
      </c>
      <c r="B229">
        <v>211418</v>
      </c>
      <c r="C229" s="13" t="s">
        <v>1269</v>
      </c>
      <c r="D229" s="13"/>
      <c r="E229" s="13"/>
      <c r="F229" s="13"/>
      <c r="G229" s="13" t="s">
        <v>947</v>
      </c>
    </row>
    <row r="230" spans="1:7" x14ac:dyDescent="0.25">
      <c r="A230" s="13" t="s">
        <v>3</v>
      </c>
      <c r="B230">
        <v>138442</v>
      </c>
      <c r="C230" s="13">
        <v>1890</v>
      </c>
      <c r="D230" s="13" t="s">
        <v>924</v>
      </c>
      <c r="E230" s="13"/>
      <c r="F230" s="13"/>
      <c r="G230" s="13" t="s">
        <v>1298</v>
      </c>
    </row>
    <row r="231" spans="1:7" x14ac:dyDescent="0.25">
      <c r="A231" s="13" t="s">
        <v>3</v>
      </c>
      <c r="B231">
        <v>138412</v>
      </c>
      <c r="C231" s="13">
        <v>2290</v>
      </c>
      <c r="D231" s="13" t="s">
        <v>925</v>
      </c>
      <c r="E231" s="13"/>
      <c r="F231" s="13"/>
      <c r="G231" s="13" t="s">
        <v>1302</v>
      </c>
    </row>
    <row r="232" spans="1:7" x14ac:dyDescent="0.25">
      <c r="A232" s="13" t="s">
        <v>3</v>
      </c>
      <c r="B232">
        <v>201794</v>
      </c>
      <c r="C232" s="13">
        <v>2190</v>
      </c>
      <c r="D232" s="13" t="s">
        <v>850</v>
      </c>
      <c r="E232" s="13"/>
      <c r="F232" s="13"/>
      <c r="G232" s="13" t="s">
        <v>1303</v>
      </c>
    </row>
    <row r="233" spans="1:7" x14ac:dyDescent="0.25">
      <c r="A233" s="13" t="s">
        <v>3</v>
      </c>
      <c r="B233">
        <v>211474</v>
      </c>
      <c r="C233" s="13" t="s">
        <v>1269</v>
      </c>
      <c r="D233" s="13"/>
      <c r="E233" s="13"/>
      <c r="F233" s="13"/>
      <c r="G233" s="13" t="s">
        <v>947</v>
      </c>
    </row>
    <row r="234" spans="1:7" x14ac:dyDescent="0.25">
      <c r="A234" s="13" t="s">
        <v>3</v>
      </c>
      <c r="B234">
        <v>211473</v>
      </c>
      <c r="C234" s="13" t="s">
        <v>1269</v>
      </c>
      <c r="D234" s="13"/>
      <c r="E234" s="13"/>
      <c r="F234" s="13"/>
      <c r="G234" s="13" t="s">
        <v>947</v>
      </c>
    </row>
    <row r="235" spans="1:7" x14ac:dyDescent="0.25">
      <c r="A235" s="13" t="s">
        <v>3</v>
      </c>
      <c r="B235">
        <v>211453</v>
      </c>
      <c r="C235" s="13"/>
      <c r="D235" s="13"/>
      <c r="E235" s="13"/>
      <c r="F235" s="13"/>
      <c r="G235" s="13" t="s">
        <v>947</v>
      </c>
    </row>
    <row r="236" spans="1:7" x14ac:dyDescent="0.25">
      <c r="A236" s="13" t="s">
        <v>3</v>
      </c>
      <c r="B236">
        <v>138415</v>
      </c>
      <c r="C236" s="13">
        <v>1990</v>
      </c>
      <c r="D236" s="13" t="s">
        <v>926</v>
      </c>
      <c r="E236" s="13"/>
      <c r="F236" s="13"/>
      <c r="G236" s="13" t="s">
        <v>1300</v>
      </c>
    </row>
    <row r="237" spans="1:7" x14ac:dyDescent="0.25">
      <c r="A237" s="13" t="s">
        <v>3</v>
      </c>
      <c r="B237">
        <v>138439</v>
      </c>
      <c r="C237" s="13">
        <v>1990</v>
      </c>
      <c r="D237" s="13" t="s">
        <v>927</v>
      </c>
      <c r="E237" s="13"/>
      <c r="F237" s="13"/>
      <c r="G237" s="13" t="s">
        <v>1300</v>
      </c>
    </row>
    <row r="238" spans="1:7" x14ac:dyDescent="0.25">
      <c r="A238" s="13" t="s">
        <v>3</v>
      </c>
      <c r="B238">
        <v>138431</v>
      </c>
      <c r="C238" s="13">
        <v>1990</v>
      </c>
      <c r="D238" s="13" t="s">
        <v>928</v>
      </c>
      <c r="E238" s="13"/>
      <c r="F238" s="13"/>
      <c r="G238" s="13" t="s">
        <v>1300</v>
      </c>
    </row>
    <row r="239" spans="1:7" x14ac:dyDescent="0.25">
      <c r="A239" s="13" t="s">
        <v>3</v>
      </c>
      <c r="B239">
        <v>138432</v>
      </c>
      <c r="C239" s="13">
        <v>1990</v>
      </c>
      <c r="D239" s="13" t="s">
        <v>929</v>
      </c>
      <c r="E239" s="13"/>
      <c r="F239" s="13"/>
      <c r="G239" s="13" t="s">
        <v>1300</v>
      </c>
    </row>
    <row r="240" spans="1:7" x14ac:dyDescent="0.25">
      <c r="A240" s="13" t="s">
        <v>3</v>
      </c>
      <c r="B240">
        <v>138441</v>
      </c>
      <c r="C240" s="13">
        <v>1890</v>
      </c>
      <c r="D240" s="13" t="s">
        <v>851</v>
      </c>
      <c r="E240" s="13"/>
      <c r="F240" s="13"/>
      <c r="G240" s="13" t="s">
        <v>1298</v>
      </c>
    </row>
    <row r="241" spans="1:7" x14ac:dyDescent="0.25">
      <c r="A241" s="13" t="s">
        <v>3</v>
      </c>
      <c r="B241">
        <v>211419</v>
      </c>
      <c r="C241" s="13" t="s">
        <v>1269</v>
      </c>
      <c r="D241" s="13"/>
      <c r="E241" s="13"/>
      <c r="F241" s="13"/>
      <c r="G241" s="13" t="s">
        <v>947</v>
      </c>
    </row>
    <row r="242" spans="1:7" x14ac:dyDescent="0.25">
      <c r="A242" s="13" t="s">
        <v>3</v>
      </c>
      <c r="B242">
        <v>138436</v>
      </c>
      <c r="C242" s="13">
        <v>1990</v>
      </c>
      <c r="D242" s="13" t="s">
        <v>1431</v>
      </c>
      <c r="E242" s="13"/>
      <c r="F242" s="13"/>
      <c r="G242" s="13" t="s">
        <v>1300</v>
      </c>
    </row>
    <row r="243" spans="1:7" x14ac:dyDescent="0.25">
      <c r="A243" s="13" t="s">
        <v>3</v>
      </c>
      <c r="B243">
        <v>138435</v>
      </c>
      <c r="C243" s="13" t="s">
        <v>1428</v>
      </c>
      <c r="D243" s="13"/>
      <c r="E243" s="13"/>
      <c r="F243" s="13"/>
      <c r="G243" s="13" t="s">
        <v>947</v>
      </c>
    </row>
    <row r="244" spans="1:7" x14ac:dyDescent="0.25">
      <c r="A244" s="13" t="s">
        <v>3</v>
      </c>
      <c r="B244">
        <v>213677</v>
      </c>
      <c r="C244" s="13">
        <v>2190</v>
      </c>
      <c r="D244" s="13" t="s">
        <v>850</v>
      </c>
      <c r="E244" s="13"/>
      <c r="F244" s="13"/>
      <c r="G244" s="13" t="s">
        <v>1303</v>
      </c>
    </row>
    <row r="245" spans="1:7" x14ac:dyDescent="0.25">
      <c r="A245" s="13" t="s">
        <v>3</v>
      </c>
      <c r="B245">
        <v>223062</v>
      </c>
      <c r="C245" s="13" t="s">
        <v>1269</v>
      </c>
      <c r="D245" s="13"/>
      <c r="E245" s="13"/>
      <c r="F245" s="13"/>
      <c r="G245" s="13" t="s">
        <v>947</v>
      </c>
    </row>
    <row r="246" spans="1:7" x14ac:dyDescent="0.25">
      <c r="A246" s="13" t="s">
        <v>3</v>
      </c>
      <c r="B246">
        <v>223093</v>
      </c>
      <c r="C246" s="13" t="s">
        <v>1269</v>
      </c>
      <c r="D246" s="13"/>
      <c r="E246" s="13"/>
      <c r="F246" s="13"/>
      <c r="G246" s="13" t="s">
        <v>947</v>
      </c>
    </row>
    <row r="247" spans="1:7" x14ac:dyDescent="0.25">
      <c r="A247" s="13" t="s">
        <v>3</v>
      </c>
      <c r="B247">
        <v>143807</v>
      </c>
      <c r="C247" s="13" t="s">
        <v>1269</v>
      </c>
      <c r="D247" s="13"/>
      <c r="E247" s="13"/>
      <c r="F247" s="13"/>
      <c r="G247" s="13" t="s">
        <v>947</v>
      </c>
    </row>
    <row r="248" spans="1:7" x14ac:dyDescent="0.25">
      <c r="A248" s="13" t="s">
        <v>3</v>
      </c>
      <c r="B248">
        <v>212187</v>
      </c>
      <c r="C248" s="13" t="s">
        <v>1269</v>
      </c>
      <c r="D248" s="13"/>
      <c r="E248" s="13"/>
      <c r="F248" s="13"/>
      <c r="G248" s="13" t="s">
        <v>947</v>
      </c>
    </row>
    <row r="249" spans="1:7" x14ac:dyDescent="0.25">
      <c r="A249" s="13" t="s">
        <v>3</v>
      </c>
      <c r="B249">
        <v>211440</v>
      </c>
      <c r="C249" s="13" t="s">
        <v>1269</v>
      </c>
      <c r="D249" s="13"/>
      <c r="E249" s="13"/>
      <c r="F249" s="13"/>
      <c r="G249" s="13" t="s">
        <v>947</v>
      </c>
    </row>
    <row r="250" spans="1:7" x14ac:dyDescent="0.25">
      <c r="A250" s="13" t="s">
        <v>3</v>
      </c>
      <c r="B250">
        <v>138408</v>
      </c>
      <c r="C250" s="13">
        <v>2190</v>
      </c>
      <c r="D250" s="13" t="s">
        <v>853</v>
      </c>
      <c r="E250" s="13"/>
      <c r="F250" s="13"/>
      <c r="G250" s="13" t="s">
        <v>1303</v>
      </c>
    </row>
    <row r="251" spans="1:7" x14ac:dyDescent="0.25">
      <c r="A251" s="13" t="s">
        <v>3</v>
      </c>
      <c r="B251">
        <v>138409</v>
      </c>
      <c r="C251" s="13">
        <v>1990</v>
      </c>
      <c r="D251" s="13" t="s">
        <v>852</v>
      </c>
      <c r="E251" s="13"/>
      <c r="F251" s="13"/>
      <c r="G251" s="13" t="s">
        <v>1300</v>
      </c>
    </row>
    <row r="252" spans="1:7" x14ac:dyDescent="0.25">
      <c r="A252" s="13" t="s">
        <v>3</v>
      </c>
      <c r="B252">
        <v>138407</v>
      </c>
      <c r="C252" s="13" t="s">
        <v>1428</v>
      </c>
      <c r="D252" s="13"/>
      <c r="E252" s="13"/>
      <c r="F252" s="13"/>
      <c r="G252" s="13" t="s">
        <v>947</v>
      </c>
    </row>
    <row r="253" spans="1:7" x14ac:dyDescent="0.25">
      <c r="A253" s="13" t="s">
        <v>3</v>
      </c>
      <c r="B253">
        <v>138434</v>
      </c>
      <c r="C253" s="13">
        <v>2190</v>
      </c>
      <c r="D253" s="13" t="s">
        <v>854</v>
      </c>
      <c r="E253" s="13"/>
      <c r="F253" s="13"/>
      <c r="G253" s="13" t="s">
        <v>1303</v>
      </c>
    </row>
    <row r="254" spans="1:7" x14ac:dyDescent="0.25">
      <c r="A254" s="13" t="s">
        <v>3</v>
      </c>
      <c r="B254">
        <v>133333</v>
      </c>
      <c r="C254" s="13">
        <v>2990</v>
      </c>
      <c r="D254" s="13" t="s">
        <v>930</v>
      </c>
      <c r="E254" s="13"/>
      <c r="F254" s="13"/>
      <c r="G254" s="13" t="s">
        <v>1304</v>
      </c>
    </row>
    <row r="255" spans="1:7" x14ac:dyDescent="0.25">
      <c r="A255" s="13" t="s">
        <v>3</v>
      </c>
      <c r="B255">
        <v>133317</v>
      </c>
      <c r="C255" s="13">
        <v>2490</v>
      </c>
      <c r="D255" s="13" t="s">
        <v>931</v>
      </c>
      <c r="E255" s="13"/>
      <c r="F255" s="13"/>
      <c r="G255" s="13" t="s">
        <v>1305</v>
      </c>
    </row>
    <row r="256" spans="1:7" x14ac:dyDescent="0.25">
      <c r="A256" s="13" t="s">
        <v>3</v>
      </c>
      <c r="B256">
        <v>223064</v>
      </c>
      <c r="C256" s="13" t="s">
        <v>1269</v>
      </c>
      <c r="D256" s="13"/>
      <c r="E256" s="13"/>
      <c r="F256" s="13"/>
      <c r="G256" s="13" t="s">
        <v>947</v>
      </c>
    </row>
    <row r="257" spans="1:7" x14ac:dyDescent="0.25">
      <c r="A257" s="13" t="s">
        <v>3</v>
      </c>
      <c r="B257">
        <v>138438</v>
      </c>
      <c r="C257" s="13">
        <v>1890</v>
      </c>
      <c r="D257" s="13" t="s">
        <v>855</v>
      </c>
      <c r="E257" s="13"/>
      <c r="F257" s="13"/>
      <c r="G257" s="13" t="s">
        <v>1298</v>
      </c>
    </row>
    <row r="258" spans="1:7" x14ac:dyDescent="0.25">
      <c r="A258" s="13" t="s">
        <v>3</v>
      </c>
      <c r="B258">
        <v>201787</v>
      </c>
      <c r="C258" s="13">
        <v>2390</v>
      </c>
      <c r="D258" s="13" t="s">
        <v>857</v>
      </c>
      <c r="E258" s="13"/>
      <c r="F258" s="13"/>
      <c r="G258" s="13" t="s">
        <v>1306</v>
      </c>
    </row>
    <row r="259" spans="1:7" x14ac:dyDescent="0.25">
      <c r="A259" s="13" t="s">
        <v>3</v>
      </c>
      <c r="B259">
        <v>213679</v>
      </c>
      <c r="C259" s="13">
        <v>2290</v>
      </c>
      <c r="D259" s="13" t="s">
        <v>856</v>
      </c>
      <c r="E259" s="13"/>
      <c r="F259" s="13"/>
      <c r="G259" s="13" t="s">
        <v>1302</v>
      </c>
    </row>
    <row r="260" spans="1:7" x14ac:dyDescent="0.25">
      <c r="A260" s="13" t="s">
        <v>3</v>
      </c>
      <c r="B260">
        <v>143806</v>
      </c>
      <c r="C260" s="13">
        <v>2290</v>
      </c>
      <c r="D260" s="13" t="s">
        <v>1430</v>
      </c>
      <c r="E260" s="13"/>
      <c r="F260" s="13"/>
      <c r="G260" s="13" t="s">
        <v>1302</v>
      </c>
    </row>
    <row r="261" spans="1:7" x14ac:dyDescent="0.25">
      <c r="A261" s="13" t="s">
        <v>3</v>
      </c>
      <c r="B261">
        <v>138414</v>
      </c>
      <c r="C261" s="13">
        <v>1990</v>
      </c>
      <c r="D261" s="13" t="s">
        <v>858</v>
      </c>
      <c r="E261" s="13"/>
      <c r="F261" s="13"/>
      <c r="G261" s="13" t="s">
        <v>1300</v>
      </c>
    </row>
    <row r="262" spans="1:7" x14ac:dyDescent="0.25">
      <c r="A262" s="13" t="s">
        <v>3</v>
      </c>
      <c r="B262">
        <v>133323</v>
      </c>
      <c r="C262" s="13" t="s">
        <v>1269</v>
      </c>
      <c r="D262" s="13"/>
      <c r="E262" s="13"/>
      <c r="F262" s="13"/>
      <c r="G262" s="13" t="s">
        <v>947</v>
      </c>
    </row>
    <row r="263" spans="1:7" x14ac:dyDescent="0.25">
      <c r="A263" s="13" t="s">
        <v>3</v>
      </c>
      <c r="B263">
        <v>143764</v>
      </c>
      <c r="C263" s="13">
        <v>2390</v>
      </c>
      <c r="D263" s="13" t="s">
        <v>1420</v>
      </c>
      <c r="E263" s="13"/>
      <c r="F263" s="13"/>
      <c r="G263" s="13" t="s">
        <v>1306</v>
      </c>
    </row>
    <row r="264" spans="1:7" x14ac:dyDescent="0.25">
      <c r="A264" s="13" t="s">
        <v>3</v>
      </c>
      <c r="B264">
        <v>226471</v>
      </c>
      <c r="C264" s="13" t="s">
        <v>1269</v>
      </c>
      <c r="D264" s="13"/>
      <c r="E264" s="13"/>
      <c r="F264" s="13"/>
      <c r="G264" s="13" t="s">
        <v>947</v>
      </c>
    </row>
    <row r="265" spans="1:7" x14ac:dyDescent="0.25">
      <c r="A265" s="13" t="s">
        <v>3</v>
      </c>
      <c r="B265">
        <v>138550</v>
      </c>
      <c r="C265" s="13" t="s">
        <v>1429</v>
      </c>
      <c r="D265" s="13" t="s">
        <v>864</v>
      </c>
      <c r="E265" s="13"/>
      <c r="F265" s="13"/>
      <c r="G265" s="13" t="s">
        <v>1300</v>
      </c>
    </row>
    <row r="266" spans="1:7" x14ac:dyDescent="0.25">
      <c r="A266" s="13" t="s">
        <v>3</v>
      </c>
      <c r="B266">
        <v>133347</v>
      </c>
      <c r="C266" s="13">
        <v>2790</v>
      </c>
      <c r="D266" s="13" t="s">
        <v>1470</v>
      </c>
      <c r="E266" s="13"/>
      <c r="F266" s="13"/>
      <c r="G266" s="13" t="s">
        <v>1309</v>
      </c>
    </row>
    <row r="267" spans="1:7" x14ac:dyDescent="0.25">
      <c r="A267" s="13" t="s">
        <v>3</v>
      </c>
      <c r="B267">
        <v>223091</v>
      </c>
      <c r="C267" s="13" t="s">
        <v>1269</v>
      </c>
      <c r="D267" s="13"/>
      <c r="E267" s="13"/>
      <c r="F267" s="13"/>
      <c r="G267" s="13" t="s">
        <v>947</v>
      </c>
    </row>
    <row r="268" spans="1:7" x14ac:dyDescent="0.25">
      <c r="A268" s="13" t="s">
        <v>3</v>
      </c>
      <c r="B268">
        <v>201795</v>
      </c>
      <c r="C268" s="13">
        <v>2690</v>
      </c>
      <c r="D268" s="13" t="s">
        <v>860</v>
      </c>
      <c r="E268" s="13"/>
      <c r="F268" s="13"/>
      <c r="G268" s="13" t="s">
        <v>1307</v>
      </c>
    </row>
    <row r="269" spans="1:7" x14ac:dyDescent="0.25">
      <c r="A269" s="13" t="s">
        <v>3</v>
      </c>
      <c r="B269">
        <v>170592</v>
      </c>
      <c r="C269" s="13">
        <v>2390</v>
      </c>
      <c r="D269" s="13" t="s">
        <v>861</v>
      </c>
      <c r="E269" s="13"/>
      <c r="F269" s="13"/>
      <c r="G269" s="13" t="s">
        <v>1306</v>
      </c>
    </row>
    <row r="270" spans="1:7" x14ac:dyDescent="0.25">
      <c r="A270" s="13" t="s">
        <v>3</v>
      </c>
      <c r="B270">
        <v>201813</v>
      </c>
      <c r="C270" s="13">
        <v>2290</v>
      </c>
      <c r="D270" s="13" t="s">
        <v>859</v>
      </c>
      <c r="E270" s="13"/>
      <c r="F270" s="13"/>
      <c r="G270" s="13" t="s">
        <v>1302</v>
      </c>
    </row>
    <row r="271" spans="1:7" x14ac:dyDescent="0.25">
      <c r="A271" s="13" t="s">
        <v>3</v>
      </c>
      <c r="B271">
        <v>211416</v>
      </c>
      <c r="C271" s="13" t="s">
        <v>1269</v>
      </c>
      <c r="D271" s="13"/>
      <c r="E271" s="13"/>
      <c r="F271" s="13"/>
      <c r="G271" s="13" t="s">
        <v>947</v>
      </c>
    </row>
    <row r="272" spans="1:7" x14ac:dyDescent="0.25">
      <c r="A272" s="13" t="s">
        <v>3</v>
      </c>
      <c r="B272">
        <v>166025</v>
      </c>
      <c r="C272" s="13" t="s">
        <v>1428</v>
      </c>
      <c r="D272" s="13"/>
      <c r="E272" s="13"/>
      <c r="F272" s="13"/>
      <c r="G272" s="13" t="s">
        <v>947</v>
      </c>
    </row>
    <row r="273" spans="1:7" x14ac:dyDescent="0.25">
      <c r="A273" s="13" t="s">
        <v>3</v>
      </c>
      <c r="B273">
        <v>143741</v>
      </c>
      <c r="C273" s="13">
        <v>2590</v>
      </c>
      <c r="D273" s="13" t="s">
        <v>863</v>
      </c>
      <c r="E273" s="13"/>
      <c r="F273" s="13"/>
      <c r="G273" s="13" t="s">
        <v>1308</v>
      </c>
    </row>
    <row r="274" spans="1:7" x14ac:dyDescent="0.25">
      <c r="A274" s="13" t="s">
        <v>3</v>
      </c>
      <c r="B274">
        <v>213678</v>
      </c>
      <c r="C274" s="13">
        <v>2490</v>
      </c>
      <c r="D274" s="13" t="s">
        <v>862</v>
      </c>
      <c r="E274" s="13"/>
      <c r="F274" s="13"/>
      <c r="G274" s="13" t="s">
        <v>1305</v>
      </c>
    </row>
    <row r="275" spans="1:7" x14ac:dyDescent="0.25">
      <c r="A275" s="13" t="s">
        <v>3</v>
      </c>
      <c r="B275">
        <v>138406</v>
      </c>
      <c r="C275" s="13">
        <v>1990</v>
      </c>
      <c r="D275" s="13" t="s">
        <v>865</v>
      </c>
      <c r="E275" s="13"/>
      <c r="F275" s="13"/>
      <c r="G275" s="13" t="s">
        <v>1300</v>
      </c>
    </row>
    <row r="276" spans="1:7" x14ac:dyDescent="0.25">
      <c r="A276" s="13" t="s">
        <v>3</v>
      </c>
      <c r="B276">
        <v>223090</v>
      </c>
      <c r="C276" s="13"/>
      <c r="D276" s="13"/>
      <c r="E276" s="13"/>
      <c r="F276" s="13"/>
      <c r="G276" s="13" t="s">
        <v>947</v>
      </c>
    </row>
    <row r="277" spans="1:7" x14ac:dyDescent="0.25">
      <c r="A277" s="13" t="s">
        <v>3</v>
      </c>
      <c r="B277">
        <v>138543</v>
      </c>
      <c r="C277" s="13" t="s">
        <v>1429</v>
      </c>
      <c r="D277" s="13" t="s">
        <v>1475</v>
      </c>
      <c r="E277" s="13"/>
      <c r="F277" s="13"/>
      <c r="G277" s="13" t="s">
        <v>947</v>
      </c>
    </row>
    <row r="278" spans="1:7" x14ac:dyDescent="0.25">
      <c r="A278" s="13" t="s">
        <v>3</v>
      </c>
      <c r="B278">
        <v>133278</v>
      </c>
      <c r="C278" s="13" t="s">
        <v>1269</v>
      </c>
      <c r="D278" s="13"/>
      <c r="E278" s="13"/>
      <c r="F278" s="13"/>
      <c r="G278" s="13" t="s">
        <v>947</v>
      </c>
    </row>
    <row r="279" spans="1:7" x14ac:dyDescent="0.25">
      <c r="A279" s="13" t="s">
        <v>3</v>
      </c>
      <c r="B279">
        <v>201811</v>
      </c>
      <c r="C279" s="13">
        <v>2390</v>
      </c>
      <c r="D279" s="13" t="s">
        <v>867</v>
      </c>
      <c r="E279" s="13"/>
      <c r="F279" s="13"/>
      <c r="G279" s="13" t="s">
        <v>1306</v>
      </c>
    </row>
    <row r="280" spans="1:7" x14ac:dyDescent="0.25">
      <c r="A280" s="13" t="s">
        <v>3</v>
      </c>
      <c r="B280">
        <v>201768</v>
      </c>
      <c r="C280" s="13">
        <v>2590</v>
      </c>
      <c r="D280" s="13" t="s">
        <v>866</v>
      </c>
      <c r="E280" s="13"/>
      <c r="F280" s="13"/>
      <c r="G280" s="13" t="s">
        <v>1308</v>
      </c>
    </row>
    <row r="281" spans="1:7" x14ac:dyDescent="0.25">
      <c r="A281" s="13" t="s">
        <v>3</v>
      </c>
      <c r="B281">
        <v>143809</v>
      </c>
      <c r="C281" s="13">
        <v>2590</v>
      </c>
      <c r="D281" s="13" t="s">
        <v>866</v>
      </c>
      <c r="E281" s="13"/>
      <c r="F281" s="13"/>
      <c r="G281" s="13" t="s">
        <v>1308</v>
      </c>
    </row>
    <row r="282" spans="1:7" x14ac:dyDescent="0.25">
      <c r="A282" s="13" t="s">
        <v>3</v>
      </c>
      <c r="B282">
        <v>212191</v>
      </c>
      <c r="C282" s="13" t="s">
        <v>1269</v>
      </c>
      <c r="D282" s="13"/>
      <c r="E282" s="13"/>
      <c r="F282" s="13"/>
      <c r="G282" s="13" t="s">
        <v>947</v>
      </c>
    </row>
    <row r="283" spans="1:7" x14ac:dyDescent="0.25">
      <c r="A283" s="13" t="s">
        <v>3</v>
      </c>
      <c r="B283">
        <v>223089</v>
      </c>
      <c r="C283" s="13" t="s">
        <v>1269</v>
      </c>
      <c r="D283" s="13"/>
      <c r="E283" s="13"/>
      <c r="F283" s="13"/>
      <c r="G283" s="13" t="s">
        <v>947</v>
      </c>
    </row>
    <row r="284" spans="1:7" x14ac:dyDescent="0.25">
      <c r="A284" s="13" t="s">
        <v>3</v>
      </c>
      <c r="B284">
        <v>223067</v>
      </c>
      <c r="C284" s="13" t="s">
        <v>1269</v>
      </c>
      <c r="D284" s="13"/>
      <c r="E284" s="13"/>
      <c r="F284" s="13"/>
      <c r="G284" s="13" t="s">
        <v>947</v>
      </c>
    </row>
    <row r="285" spans="1:7" x14ac:dyDescent="0.25">
      <c r="A285" s="13" t="s">
        <v>3</v>
      </c>
      <c r="B285">
        <v>117283</v>
      </c>
      <c r="C285" s="13">
        <v>2790</v>
      </c>
      <c r="D285" s="13" t="s">
        <v>873</v>
      </c>
      <c r="E285" s="13"/>
      <c r="F285" s="13"/>
      <c r="G285" s="13" t="s">
        <v>1309</v>
      </c>
    </row>
    <row r="286" spans="1:7" x14ac:dyDescent="0.25">
      <c r="A286" s="13" t="s">
        <v>3</v>
      </c>
      <c r="B286">
        <v>212185</v>
      </c>
      <c r="C286" s="13" t="s">
        <v>1269</v>
      </c>
      <c r="D286" s="13"/>
      <c r="E286" s="13"/>
      <c r="F286" s="13"/>
      <c r="G286" s="13" t="s">
        <v>947</v>
      </c>
    </row>
    <row r="287" spans="1:7" x14ac:dyDescent="0.25">
      <c r="A287" s="13" t="s">
        <v>3</v>
      </c>
      <c r="B287">
        <v>212188</v>
      </c>
      <c r="C287" s="13" t="s">
        <v>1269</v>
      </c>
      <c r="D287" s="13"/>
      <c r="E287" s="13"/>
      <c r="F287" s="13"/>
      <c r="G287" s="13" t="s">
        <v>947</v>
      </c>
    </row>
    <row r="288" spans="1:7" x14ac:dyDescent="0.25">
      <c r="A288" s="13" t="s">
        <v>3</v>
      </c>
      <c r="B288">
        <v>117286</v>
      </c>
      <c r="C288" s="13">
        <v>2690</v>
      </c>
      <c r="D288" s="13" t="s">
        <v>872</v>
      </c>
      <c r="E288" s="13"/>
      <c r="F288" s="13"/>
      <c r="G288" s="13" t="s">
        <v>1307</v>
      </c>
    </row>
    <row r="289" spans="1:7" x14ac:dyDescent="0.25">
      <c r="A289" s="13" t="s">
        <v>3</v>
      </c>
      <c r="B289">
        <v>143761</v>
      </c>
      <c r="C289" s="13">
        <v>2690</v>
      </c>
      <c r="D289" s="13" t="s">
        <v>871</v>
      </c>
      <c r="E289" s="13"/>
      <c r="F289" s="13"/>
      <c r="G289" s="13" t="s">
        <v>1307</v>
      </c>
    </row>
    <row r="290" spans="1:7" x14ac:dyDescent="0.25">
      <c r="A290" s="13" t="s">
        <v>3</v>
      </c>
      <c r="B290">
        <v>211424</v>
      </c>
      <c r="C290" s="13" t="s">
        <v>1269</v>
      </c>
      <c r="D290" s="13"/>
      <c r="E290" s="13"/>
      <c r="F290" s="13"/>
      <c r="G290" s="13" t="s">
        <v>947</v>
      </c>
    </row>
    <row r="291" spans="1:7" x14ac:dyDescent="0.25">
      <c r="A291" s="13" t="s">
        <v>3</v>
      </c>
      <c r="B291">
        <v>211417</v>
      </c>
      <c r="C291" s="13" t="s">
        <v>1269</v>
      </c>
      <c r="D291" s="13"/>
      <c r="E291" s="13"/>
      <c r="F291" s="13"/>
      <c r="G291" s="13" t="s">
        <v>947</v>
      </c>
    </row>
    <row r="292" spans="1:7" x14ac:dyDescent="0.25">
      <c r="A292" s="13" t="s">
        <v>3</v>
      </c>
      <c r="B292">
        <v>211425</v>
      </c>
      <c r="C292" s="13" t="s">
        <v>1269</v>
      </c>
      <c r="D292" s="13"/>
      <c r="E292" s="13"/>
      <c r="F292" s="13"/>
      <c r="G292" s="13" t="s">
        <v>947</v>
      </c>
    </row>
    <row r="293" spans="1:7" x14ac:dyDescent="0.25">
      <c r="A293" s="13" t="s">
        <v>3</v>
      </c>
      <c r="B293">
        <v>145559</v>
      </c>
      <c r="C293" s="13">
        <v>2990</v>
      </c>
      <c r="D293" s="13" t="s">
        <v>868</v>
      </c>
      <c r="E293" s="13"/>
      <c r="F293" s="13"/>
      <c r="G293" s="13" t="s">
        <v>1304</v>
      </c>
    </row>
    <row r="294" spans="1:7" x14ac:dyDescent="0.25">
      <c r="A294" s="13" t="s">
        <v>3</v>
      </c>
      <c r="B294">
        <v>133322</v>
      </c>
      <c r="C294" s="13">
        <v>3390</v>
      </c>
      <c r="D294" s="13" t="s">
        <v>932</v>
      </c>
      <c r="E294" s="13"/>
      <c r="F294" s="13"/>
      <c r="G294" s="13" t="s">
        <v>1310</v>
      </c>
    </row>
    <row r="295" spans="1:7" x14ac:dyDescent="0.25">
      <c r="A295" s="13" t="s">
        <v>3</v>
      </c>
      <c r="B295">
        <v>211423</v>
      </c>
      <c r="C295" s="13" t="s">
        <v>1269</v>
      </c>
      <c r="D295" s="13"/>
      <c r="E295" s="13"/>
      <c r="F295" s="13"/>
      <c r="G295" s="13" t="s">
        <v>947</v>
      </c>
    </row>
    <row r="296" spans="1:7" x14ac:dyDescent="0.25">
      <c r="A296" s="13" t="s">
        <v>3</v>
      </c>
      <c r="B296">
        <v>213675</v>
      </c>
      <c r="C296" s="13" t="s">
        <v>1269</v>
      </c>
      <c r="D296" s="13"/>
      <c r="E296" s="13"/>
      <c r="F296" s="13"/>
      <c r="G296" s="13" t="s">
        <v>947</v>
      </c>
    </row>
    <row r="297" spans="1:7" x14ac:dyDescent="0.25">
      <c r="A297" s="13" t="s">
        <v>3</v>
      </c>
      <c r="B297">
        <v>117284</v>
      </c>
      <c r="C297" s="13" t="s">
        <v>1269</v>
      </c>
      <c r="D297" s="13"/>
      <c r="E297" s="13"/>
      <c r="F297" s="13"/>
      <c r="G297" s="13" t="s">
        <v>947</v>
      </c>
    </row>
    <row r="298" spans="1:7" x14ac:dyDescent="0.25">
      <c r="A298" s="13" t="s">
        <v>3</v>
      </c>
      <c r="B298">
        <v>213614</v>
      </c>
      <c r="C298" s="13"/>
      <c r="D298" s="13"/>
      <c r="E298" s="13"/>
      <c r="F298" s="13"/>
      <c r="G298" s="13" t="s">
        <v>947</v>
      </c>
    </row>
    <row r="299" spans="1:7" x14ac:dyDescent="0.25">
      <c r="A299" s="13" t="s">
        <v>3</v>
      </c>
      <c r="B299">
        <v>223714</v>
      </c>
      <c r="C299" s="13" t="s">
        <v>1269</v>
      </c>
      <c r="D299" s="13"/>
      <c r="E299" s="13"/>
      <c r="F299" s="13"/>
      <c r="G299" s="13" t="s">
        <v>947</v>
      </c>
    </row>
    <row r="300" spans="1:7" x14ac:dyDescent="0.25">
      <c r="A300" s="13" t="s">
        <v>3</v>
      </c>
      <c r="B300">
        <v>117281</v>
      </c>
      <c r="C300" s="13">
        <v>3490</v>
      </c>
      <c r="D300" s="13" t="s">
        <v>870</v>
      </c>
      <c r="E300" s="13"/>
      <c r="F300" s="13"/>
      <c r="G300" s="13" t="s">
        <v>1311</v>
      </c>
    </row>
    <row r="301" spans="1:7" x14ac:dyDescent="0.25">
      <c r="A301" s="13" t="s">
        <v>3</v>
      </c>
      <c r="B301">
        <v>133319</v>
      </c>
      <c r="C301" s="13" t="s">
        <v>1269</v>
      </c>
      <c r="D301" s="13"/>
      <c r="E301" s="13"/>
      <c r="F301" s="13"/>
      <c r="G301" s="13" t="s">
        <v>947</v>
      </c>
    </row>
    <row r="302" spans="1:7" x14ac:dyDescent="0.25">
      <c r="A302" s="13" t="s">
        <v>3</v>
      </c>
      <c r="B302">
        <v>145557</v>
      </c>
      <c r="C302" s="13">
        <v>3390</v>
      </c>
      <c r="D302" s="13" t="s">
        <v>869</v>
      </c>
      <c r="E302" s="13"/>
      <c r="F302" s="13"/>
      <c r="G302" s="13" t="s">
        <v>1310</v>
      </c>
    </row>
    <row r="303" spans="1:7" x14ac:dyDescent="0.25">
      <c r="A303" s="13" t="s">
        <v>3</v>
      </c>
      <c r="B303">
        <v>213668</v>
      </c>
      <c r="C303" s="13">
        <v>3190</v>
      </c>
      <c r="D303" s="13" t="s">
        <v>740</v>
      </c>
      <c r="E303" s="13"/>
      <c r="F303" s="13"/>
      <c r="G303" s="13" t="s">
        <v>1312</v>
      </c>
    </row>
    <row r="304" spans="1:7" x14ac:dyDescent="0.25">
      <c r="A304" s="13" t="s">
        <v>3</v>
      </c>
      <c r="B304">
        <v>133334</v>
      </c>
      <c r="C304" s="13">
        <v>3490</v>
      </c>
      <c r="D304" s="13" t="s">
        <v>786</v>
      </c>
      <c r="E304" s="13"/>
      <c r="F304" s="13"/>
      <c r="G304" s="13" t="s">
        <v>1311</v>
      </c>
    </row>
    <row r="305" spans="1:7" x14ac:dyDescent="0.25">
      <c r="A305" s="13" t="s">
        <v>3</v>
      </c>
      <c r="B305">
        <v>143760</v>
      </c>
      <c r="C305" s="13">
        <v>3190</v>
      </c>
      <c r="D305" s="13" t="s">
        <v>740</v>
      </c>
      <c r="E305" s="13"/>
      <c r="F305" s="13"/>
      <c r="G305" s="13" t="s">
        <v>1312</v>
      </c>
    </row>
    <row r="306" spans="1:7" x14ac:dyDescent="0.25">
      <c r="A306" s="13" t="s">
        <v>3</v>
      </c>
      <c r="B306">
        <v>133271</v>
      </c>
      <c r="C306" s="13" t="s">
        <v>1269</v>
      </c>
      <c r="D306" s="13"/>
      <c r="E306" s="13"/>
      <c r="F306" s="13"/>
      <c r="G306" s="13" t="s">
        <v>947</v>
      </c>
    </row>
    <row r="307" spans="1:7" x14ac:dyDescent="0.25">
      <c r="A307" s="13" t="s">
        <v>3</v>
      </c>
      <c r="B307">
        <v>143762</v>
      </c>
      <c r="C307" s="13">
        <v>3190</v>
      </c>
      <c r="D307" s="13" t="s">
        <v>1473</v>
      </c>
      <c r="E307" s="13"/>
      <c r="F307" s="13"/>
      <c r="G307" s="13" t="s">
        <v>947</v>
      </c>
    </row>
    <row r="308" spans="1:7" x14ac:dyDescent="0.25">
      <c r="A308" s="13" t="s">
        <v>3</v>
      </c>
      <c r="B308">
        <v>145537</v>
      </c>
      <c r="C308" s="13">
        <v>3590</v>
      </c>
      <c r="D308" s="13" t="s">
        <v>758</v>
      </c>
      <c r="E308" s="13"/>
      <c r="F308" s="13"/>
      <c r="G308" s="13" t="s">
        <v>1284</v>
      </c>
    </row>
    <row r="309" spans="1:7" x14ac:dyDescent="0.25">
      <c r="A309" s="13" t="s">
        <v>3</v>
      </c>
      <c r="B309">
        <v>213661</v>
      </c>
      <c r="C309" s="13">
        <v>2590</v>
      </c>
      <c r="D309" s="13" t="s">
        <v>1362</v>
      </c>
      <c r="E309" s="13"/>
      <c r="F309" s="13"/>
      <c r="G309" s="13" t="s">
        <v>1308</v>
      </c>
    </row>
    <row r="310" spans="1:7" x14ac:dyDescent="0.25">
      <c r="A310" s="13" t="s">
        <v>3</v>
      </c>
      <c r="B310">
        <v>145556</v>
      </c>
      <c r="C310" s="13">
        <v>3390</v>
      </c>
      <c r="D310" s="13" t="s">
        <v>874</v>
      </c>
      <c r="E310" s="13"/>
      <c r="F310" s="13"/>
      <c r="G310" s="13" t="s">
        <v>1310</v>
      </c>
    </row>
    <row r="311" spans="1:7" x14ac:dyDescent="0.25">
      <c r="A311" s="13" t="s">
        <v>3</v>
      </c>
      <c r="B311">
        <v>211432</v>
      </c>
      <c r="C311" s="13" t="s">
        <v>1269</v>
      </c>
      <c r="D311" s="13"/>
      <c r="E311" s="13"/>
      <c r="F311" s="13"/>
      <c r="G311" s="13" t="s">
        <v>947</v>
      </c>
    </row>
    <row r="312" spans="1:7" x14ac:dyDescent="0.25">
      <c r="A312" s="13" t="s">
        <v>3</v>
      </c>
      <c r="B312">
        <v>213655</v>
      </c>
      <c r="C312" s="13" t="s">
        <v>1269</v>
      </c>
      <c r="D312" s="13"/>
      <c r="E312" s="13"/>
      <c r="F312" s="13"/>
      <c r="G312" s="13" t="s">
        <v>947</v>
      </c>
    </row>
    <row r="313" spans="1:7" x14ac:dyDescent="0.25">
      <c r="A313" s="13" t="s">
        <v>3</v>
      </c>
      <c r="B313">
        <v>117276</v>
      </c>
      <c r="C313" s="13"/>
      <c r="D313" s="13"/>
      <c r="E313" s="13"/>
      <c r="F313" s="13"/>
      <c r="G313" s="13" t="s">
        <v>947</v>
      </c>
    </row>
    <row r="314" spans="1:7" x14ac:dyDescent="0.25">
      <c r="A314" s="13" t="s">
        <v>3</v>
      </c>
      <c r="B314">
        <v>211428</v>
      </c>
      <c r="C314" s="13" t="s">
        <v>1269</v>
      </c>
      <c r="D314" s="13"/>
      <c r="E314" s="13"/>
      <c r="F314" s="13"/>
      <c r="G314" s="13" t="s">
        <v>947</v>
      </c>
    </row>
    <row r="315" spans="1:7" x14ac:dyDescent="0.25">
      <c r="A315" s="13" t="s">
        <v>3</v>
      </c>
      <c r="B315">
        <v>211427</v>
      </c>
      <c r="C315" s="13" t="s">
        <v>1269</v>
      </c>
      <c r="D315" s="13"/>
      <c r="E315" s="13"/>
      <c r="F315" s="13"/>
      <c r="G315" s="13" t="s">
        <v>947</v>
      </c>
    </row>
    <row r="316" spans="1:7" x14ac:dyDescent="0.25">
      <c r="A316" s="13" t="s">
        <v>3</v>
      </c>
      <c r="B316">
        <v>211430</v>
      </c>
      <c r="C316" s="13">
        <v>3590</v>
      </c>
      <c r="D316" s="13" t="s">
        <v>933</v>
      </c>
      <c r="E316" s="13"/>
      <c r="F316" s="13"/>
      <c r="G316" s="13" t="s">
        <v>1284</v>
      </c>
    </row>
    <row r="317" spans="1:7" x14ac:dyDescent="0.25">
      <c r="A317" s="13" t="s">
        <v>3</v>
      </c>
      <c r="B317">
        <v>211431</v>
      </c>
      <c r="C317" s="13" t="s">
        <v>1269</v>
      </c>
      <c r="D317" s="13"/>
      <c r="E317" s="13"/>
      <c r="F317" s="13"/>
      <c r="G317" s="13" t="s">
        <v>947</v>
      </c>
    </row>
    <row r="318" spans="1:7" x14ac:dyDescent="0.25">
      <c r="A318" s="13" t="s">
        <v>3</v>
      </c>
      <c r="B318">
        <v>220053</v>
      </c>
      <c r="C318" s="13">
        <v>3990</v>
      </c>
      <c r="D318" s="13" t="s">
        <v>875</v>
      </c>
      <c r="E318" s="13"/>
      <c r="F318" s="13"/>
      <c r="G318" s="13" t="s">
        <v>1313</v>
      </c>
    </row>
    <row r="319" spans="1:7" x14ac:dyDescent="0.25">
      <c r="A319" s="13" t="s">
        <v>3</v>
      </c>
      <c r="B319">
        <v>220055</v>
      </c>
      <c r="C319" s="13">
        <v>3990</v>
      </c>
      <c r="D319" s="13" t="s">
        <v>876</v>
      </c>
      <c r="E319" s="13"/>
      <c r="F319" s="13"/>
      <c r="G319" s="13" t="s">
        <v>947</v>
      </c>
    </row>
    <row r="320" spans="1:7" x14ac:dyDescent="0.25">
      <c r="A320" s="13" t="s">
        <v>3</v>
      </c>
      <c r="B320">
        <v>201797</v>
      </c>
      <c r="C320" s="13">
        <v>3890</v>
      </c>
      <c r="D320" s="13" t="s">
        <v>881</v>
      </c>
      <c r="E320" s="13"/>
      <c r="F320" s="13"/>
      <c r="G320" s="13" t="s">
        <v>1314</v>
      </c>
    </row>
    <row r="321" spans="1:7" x14ac:dyDescent="0.25">
      <c r="A321" s="13" t="s">
        <v>3</v>
      </c>
      <c r="B321">
        <v>213707</v>
      </c>
      <c r="C321" s="13">
        <v>4790</v>
      </c>
      <c r="D321" s="13" t="s">
        <v>767</v>
      </c>
      <c r="E321" s="13"/>
      <c r="F321" s="13"/>
      <c r="G321" s="13" t="s">
        <v>1315</v>
      </c>
    </row>
    <row r="322" spans="1:7" x14ac:dyDescent="0.25">
      <c r="A322" s="13" t="s">
        <v>3</v>
      </c>
      <c r="B322">
        <v>211429</v>
      </c>
      <c r="C322" s="13" t="s">
        <v>1269</v>
      </c>
      <c r="D322" s="13"/>
      <c r="E322" s="13"/>
      <c r="F322" s="13"/>
      <c r="G322" s="13" t="s">
        <v>947</v>
      </c>
    </row>
    <row r="323" spans="1:7" x14ac:dyDescent="0.25">
      <c r="A323" s="13" t="s">
        <v>3</v>
      </c>
      <c r="B323">
        <v>223950</v>
      </c>
      <c r="C323" s="13">
        <v>4190</v>
      </c>
      <c r="D323" s="13" t="s">
        <v>882</v>
      </c>
      <c r="E323" s="13"/>
      <c r="F323" s="13"/>
      <c r="G323" s="13" t="s">
        <v>1316</v>
      </c>
    </row>
    <row r="324" spans="1:7" x14ac:dyDescent="0.25">
      <c r="A324" s="13" t="s">
        <v>3</v>
      </c>
      <c r="B324">
        <v>223949</v>
      </c>
      <c r="C324" s="13">
        <v>4190</v>
      </c>
      <c r="D324" s="13" t="s">
        <v>883</v>
      </c>
      <c r="E324" s="13"/>
      <c r="F324" s="13"/>
      <c r="G324" s="13" t="s">
        <v>1316</v>
      </c>
    </row>
    <row r="325" spans="1:7" x14ac:dyDescent="0.25">
      <c r="A325" s="13" t="s">
        <v>3</v>
      </c>
      <c r="B325">
        <v>202706</v>
      </c>
      <c r="C325" s="13">
        <v>3790</v>
      </c>
      <c r="D325" s="13" t="s">
        <v>884</v>
      </c>
      <c r="E325" s="13"/>
      <c r="F325" s="13"/>
      <c r="G325" s="13" t="s">
        <v>1317</v>
      </c>
    </row>
    <row r="326" spans="1:7" x14ac:dyDescent="0.25">
      <c r="A326" s="13" t="s">
        <v>3</v>
      </c>
      <c r="B326">
        <v>211466</v>
      </c>
      <c r="C326" s="13" t="s">
        <v>1269</v>
      </c>
      <c r="D326" s="13"/>
      <c r="E326" s="13"/>
      <c r="F326" s="13"/>
      <c r="G326" s="13" t="s">
        <v>947</v>
      </c>
    </row>
    <row r="327" spans="1:7" x14ac:dyDescent="0.25">
      <c r="A327" s="13" t="s">
        <v>3</v>
      </c>
      <c r="B327">
        <v>145474</v>
      </c>
      <c r="C327" s="13">
        <v>3390</v>
      </c>
      <c r="D327" s="13" t="s">
        <v>877</v>
      </c>
      <c r="E327" s="13"/>
      <c r="F327" s="13"/>
      <c r="G327" s="13" t="s">
        <v>1310</v>
      </c>
    </row>
    <row r="328" spans="1:7" x14ac:dyDescent="0.25">
      <c r="A328" s="13" t="s">
        <v>3</v>
      </c>
      <c r="B328">
        <v>145491</v>
      </c>
      <c r="C328" s="13">
        <v>3390</v>
      </c>
      <c r="D328" s="13" t="s">
        <v>878</v>
      </c>
      <c r="E328" s="13"/>
      <c r="F328" s="13"/>
      <c r="G328" s="13" t="s">
        <v>1310</v>
      </c>
    </row>
    <row r="329" spans="1:7" x14ac:dyDescent="0.25">
      <c r="A329" s="13" t="s">
        <v>3</v>
      </c>
      <c r="B329">
        <v>213706</v>
      </c>
      <c r="C329" s="13">
        <v>3890</v>
      </c>
      <c r="D329" s="13" t="s">
        <v>768</v>
      </c>
      <c r="E329" s="13"/>
      <c r="F329" s="13"/>
      <c r="G329" s="13" t="s">
        <v>1314</v>
      </c>
    </row>
    <row r="330" spans="1:7" x14ac:dyDescent="0.25">
      <c r="A330" s="13" t="s">
        <v>3</v>
      </c>
      <c r="B330">
        <v>213704</v>
      </c>
      <c r="C330" s="13">
        <v>3890</v>
      </c>
      <c r="D330" s="13" t="s">
        <v>769</v>
      </c>
      <c r="E330" s="13"/>
      <c r="F330" s="13"/>
      <c r="G330" s="13" t="s">
        <v>1314</v>
      </c>
    </row>
    <row r="331" spans="1:7" x14ac:dyDescent="0.25">
      <c r="A331" s="13" t="s">
        <v>3</v>
      </c>
      <c r="B331">
        <v>213694</v>
      </c>
      <c r="C331" s="13">
        <v>3790</v>
      </c>
      <c r="D331" s="13" t="s">
        <v>785</v>
      </c>
      <c r="E331" s="13"/>
      <c r="F331" s="13"/>
      <c r="G331" s="13" t="s">
        <v>1317</v>
      </c>
    </row>
    <row r="332" spans="1:7" x14ac:dyDescent="0.25">
      <c r="A332" s="13" t="s">
        <v>3</v>
      </c>
      <c r="B332">
        <v>133320</v>
      </c>
      <c r="C332" s="13">
        <v>5190</v>
      </c>
      <c r="D332" s="13" t="s">
        <v>934</v>
      </c>
      <c r="E332" s="13"/>
      <c r="F332" s="13"/>
      <c r="G332" s="13" t="s">
        <v>1318</v>
      </c>
    </row>
    <row r="333" spans="1:7" x14ac:dyDescent="0.25">
      <c r="A333" s="13" t="s">
        <v>3</v>
      </c>
      <c r="B333">
        <v>133321</v>
      </c>
      <c r="C333" s="13">
        <v>3890</v>
      </c>
      <c r="D333" s="13" t="s">
        <v>935</v>
      </c>
      <c r="E333" s="13"/>
      <c r="F333" s="13"/>
      <c r="G333" s="13" t="s">
        <v>1314</v>
      </c>
    </row>
    <row r="334" spans="1:7" x14ac:dyDescent="0.25">
      <c r="A334" s="13" t="s">
        <v>3</v>
      </c>
      <c r="B334">
        <v>145487</v>
      </c>
      <c r="C334" s="13">
        <v>3590</v>
      </c>
      <c r="D334" s="13" t="s">
        <v>879</v>
      </c>
      <c r="E334" s="13"/>
      <c r="F334" s="13"/>
      <c r="G334" s="13" t="s">
        <v>1284</v>
      </c>
    </row>
    <row r="335" spans="1:7" x14ac:dyDescent="0.25">
      <c r="A335" s="13" t="s">
        <v>3</v>
      </c>
      <c r="B335">
        <v>133276</v>
      </c>
      <c r="C335" s="13" t="s">
        <v>1269</v>
      </c>
      <c r="D335" s="13"/>
      <c r="E335" s="13"/>
      <c r="F335" s="13"/>
      <c r="G335" s="13" t="s">
        <v>947</v>
      </c>
    </row>
    <row r="336" spans="1:7" x14ac:dyDescent="0.25">
      <c r="A336" s="13" t="s">
        <v>3</v>
      </c>
      <c r="B336">
        <v>145538</v>
      </c>
      <c r="C336" s="13">
        <v>3990</v>
      </c>
      <c r="D336" s="13" t="s">
        <v>756</v>
      </c>
      <c r="E336" s="13"/>
      <c r="F336" s="13"/>
      <c r="G336" s="13" t="s">
        <v>1313</v>
      </c>
    </row>
    <row r="337" spans="1:7" x14ac:dyDescent="0.25">
      <c r="A337" s="13" t="s">
        <v>3</v>
      </c>
      <c r="B337">
        <v>220054</v>
      </c>
      <c r="C337" s="13">
        <v>3990</v>
      </c>
      <c r="D337" s="13" t="s">
        <v>880</v>
      </c>
      <c r="E337" s="13"/>
      <c r="F337" s="13"/>
      <c r="G337" s="13" t="s">
        <v>947</v>
      </c>
    </row>
    <row r="338" spans="1:7" x14ac:dyDescent="0.25">
      <c r="A338" s="13" t="s">
        <v>3</v>
      </c>
      <c r="B338">
        <v>145536</v>
      </c>
      <c r="C338" s="13">
        <v>4190</v>
      </c>
      <c r="D338" s="13" t="s">
        <v>757</v>
      </c>
      <c r="E338" s="13"/>
      <c r="F338" s="13"/>
      <c r="G338" s="13" t="s">
        <v>1316</v>
      </c>
    </row>
    <row r="339" spans="1:7" x14ac:dyDescent="0.25">
      <c r="A339" s="13" t="s">
        <v>3</v>
      </c>
      <c r="B339">
        <v>213712</v>
      </c>
      <c r="C339" s="13">
        <v>4790</v>
      </c>
      <c r="D339" s="13" t="s">
        <v>765</v>
      </c>
      <c r="E339" s="13"/>
      <c r="F339" s="13"/>
      <c r="G339" s="13" t="s">
        <v>1315</v>
      </c>
    </row>
    <row r="340" spans="1:7" x14ac:dyDescent="0.25">
      <c r="A340" s="13" t="s">
        <v>3</v>
      </c>
      <c r="B340">
        <v>133279</v>
      </c>
      <c r="C340" s="13" t="s">
        <v>1269</v>
      </c>
      <c r="D340" s="13"/>
      <c r="E340" s="13"/>
      <c r="F340" s="13"/>
      <c r="G340" s="13" t="s">
        <v>947</v>
      </c>
    </row>
    <row r="341" spans="1:7" x14ac:dyDescent="0.25">
      <c r="A341" s="13" t="s">
        <v>3</v>
      </c>
      <c r="B341">
        <v>133280</v>
      </c>
      <c r="C341" s="13" t="s">
        <v>1269</v>
      </c>
      <c r="D341" s="13"/>
      <c r="E341" s="13"/>
      <c r="F341" s="13"/>
      <c r="G341" s="13" t="s">
        <v>947</v>
      </c>
    </row>
    <row r="342" spans="1:7" x14ac:dyDescent="0.25">
      <c r="A342" s="13" t="s">
        <v>3</v>
      </c>
      <c r="B342">
        <v>213690</v>
      </c>
      <c r="C342" s="13">
        <v>5290</v>
      </c>
      <c r="D342" s="13" t="s">
        <v>784</v>
      </c>
      <c r="E342" s="13"/>
      <c r="F342" s="13"/>
      <c r="G342" s="13" t="s">
        <v>1319</v>
      </c>
    </row>
    <row r="343" spans="1:7" x14ac:dyDescent="0.25">
      <c r="A343" s="13" t="s">
        <v>3</v>
      </c>
      <c r="B343">
        <v>213659</v>
      </c>
      <c r="C343" s="13"/>
      <c r="D343" s="13"/>
      <c r="E343" s="13"/>
      <c r="F343" s="13"/>
      <c r="G343" s="13" t="s">
        <v>947</v>
      </c>
    </row>
    <row r="344" spans="1:7" x14ac:dyDescent="0.25">
      <c r="A344" s="13" t="s">
        <v>3</v>
      </c>
      <c r="B344">
        <v>213658</v>
      </c>
      <c r="C344" s="13"/>
      <c r="D344" s="13"/>
      <c r="E344" s="13"/>
      <c r="F344" s="13"/>
      <c r="G344" s="13" t="s">
        <v>947</v>
      </c>
    </row>
    <row r="345" spans="1:7" x14ac:dyDescent="0.25">
      <c r="A345" s="13" t="s">
        <v>3</v>
      </c>
      <c r="B345">
        <v>213657</v>
      </c>
      <c r="C345" s="13"/>
      <c r="D345" s="13"/>
      <c r="E345" s="13"/>
      <c r="F345" s="13"/>
      <c r="G345" s="13" t="s">
        <v>947</v>
      </c>
    </row>
    <row r="346" spans="1:7" x14ac:dyDescent="0.25">
      <c r="A346" s="13" t="s">
        <v>3</v>
      </c>
      <c r="B346">
        <v>145492</v>
      </c>
      <c r="C346" s="13">
        <v>3590</v>
      </c>
      <c r="D346" s="13" t="s">
        <v>783</v>
      </c>
      <c r="E346" s="13"/>
      <c r="F346" s="13"/>
      <c r="G346" s="13" t="s">
        <v>1284</v>
      </c>
    </row>
    <row r="347" spans="1:7" x14ac:dyDescent="0.25">
      <c r="A347" s="13" t="s">
        <v>3</v>
      </c>
      <c r="B347">
        <v>145540</v>
      </c>
      <c r="C347" s="13">
        <v>3990</v>
      </c>
      <c r="D347" s="13" t="s">
        <v>885</v>
      </c>
      <c r="E347" s="13"/>
      <c r="F347" s="13"/>
      <c r="G347" s="13" t="s">
        <v>1313</v>
      </c>
    </row>
    <row r="348" spans="1:7" x14ac:dyDescent="0.25">
      <c r="A348" s="13" t="s">
        <v>3</v>
      </c>
      <c r="B348">
        <v>117270</v>
      </c>
      <c r="C348" s="13">
        <v>4390</v>
      </c>
      <c r="D348" s="13" t="s">
        <v>762</v>
      </c>
      <c r="E348" s="13"/>
      <c r="F348" s="13"/>
      <c r="G348" s="13" t="s">
        <v>1321</v>
      </c>
    </row>
    <row r="349" spans="1:7" x14ac:dyDescent="0.25">
      <c r="A349" s="13" t="s">
        <v>3</v>
      </c>
      <c r="B349">
        <v>145529</v>
      </c>
      <c r="C349" s="13" t="s">
        <v>1428</v>
      </c>
      <c r="D349" s="13"/>
      <c r="E349" s="13"/>
      <c r="F349" s="13"/>
      <c r="G349" s="13" t="s">
        <v>947</v>
      </c>
    </row>
    <row r="350" spans="1:7" x14ac:dyDescent="0.25">
      <c r="A350" s="13" t="s">
        <v>3</v>
      </c>
      <c r="B350">
        <v>145534</v>
      </c>
      <c r="C350" s="13">
        <v>4290</v>
      </c>
      <c r="D350" s="13" t="s">
        <v>886</v>
      </c>
      <c r="E350" s="13"/>
      <c r="F350" s="13"/>
      <c r="G350" s="13" t="s">
        <v>1322</v>
      </c>
    </row>
    <row r="351" spans="1:7" x14ac:dyDescent="0.25">
      <c r="A351" s="13" t="s">
        <v>3</v>
      </c>
      <c r="B351">
        <v>213709</v>
      </c>
      <c r="C351" s="13">
        <v>4790</v>
      </c>
      <c r="D351" s="13" t="s">
        <v>782</v>
      </c>
      <c r="E351" s="13"/>
      <c r="F351" s="13"/>
      <c r="G351" s="13" t="s">
        <v>1315</v>
      </c>
    </row>
    <row r="352" spans="1:7" x14ac:dyDescent="0.25">
      <c r="A352" s="13" t="s">
        <v>3</v>
      </c>
      <c r="B352">
        <v>213711</v>
      </c>
      <c r="C352" s="13" t="s">
        <v>1269</v>
      </c>
      <c r="D352" s="13"/>
      <c r="E352" s="13"/>
      <c r="F352" s="13"/>
      <c r="G352" s="13" t="s">
        <v>947</v>
      </c>
    </row>
    <row r="353" spans="1:7" x14ac:dyDescent="0.25">
      <c r="A353" s="13" t="s">
        <v>3</v>
      </c>
      <c r="B353">
        <v>145477</v>
      </c>
      <c r="C353" s="13">
        <v>3390</v>
      </c>
      <c r="D353" s="13" t="s">
        <v>795</v>
      </c>
      <c r="E353" s="13"/>
      <c r="F353" s="13"/>
      <c r="G353" s="13" t="s">
        <v>1310</v>
      </c>
    </row>
    <row r="354" spans="1:7" x14ac:dyDescent="0.25">
      <c r="A354" s="13" t="s">
        <v>3</v>
      </c>
      <c r="B354">
        <v>145475</v>
      </c>
      <c r="C354" s="13">
        <v>4290</v>
      </c>
      <c r="D354" s="13" t="s">
        <v>796</v>
      </c>
      <c r="E354" s="13"/>
      <c r="F354" s="13"/>
      <c r="G354" s="13" t="s">
        <v>1322</v>
      </c>
    </row>
    <row r="355" spans="1:7" x14ac:dyDescent="0.25">
      <c r="A355" s="13" t="s">
        <v>3</v>
      </c>
      <c r="B355">
        <v>145483</v>
      </c>
      <c r="C355" s="13">
        <v>4290</v>
      </c>
      <c r="D355" s="13" t="s">
        <v>887</v>
      </c>
      <c r="E355" s="13"/>
      <c r="F355" s="13"/>
      <c r="G355" s="13" t="s">
        <v>1322</v>
      </c>
    </row>
    <row r="356" spans="1:7" x14ac:dyDescent="0.25">
      <c r="A356" s="13" t="s">
        <v>3</v>
      </c>
      <c r="B356">
        <v>145544</v>
      </c>
      <c r="C356" s="13">
        <v>4290</v>
      </c>
      <c r="D356" s="13" t="s">
        <v>747</v>
      </c>
      <c r="E356" s="13"/>
      <c r="F356" s="13"/>
      <c r="G356" s="13" t="s">
        <v>1322</v>
      </c>
    </row>
    <row r="357" spans="1:7" x14ac:dyDescent="0.25">
      <c r="A357" s="13" t="s">
        <v>3</v>
      </c>
      <c r="B357">
        <v>224161</v>
      </c>
      <c r="C357" s="13">
        <v>3590</v>
      </c>
      <c r="D357" s="13" t="s">
        <v>781</v>
      </c>
      <c r="E357" s="13"/>
      <c r="F357" s="13"/>
      <c r="G357" s="13" t="s">
        <v>1284</v>
      </c>
    </row>
    <row r="358" spans="1:7" x14ac:dyDescent="0.25">
      <c r="A358" s="13" t="s">
        <v>3</v>
      </c>
      <c r="B358">
        <v>224160</v>
      </c>
      <c r="C358" s="13">
        <v>4290</v>
      </c>
      <c r="D358" s="13" t="s">
        <v>780</v>
      </c>
      <c r="E358" s="13"/>
      <c r="F358" s="13"/>
      <c r="G358" s="13" t="s">
        <v>1322</v>
      </c>
    </row>
    <row r="359" spans="1:7" x14ac:dyDescent="0.25">
      <c r="A359" s="13" t="s">
        <v>3</v>
      </c>
      <c r="B359">
        <v>213693</v>
      </c>
      <c r="C359" s="13">
        <v>4590</v>
      </c>
      <c r="D359" s="13" t="s">
        <v>763</v>
      </c>
      <c r="E359" s="13"/>
      <c r="F359" s="13"/>
      <c r="G359" s="13" t="s">
        <v>1320</v>
      </c>
    </row>
    <row r="360" spans="1:7" x14ac:dyDescent="0.25">
      <c r="A360" s="13" t="s">
        <v>3</v>
      </c>
      <c r="B360">
        <v>133318</v>
      </c>
      <c r="C360" s="13">
        <v>4790</v>
      </c>
      <c r="D360" s="13" t="s">
        <v>779</v>
      </c>
      <c r="E360" s="13"/>
      <c r="F360" s="13"/>
      <c r="G360" s="13" t="s">
        <v>1315</v>
      </c>
    </row>
    <row r="361" spans="1:7" x14ac:dyDescent="0.25">
      <c r="A361" s="13" t="s">
        <v>3</v>
      </c>
      <c r="B361">
        <v>117269</v>
      </c>
      <c r="C361" s="13">
        <v>4590</v>
      </c>
      <c r="D361" s="13" t="s">
        <v>1474</v>
      </c>
      <c r="E361" s="13"/>
      <c r="F361" s="13"/>
      <c r="G361" s="13" t="s">
        <v>947</v>
      </c>
    </row>
    <row r="362" spans="1:7" x14ac:dyDescent="0.25">
      <c r="A362" s="13" t="s">
        <v>3</v>
      </c>
      <c r="B362">
        <v>201796</v>
      </c>
      <c r="C362" s="13">
        <v>5190</v>
      </c>
      <c r="D362" s="13" t="s">
        <v>778</v>
      </c>
      <c r="E362" s="13"/>
      <c r="F362" s="13"/>
      <c r="G362" s="13" t="s">
        <v>1318</v>
      </c>
    </row>
    <row r="363" spans="1:7" x14ac:dyDescent="0.25">
      <c r="A363" s="13" t="s">
        <v>3</v>
      </c>
      <c r="B363">
        <v>213701</v>
      </c>
      <c r="C363" s="13">
        <v>4590</v>
      </c>
      <c r="D363" s="13" t="s">
        <v>777</v>
      </c>
      <c r="E363" s="13"/>
      <c r="F363" s="13"/>
      <c r="G363" s="13" t="s">
        <v>1320</v>
      </c>
    </row>
    <row r="364" spans="1:7" x14ac:dyDescent="0.25">
      <c r="A364" s="13" t="s">
        <v>3</v>
      </c>
      <c r="B364">
        <v>213685</v>
      </c>
      <c r="C364" s="13">
        <v>5290</v>
      </c>
      <c r="D364" s="13" t="s">
        <v>776</v>
      </c>
      <c r="E364" s="13"/>
      <c r="F364" s="13"/>
      <c r="G364" s="13" t="s">
        <v>1319</v>
      </c>
    </row>
    <row r="365" spans="1:7" x14ac:dyDescent="0.25">
      <c r="A365" s="13" t="s">
        <v>3</v>
      </c>
      <c r="B365">
        <v>145476</v>
      </c>
      <c r="C365" s="13">
        <v>4690</v>
      </c>
      <c r="D365" s="13" t="s">
        <v>742</v>
      </c>
      <c r="E365" s="13"/>
      <c r="F365" s="13"/>
      <c r="G365" s="13" t="s">
        <v>1323</v>
      </c>
    </row>
    <row r="366" spans="1:7" x14ac:dyDescent="0.25">
      <c r="A366" s="13" t="s">
        <v>3</v>
      </c>
      <c r="B366">
        <v>145493</v>
      </c>
      <c r="C366" s="13">
        <v>3490</v>
      </c>
      <c r="D366" s="13" t="s">
        <v>745</v>
      </c>
      <c r="E366" s="13"/>
      <c r="F366" s="13"/>
      <c r="G366" s="13" t="s">
        <v>1311</v>
      </c>
    </row>
    <row r="367" spans="1:7" x14ac:dyDescent="0.25">
      <c r="A367" s="13" t="s">
        <v>3</v>
      </c>
      <c r="B367">
        <v>213710</v>
      </c>
      <c r="C367" s="13" t="s">
        <v>686</v>
      </c>
      <c r="D367" s="13" t="s">
        <v>741</v>
      </c>
      <c r="E367" s="13"/>
      <c r="F367" s="13"/>
      <c r="G367" s="13" t="s">
        <v>947</v>
      </c>
    </row>
    <row r="368" spans="1:7" x14ac:dyDescent="0.25">
      <c r="A368" s="13" t="s">
        <v>3</v>
      </c>
      <c r="B368">
        <v>213713</v>
      </c>
      <c r="C368" s="13">
        <v>4790</v>
      </c>
      <c r="D368" s="13" t="s">
        <v>775</v>
      </c>
      <c r="E368" s="13"/>
      <c r="F368" s="13"/>
      <c r="G368" s="13" t="s">
        <v>1315</v>
      </c>
    </row>
    <row r="369" spans="1:7" x14ac:dyDescent="0.25">
      <c r="A369" s="13" t="s">
        <v>3</v>
      </c>
      <c r="B369">
        <v>213715</v>
      </c>
      <c r="C369" s="13">
        <v>4790</v>
      </c>
      <c r="D369" s="13" t="s">
        <v>766</v>
      </c>
      <c r="E369" s="13"/>
      <c r="F369" s="13"/>
      <c r="G369" s="13" t="s">
        <v>1315</v>
      </c>
    </row>
    <row r="370" spans="1:7" x14ac:dyDescent="0.25">
      <c r="A370" s="13" t="s">
        <v>3</v>
      </c>
      <c r="B370">
        <v>213700</v>
      </c>
      <c r="C370" s="13">
        <v>5090</v>
      </c>
      <c r="D370" s="13" t="s">
        <v>774</v>
      </c>
      <c r="E370" s="13"/>
      <c r="F370" s="13"/>
      <c r="G370" s="13" t="s">
        <v>1324</v>
      </c>
    </row>
    <row r="371" spans="1:7" x14ac:dyDescent="0.25">
      <c r="A371" s="13" t="s">
        <v>3</v>
      </c>
      <c r="B371">
        <v>213702</v>
      </c>
      <c r="C371" s="13">
        <v>4490</v>
      </c>
      <c r="D371" s="13" t="s">
        <v>773</v>
      </c>
      <c r="E371" s="13"/>
      <c r="F371" s="13"/>
      <c r="G371" s="13" t="s">
        <v>1325</v>
      </c>
    </row>
    <row r="372" spans="1:7" x14ac:dyDescent="0.25">
      <c r="A372" s="13" t="s">
        <v>3</v>
      </c>
      <c r="B372">
        <v>213714</v>
      </c>
      <c r="C372" s="13">
        <v>4790</v>
      </c>
      <c r="D372" s="13" t="s">
        <v>764</v>
      </c>
      <c r="E372" s="13"/>
      <c r="F372" s="13"/>
      <c r="G372" s="13" t="s">
        <v>1315</v>
      </c>
    </row>
    <row r="373" spans="1:7" x14ac:dyDescent="0.25">
      <c r="A373" s="13" t="s">
        <v>3</v>
      </c>
      <c r="B373">
        <v>213703</v>
      </c>
      <c r="C373" s="13">
        <v>4890</v>
      </c>
      <c r="D373" s="13" t="s">
        <v>772</v>
      </c>
      <c r="E373" s="13"/>
      <c r="F373" s="13"/>
      <c r="G373" s="13" t="s">
        <v>1326</v>
      </c>
    </row>
    <row r="374" spans="1:7" x14ac:dyDescent="0.25">
      <c r="A374" s="13" t="s">
        <v>3</v>
      </c>
      <c r="B374">
        <v>213691</v>
      </c>
      <c r="C374" s="13">
        <v>4890</v>
      </c>
      <c r="D374" s="13" t="s">
        <v>888</v>
      </c>
      <c r="E374" s="13"/>
      <c r="F374" s="13"/>
      <c r="G374" s="13" t="s">
        <v>1326</v>
      </c>
    </row>
    <row r="375" spans="1:7" x14ac:dyDescent="0.25">
      <c r="A375" s="13" t="s">
        <v>3</v>
      </c>
      <c r="B375">
        <v>213686</v>
      </c>
      <c r="C375" s="13">
        <v>4890</v>
      </c>
      <c r="D375" s="13" t="s">
        <v>761</v>
      </c>
      <c r="E375" s="13"/>
      <c r="F375" s="13"/>
      <c r="G375" s="13" t="s">
        <v>1326</v>
      </c>
    </row>
    <row r="376" spans="1:7" x14ac:dyDescent="0.25">
      <c r="A376" s="13" t="s">
        <v>3</v>
      </c>
      <c r="B376">
        <v>145490</v>
      </c>
      <c r="C376" s="13">
        <v>3890</v>
      </c>
      <c r="D376" s="13" t="s">
        <v>760</v>
      </c>
      <c r="E376" s="13"/>
      <c r="F376" s="13"/>
      <c r="G376" s="13" t="s">
        <v>1314</v>
      </c>
    </row>
    <row r="377" spans="1:7" x14ac:dyDescent="0.25">
      <c r="A377" s="13" t="s">
        <v>3</v>
      </c>
      <c r="B377">
        <v>213688</v>
      </c>
      <c r="C377" s="13">
        <v>4990</v>
      </c>
      <c r="D377" s="13" t="s">
        <v>759</v>
      </c>
      <c r="E377" s="13"/>
      <c r="F377" s="13"/>
      <c r="G377" s="13" t="s">
        <v>1327</v>
      </c>
    </row>
    <row r="378" spans="1:7" x14ac:dyDescent="0.25">
      <c r="A378" s="13" t="s">
        <v>3</v>
      </c>
      <c r="B378">
        <v>213692</v>
      </c>
      <c r="C378" s="13">
        <v>4890</v>
      </c>
      <c r="D378" s="13" t="s">
        <v>889</v>
      </c>
      <c r="E378" s="13"/>
      <c r="F378" s="13"/>
      <c r="G378" s="13" t="s">
        <v>1326</v>
      </c>
    </row>
    <row r="379" spans="1:7" x14ac:dyDescent="0.25">
      <c r="A379" s="13" t="s">
        <v>3</v>
      </c>
      <c r="B379">
        <v>211438</v>
      </c>
      <c r="C379" s="13" t="s">
        <v>1269</v>
      </c>
      <c r="D379" s="13"/>
      <c r="E379" s="13"/>
      <c r="F379" s="13"/>
      <c r="G379" s="13" t="s">
        <v>947</v>
      </c>
    </row>
    <row r="380" spans="1:7" x14ac:dyDescent="0.25">
      <c r="A380" s="13" t="s">
        <v>3</v>
      </c>
      <c r="B380">
        <v>145473</v>
      </c>
      <c r="C380" s="13">
        <v>5890</v>
      </c>
      <c r="D380" s="13" t="s">
        <v>890</v>
      </c>
      <c r="E380" s="13"/>
      <c r="F380" s="13"/>
      <c r="G380" s="13" t="s">
        <v>1328</v>
      </c>
    </row>
    <row r="381" spans="1:7" x14ac:dyDescent="0.25">
      <c r="A381" s="13" t="s">
        <v>3</v>
      </c>
      <c r="B381">
        <v>145488</v>
      </c>
      <c r="C381" s="13">
        <v>5890</v>
      </c>
      <c r="D381" s="13" t="s">
        <v>754</v>
      </c>
      <c r="E381" s="13"/>
      <c r="F381" s="13"/>
      <c r="G381" s="13" t="s">
        <v>1328</v>
      </c>
    </row>
    <row r="382" spans="1:7" x14ac:dyDescent="0.25">
      <c r="A382" s="13" t="s">
        <v>3</v>
      </c>
      <c r="B382">
        <v>133335</v>
      </c>
      <c r="C382" s="13">
        <v>4990</v>
      </c>
      <c r="D382" s="13" t="s">
        <v>936</v>
      </c>
      <c r="E382" s="13"/>
      <c r="F382" s="13"/>
      <c r="G382" s="13" t="s">
        <v>1327</v>
      </c>
    </row>
    <row r="383" spans="1:7" x14ac:dyDescent="0.25">
      <c r="A383" s="13" t="s">
        <v>3</v>
      </c>
      <c r="B383">
        <v>133339</v>
      </c>
      <c r="C383" s="13">
        <v>7490</v>
      </c>
      <c r="D383" s="13" t="s">
        <v>937</v>
      </c>
      <c r="E383" s="13"/>
      <c r="F383" s="13"/>
      <c r="G383" s="13" t="s">
        <v>1329</v>
      </c>
    </row>
    <row r="384" spans="1:7" x14ac:dyDescent="0.25">
      <c r="A384" s="13" t="s">
        <v>3</v>
      </c>
      <c r="B384">
        <v>164906</v>
      </c>
      <c r="C384" s="13">
        <v>5890</v>
      </c>
      <c r="D384" s="13" t="s">
        <v>752</v>
      </c>
      <c r="E384" s="13"/>
      <c r="F384" s="13"/>
      <c r="G384" s="13" t="s">
        <v>1328</v>
      </c>
    </row>
    <row r="385" spans="1:7" x14ac:dyDescent="0.25">
      <c r="A385" s="13" t="s">
        <v>3</v>
      </c>
      <c r="B385">
        <v>223954</v>
      </c>
      <c r="C385" s="13">
        <v>7990</v>
      </c>
      <c r="D385" s="13" t="s">
        <v>1361</v>
      </c>
      <c r="E385" s="13"/>
      <c r="F385" s="13"/>
      <c r="G385" s="13" t="s">
        <v>1330</v>
      </c>
    </row>
    <row r="386" spans="1:7" x14ac:dyDescent="0.25">
      <c r="A386" s="13" t="s">
        <v>3</v>
      </c>
      <c r="B386">
        <v>213708</v>
      </c>
      <c r="C386" s="13">
        <v>7990</v>
      </c>
      <c r="D386" s="13" t="s">
        <v>771</v>
      </c>
      <c r="E386" s="13"/>
      <c r="F386" s="13"/>
      <c r="G386" s="13" t="s">
        <v>1330</v>
      </c>
    </row>
    <row r="387" spans="1:7" x14ac:dyDescent="0.25">
      <c r="A387" s="13" t="s">
        <v>3</v>
      </c>
      <c r="B387">
        <v>133307</v>
      </c>
      <c r="C387" s="13">
        <v>8190</v>
      </c>
      <c r="D387" s="13" t="s">
        <v>1463</v>
      </c>
      <c r="E387" s="13"/>
      <c r="F387" s="13"/>
      <c r="G387" s="13" t="s">
        <v>1345</v>
      </c>
    </row>
    <row r="388" spans="1:7" x14ac:dyDescent="0.25">
      <c r="A388" s="13" t="s">
        <v>3</v>
      </c>
      <c r="B388">
        <v>164914</v>
      </c>
      <c r="C388" s="13">
        <v>6590</v>
      </c>
      <c r="D388" s="13" t="s">
        <v>938</v>
      </c>
      <c r="E388" s="13"/>
      <c r="F388" s="13"/>
      <c r="G388" s="13" t="s">
        <v>1331</v>
      </c>
    </row>
    <row r="389" spans="1:7" x14ac:dyDescent="0.25">
      <c r="A389" s="13" t="s">
        <v>3</v>
      </c>
      <c r="B389">
        <v>164913</v>
      </c>
      <c r="C389" s="13">
        <v>7890</v>
      </c>
      <c r="D389" s="13" t="s">
        <v>939</v>
      </c>
      <c r="E389" s="13"/>
      <c r="F389" s="13"/>
      <c r="G389" s="13" t="s">
        <v>1332</v>
      </c>
    </row>
    <row r="390" spans="1:7" x14ac:dyDescent="0.25">
      <c r="A390" s="13" t="s">
        <v>3</v>
      </c>
      <c r="B390">
        <v>145484</v>
      </c>
      <c r="C390" s="13">
        <v>7190</v>
      </c>
      <c r="D390" s="13" t="s">
        <v>891</v>
      </c>
      <c r="E390" s="13"/>
      <c r="F390" s="13"/>
      <c r="G390" s="13" t="s">
        <v>1333</v>
      </c>
    </row>
    <row r="391" spans="1:7" x14ac:dyDescent="0.25">
      <c r="A391" s="13" t="s">
        <v>3</v>
      </c>
      <c r="B391">
        <v>145485</v>
      </c>
      <c r="C391" s="13">
        <v>7190</v>
      </c>
      <c r="D391" s="13" t="s">
        <v>1427</v>
      </c>
      <c r="E391" s="13"/>
      <c r="F391" s="13"/>
      <c r="G391" s="13" t="s">
        <v>1333</v>
      </c>
    </row>
    <row r="392" spans="1:7" x14ac:dyDescent="0.25">
      <c r="A392" s="13" t="s">
        <v>3</v>
      </c>
      <c r="B392">
        <v>164912</v>
      </c>
      <c r="C392" s="13">
        <v>7190</v>
      </c>
      <c r="D392" s="13" t="s">
        <v>753</v>
      </c>
      <c r="E392" s="13"/>
      <c r="F392" s="13"/>
      <c r="G392" s="13" t="s">
        <v>1333</v>
      </c>
    </row>
    <row r="393" spans="1:7" x14ac:dyDescent="0.25">
      <c r="A393" s="13" t="s">
        <v>3</v>
      </c>
      <c r="B393">
        <v>133281</v>
      </c>
      <c r="C393" s="13" t="s">
        <v>1269</v>
      </c>
      <c r="D393" s="13"/>
      <c r="E393" s="13"/>
      <c r="F393" s="13"/>
      <c r="G393" s="13" t="s">
        <v>947</v>
      </c>
    </row>
    <row r="394" spans="1:7" x14ac:dyDescent="0.25">
      <c r="A394" s="13" t="s">
        <v>3</v>
      </c>
      <c r="B394">
        <v>133336</v>
      </c>
      <c r="C394" s="13">
        <v>8490</v>
      </c>
      <c r="D394" s="13" t="s">
        <v>940</v>
      </c>
      <c r="E394" s="13"/>
      <c r="F394" s="13"/>
      <c r="G394" s="13" t="s">
        <v>1334</v>
      </c>
    </row>
    <row r="395" spans="1:7" x14ac:dyDescent="0.25">
      <c r="A395" s="13" t="s">
        <v>3</v>
      </c>
      <c r="B395">
        <v>133340</v>
      </c>
      <c r="C395" s="13">
        <v>8490</v>
      </c>
      <c r="D395" s="13" t="s">
        <v>941</v>
      </c>
      <c r="E395" s="13"/>
      <c r="F395" s="13"/>
      <c r="G395" s="13" t="s">
        <v>1334</v>
      </c>
    </row>
    <row r="396" spans="1:7" x14ac:dyDescent="0.25">
      <c r="A396" s="13" t="s">
        <v>3</v>
      </c>
      <c r="B396">
        <v>164910</v>
      </c>
      <c r="C396" s="13">
        <v>9790</v>
      </c>
      <c r="D396" s="13" t="s">
        <v>942</v>
      </c>
      <c r="E396" s="13"/>
      <c r="F396" s="13"/>
      <c r="G396" s="13" t="s">
        <v>1335</v>
      </c>
    </row>
    <row r="397" spans="1:7" x14ac:dyDescent="0.25">
      <c r="A397" s="13" t="s">
        <v>3</v>
      </c>
      <c r="B397">
        <v>133282</v>
      </c>
      <c r="C397" s="13" t="s">
        <v>1269</v>
      </c>
      <c r="D397" s="13"/>
      <c r="E397" s="13"/>
      <c r="F397" s="13"/>
      <c r="G397" s="13" t="s">
        <v>947</v>
      </c>
    </row>
    <row r="398" spans="1:7" x14ac:dyDescent="0.25">
      <c r="A398" s="13" t="s">
        <v>3</v>
      </c>
      <c r="B398">
        <v>164905</v>
      </c>
      <c r="C398" s="13"/>
      <c r="D398" s="13"/>
      <c r="E398" s="13"/>
      <c r="F398" s="13"/>
      <c r="G398" s="13" t="s">
        <v>947</v>
      </c>
    </row>
    <row r="399" spans="1:7" x14ac:dyDescent="0.25">
      <c r="A399" s="13" t="s">
        <v>3</v>
      </c>
      <c r="B399">
        <v>164904</v>
      </c>
      <c r="C399" s="13">
        <v>11990</v>
      </c>
      <c r="D399" s="13" t="s">
        <v>743</v>
      </c>
      <c r="E399" s="13"/>
      <c r="F399" s="13"/>
      <c r="G399" s="13" t="s">
        <v>1336</v>
      </c>
    </row>
    <row r="400" spans="1:7" x14ac:dyDescent="0.25">
      <c r="A400" s="13" t="s">
        <v>3</v>
      </c>
      <c r="B400">
        <v>158556</v>
      </c>
      <c r="C400" s="13">
        <v>12490</v>
      </c>
      <c r="D400" s="13" t="s">
        <v>791</v>
      </c>
      <c r="E400" s="13"/>
      <c r="F400" s="13"/>
      <c r="G400" s="13" t="s">
        <v>1337</v>
      </c>
    </row>
    <row r="401" spans="1:7" x14ac:dyDescent="0.25">
      <c r="A401" s="13" t="s">
        <v>3</v>
      </c>
      <c r="B401">
        <v>158555</v>
      </c>
      <c r="C401" s="13">
        <v>12490</v>
      </c>
      <c r="D401" s="13" t="s">
        <v>788</v>
      </c>
      <c r="E401" s="13"/>
      <c r="F401" s="13"/>
      <c r="G401" s="13" t="s">
        <v>1337</v>
      </c>
    </row>
    <row r="402" spans="1:7" x14ac:dyDescent="0.25">
      <c r="A402" s="13" t="s">
        <v>3</v>
      </c>
      <c r="B402">
        <v>158557</v>
      </c>
      <c r="C402" s="13">
        <v>12490</v>
      </c>
      <c r="D402" s="13" t="s">
        <v>789</v>
      </c>
      <c r="E402" s="13"/>
      <c r="F402" s="13"/>
      <c r="G402" s="13" t="s">
        <v>1337</v>
      </c>
    </row>
    <row r="403" spans="1:7" x14ac:dyDescent="0.25">
      <c r="A403" s="13" t="s">
        <v>3</v>
      </c>
      <c r="B403">
        <v>159816</v>
      </c>
      <c r="C403" s="13">
        <v>12490</v>
      </c>
      <c r="D403" s="13" t="s">
        <v>790</v>
      </c>
      <c r="E403" s="13"/>
      <c r="F403" s="13"/>
      <c r="G403" s="13" t="s">
        <v>1337</v>
      </c>
    </row>
    <row r="404" spans="1:7" x14ac:dyDescent="0.25">
      <c r="A404" s="13" t="s">
        <v>3</v>
      </c>
      <c r="B404">
        <v>158559</v>
      </c>
      <c r="C404" s="13">
        <v>12490</v>
      </c>
      <c r="D404" s="13"/>
      <c r="E404" s="13"/>
      <c r="F404" s="13"/>
      <c r="G404" s="13" t="s">
        <v>947</v>
      </c>
    </row>
    <row r="405" spans="1:7" x14ac:dyDescent="0.25">
      <c r="A405" s="13" t="s">
        <v>3</v>
      </c>
      <c r="B405">
        <v>158558</v>
      </c>
      <c r="C405" s="13">
        <v>12490</v>
      </c>
      <c r="D405" s="13" t="s">
        <v>787</v>
      </c>
      <c r="E405" s="13"/>
      <c r="F405" s="13"/>
      <c r="G405" s="13" t="s">
        <v>1337</v>
      </c>
    </row>
    <row r="406" spans="1:7" x14ac:dyDescent="0.25">
      <c r="A406" s="13" t="s">
        <v>3</v>
      </c>
      <c r="B406">
        <v>213728</v>
      </c>
      <c r="C406" s="13">
        <v>18190</v>
      </c>
      <c r="D406" s="13" t="s">
        <v>794</v>
      </c>
      <c r="E406" s="13"/>
      <c r="F406" s="13"/>
      <c r="G406" s="13" t="s">
        <v>1338</v>
      </c>
    </row>
    <row r="407" spans="1:7" x14ac:dyDescent="0.25">
      <c r="A407" s="13" t="s">
        <v>3</v>
      </c>
      <c r="B407">
        <v>213726</v>
      </c>
      <c r="C407" s="13">
        <v>17990</v>
      </c>
      <c r="D407" s="13" t="s">
        <v>793</v>
      </c>
      <c r="E407" s="13"/>
      <c r="F407" s="13"/>
      <c r="G407" s="13" t="s">
        <v>1339</v>
      </c>
    </row>
    <row r="408" spans="1:7" x14ac:dyDescent="0.25">
      <c r="A408" s="13" t="s">
        <v>3</v>
      </c>
      <c r="B408">
        <v>133337</v>
      </c>
      <c r="C408" s="13">
        <v>14990</v>
      </c>
      <c r="D408" s="13" t="s">
        <v>746</v>
      </c>
      <c r="E408" s="13"/>
      <c r="F408" s="13"/>
      <c r="G408" s="13" t="s">
        <v>1340</v>
      </c>
    </row>
    <row r="409" spans="1:7" x14ac:dyDescent="0.25">
      <c r="A409" s="13" t="s">
        <v>3</v>
      </c>
      <c r="B409">
        <v>213716</v>
      </c>
      <c r="C409" s="13">
        <v>21290</v>
      </c>
      <c r="D409" s="13" t="s">
        <v>893</v>
      </c>
      <c r="E409" s="13"/>
      <c r="F409" s="13"/>
      <c r="G409" s="13" t="s">
        <v>1341</v>
      </c>
    </row>
    <row r="410" spans="1:7" x14ac:dyDescent="0.25">
      <c r="A410" s="13" t="s">
        <v>3</v>
      </c>
      <c r="B410">
        <v>133338</v>
      </c>
      <c r="C410" s="13">
        <v>18890</v>
      </c>
      <c r="D410" s="13" t="s">
        <v>744</v>
      </c>
      <c r="E410" s="13"/>
      <c r="F410" s="13"/>
      <c r="G410" s="13" t="s">
        <v>1342</v>
      </c>
    </row>
    <row r="411" spans="1:7" x14ac:dyDescent="0.25">
      <c r="A411" s="13" t="s">
        <v>3</v>
      </c>
      <c r="B411">
        <v>222869</v>
      </c>
      <c r="C411" s="13">
        <v>24990</v>
      </c>
      <c r="D411" s="13" t="s">
        <v>792</v>
      </c>
      <c r="E411" s="13"/>
      <c r="F411" s="13"/>
      <c r="G411" s="13" t="s">
        <v>1343</v>
      </c>
    </row>
    <row r="412" spans="1:7" x14ac:dyDescent="0.25">
      <c r="A412" s="13" t="s">
        <v>3</v>
      </c>
      <c r="B412">
        <v>222868</v>
      </c>
      <c r="C412" s="13">
        <v>31290</v>
      </c>
      <c r="D412" s="13" t="s">
        <v>755</v>
      </c>
      <c r="E412" s="13"/>
      <c r="F412" s="13"/>
      <c r="G412" s="13" t="s">
        <v>1344</v>
      </c>
    </row>
    <row r="413" spans="1:7" x14ac:dyDescent="0.25">
      <c r="A413" s="13" t="s">
        <v>3</v>
      </c>
      <c r="B413">
        <v>139538</v>
      </c>
      <c r="C413" s="13">
        <v>590</v>
      </c>
      <c r="D413" s="13" t="s">
        <v>751</v>
      </c>
      <c r="E413" s="13"/>
      <c r="F413" s="13"/>
      <c r="G413" s="13" t="s">
        <v>1287</v>
      </c>
    </row>
    <row r="414" spans="1:7" x14ac:dyDescent="0.25">
      <c r="A414" s="13" t="s">
        <v>3</v>
      </c>
      <c r="B414">
        <v>223838</v>
      </c>
      <c r="C414" s="13">
        <v>3790</v>
      </c>
      <c r="D414" s="13" t="s">
        <v>894</v>
      </c>
      <c r="E414" s="13"/>
      <c r="F414" s="13"/>
      <c r="G414" s="13" t="s">
        <v>1317</v>
      </c>
    </row>
    <row r="415" spans="1:7" x14ac:dyDescent="0.25">
      <c r="A415" s="13" t="s">
        <v>3</v>
      </c>
      <c r="B415">
        <v>223861</v>
      </c>
      <c r="C415" s="13">
        <v>3790</v>
      </c>
      <c r="D415" s="13" t="s">
        <v>895</v>
      </c>
      <c r="E415" s="13"/>
      <c r="F415" s="13"/>
      <c r="G415" s="13" t="s">
        <v>1317</v>
      </c>
    </row>
    <row r="416" spans="1:7" x14ac:dyDescent="0.25">
      <c r="A416" s="13" t="s">
        <v>3</v>
      </c>
      <c r="B416">
        <v>213727</v>
      </c>
      <c r="C416" s="13">
        <v>18990</v>
      </c>
      <c r="D416" s="13" t="s">
        <v>1426</v>
      </c>
      <c r="E416" s="13"/>
      <c r="F416" s="13"/>
      <c r="G416" s="13" t="s">
        <v>1492</v>
      </c>
    </row>
    <row r="417" spans="1:7" x14ac:dyDescent="0.25">
      <c r="A417" s="13" t="s">
        <v>3</v>
      </c>
      <c r="B417">
        <v>213725</v>
      </c>
      <c r="C417" s="13">
        <v>18990</v>
      </c>
      <c r="D417" s="13" t="s">
        <v>1425</v>
      </c>
      <c r="E417" s="13"/>
      <c r="F417" s="13"/>
      <c r="G417" s="13" t="s">
        <v>1492</v>
      </c>
    </row>
    <row r="418" spans="1:7" x14ac:dyDescent="0.25">
      <c r="A418" s="13" t="s">
        <v>3</v>
      </c>
      <c r="B418">
        <v>145568</v>
      </c>
      <c r="C418" s="13">
        <v>1990</v>
      </c>
      <c r="D418" s="13" t="s">
        <v>1424</v>
      </c>
      <c r="E418" s="13"/>
      <c r="F418" s="13"/>
      <c r="G418" s="13" t="s">
        <v>1300</v>
      </c>
    </row>
    <row r="419" spans="1:7" x14ac:dyDescent="0.25">
      <c r="A419" s="13" t="s">
        <v>3</v>
      </c>
      <c r="B419">
        <v>255952</v>
      </c>
      <c r="C419" s="13">
        <v>4790</v>
      </c>
      <c r="D419" s="13" t="s">
        <v>1360</v>
      </c>
      <c r="E419" s="13"/>
      <c r="F419" s="13"/>
      <c r="G419" s="13" t="s">
        <v>1315</v>
      </c>
    </row>
    <row r="420" spans="1:7" x14ac:dyDescent="0.25">
      <c r="A420" s="13" t="s">
        <v>3</v>
      </c>
      <c r="B420">
        <v>251651</v>
      </c>
      <c r="C420" s="13"/>
      <c r="D420" s="13"/>
      <c r="E420" s="13"/>
      <c r="F420" s="13"/>
      <c r="G420" s="13" t="s">
        <v>947</v>
      </c>
    </row>
    <row r="421" spans="1:7" x14ac:dyDescent="0.25">
      <c r="A421" s="13" t="s">
        <v>3</v>
      </c>
      <c r="B421">
        <v>256787</v>
      </c>
      <c r="C421" s="13">
        <v>30990</v>
      </c>
      <c r="D421" s="13" t="s">
        <v>1359</v>
      </c>
      <c r="E421" s="13"/>
      <c r="F421" s="13"/>
      <c r="G421" s="13" t="s">
        <v>1493</v>
      </c>
    </row>
    <row r="422" spans="1:7" x14ac:dyDescent="0.25">
      <c r="A422" s="13" t="s">
        <v>3</v>
      </c>
      <c r="B422">
        <v>256788</v>
      </c>
      <c r="C422" s="13">
        <v>21290</v>
      </c>
      <c r="D422" s="13" t="s">
        <v>1358</v>
      </c>
      <c r="E422" s="13"/>
      <c r="F422" s="13"/>
      <c r="G422" s="13" t="s">
        <v>1341</v>
      </c>
    </row>
    <row r="423" spans="1:7" x14ac:dyDescent="0.25">
      <c r="A423" s="13" t="s">
        <v>3</v>
      </c>
      <c r="B423">
        <v>256651</v>
      </c>
      <c r="C423" s="13">
        <v>4290</v>
      </c>
      <c r="D423" s="13" t="s">
        <v>1357</v>
      </c>
      <c r="E423" s="13"/>
      <c r="F423" s="13"/>
      <c r="G423" s="13" t="s">
        <v>1322</v>
      </c>
    </row>
    <row r="424" spans="1:7" x14ac:dyDescent="0.25">
      <c r="A424" s="13" t="s">
        <v>3</v>
      </c>
      <c r="B424">
        <v>264881</v>
      </c>
      <c r="C424" s="13">
        <v>24390</v>
      </c>
      <c r="D424" s="13" t="s">
        <v>1356</v>
      </c>
      <c r="E424" s="13"/>
      <c r="F424" s="13"/>
      <c r="G424" s="13" t="s">
        <v>1347</v>
      </c>
    </row>
    <row r="425" spans="1:7" x14ac:dyDescent="0.25">
      <c r="A425" s="13" t="s">
        <v>3</v>
      </c>
      <c r="B425">
        <v>264882</v>
      </c>
      <c r="C425" s="13">
        <v>30990</v>
      </c>
      <c r="D425" s="13" t="s">
        <v>1355</v>
      </c>
      <c r="E425" s="13"/>
      <c r="F425" s="13"/>
      <c r="G425" s="13" t="s">
        <v>1493</v>
      </c>
    </row>
    <row r="426" spans="1:7" x14ac:dyDescent="0.25">
      <c r="A426" s="13" t="s">
        <v>3</v>
      </c>
      <c r="B426">
        <v>258087</v>
      </c>
      <c r="C426" s="13">
        <v>8990</v>
      </c>
      <c r="D426" s="13" t="s">
        <v>1166</v>
      </c>
      <c r="E426" s="13"/>
      <c r="F426" s="13"/>
      <c r="G426" s="13" t="s">
        <v>1494</v>
      </c>
    </row>
    <row r="427" spans="1:7" x14ac:dyDescent="0.25">
      <c r="A427" s="13" t="s">
        <v>3</v>
      </c>
      <c r="B427">
        <v>258088</v>
      </c>
      <c r="C427" s="13">
        <v>8990</v>
      </c>
      <c r="D427" s="13" t="s">
        <v>1167</v>
      </c>
      <c r="E427" s="13"/>
      <c r="F427" s="13"/>
      <c r="G427" s="13" t="s">
        <v>1494</v>
      </c>
    </row>
    <row r="428" spans="1:7" x14ac:dyDescent="0.25">
      <c r="A428" s="13" t="s">
        <v>3</v>
      </c>
      <c r="B428">
        <v>256974</v>
      </c>
      <c r="C428" s="13">
        <v>590</v>
      </c>
      <c r="D428" s="13" t="s">
        <v>1354</v>
      </c>
      <c r="E428" s="13"/>
      <c r="F428" s="13"/>
      <c r="G428" s="13" t="s">
        <v>1287</v>
      </c>
    </row>
    <row r="429" spans="1:7" x14ac:dyDescent="0.25">
      <c r="A429" s="13" t="s">
        <v>3</v>
      </c>
      <c r="B429">
        <v>223076</v>
      </c>
      <c r="C429" s="13" t="s">
        <v>1269</v>
      </c>
      <c r="D429" s="13"/>
      <c r="E429" s="13"/>
      <c r="F429" s="13"/>
      <c r="G429" s="13" t="s">
        <v>947</v>
      </c>
    </row>
    <row r="430" spans="1:7" x14ac:dyDescent="0.25">
      <c r="A430" s="13" t="s">
        <v>3</v>
      </c>
      <c r="B430">
        <v>201788</v>
      </c>
      <c r="C430" s="13"/>
      <c r="D430" s="13"/>
      <c r="E430" s="13"/>
      <c r="F430" s="13"/>
      <c r="G430" s="13" t="s">
        <v>947</v>
      </c>
    </row>
    <row r="431" spans="1:7" x14ac:dyDescent="0.25">
      <c r="A431" s="13" t="s">
        <v>3</v>
      </c>
      <c r="B431">
        <v>137267</v>
      </c>
      <c r="C431" s="13"/>
      <c r="D431" s="13"/>
      <c r="E431" s="13"/>
      <c r="F431" s="13"/>
      <c r="G431" s="13" t="s">
        <v>947</v>
      </c>
    </row>
    <row r="432" spans="1:7" x14ac:dyDescent="0.25">
      <c r="A432" s="13" t="s">
        <v>3</v>
      </c>
      <c r="B432">
        <v>117280</v>
      </c>
      <c r="C432" s="13"/>
      <c r="D432" s="13"/>
      <c r="E432" s="13"/>
      <c r="F432" s="13"/>
      <c r="G432" s="13" t="s">
        <v>947</v>
      </c>
    </row>
    <row r="433" spans="1:7" x14ac:dyDescent="0.25">
      <c r="A433" s="13" t="s">
        <v>3</v>
      </c>
      <c r="B433">
        <v>117273</v>
      </c>
      <c r="C433" s="13"/>
      <c r="D433" s="13"/>
      <c r="E433" s="13"/>
      <c r="F433" s="13"/>
      <c r="G433" s="13" t="s">
        <v>947</v>
      </c>
    </row>
    <row r="434" spans="1:7" x14ac:dyDescent="0.25">
      <c r="A434" s="13" t="s">
        <v>3</v>
      </c>
      <c r="B434">
        <v>201785</v>
      </c>
      <c r="C434" s="13"/>
      <c r="D434" s="13"/>
      <c r="E434" s="13"/>
      <c r="F434" s="13"/>
      <c r="G434" s="13" t="s">
        <v>947</v>
      </c>
    </row>
    <row r="435" spans="1:7" x14ac:dyDescent="0.25">
      <c r="A435" s="13" t="s">
        <v>3</v>
      </c>
      <c r="B435">
        <v>138490</v>
      </c>
      <c r="C435" s="13"/>
      <c r="D435" s="13"/>
      <c r="E435" s="13"/>
      <c r="F435" s="13"/>
      <c r="G435" s="13" t="s">
        <v>947</v>
      </c>
    </row>
    <row r="436" spans="1:7" x14ac:dyDescent="0.25">
      <c r="A436" s="13" t="s">
        <v>3</v>
      </c>
      <c r="B436">
        <v>201751</v>
      </c>
      <c r="C436" s="13"/>
      <c r="D436" s="13"/>
      <c r="E436" s="13"/>
      <c r="F436" s="13"/>
      <c r="G436" s="13" t="s">
        <v>947</v>
      </c>
    </row>
    <row r="437" spans="1:7" x14ac:dyDescent="0.25">
      <c r="A437" s="13" t="s">
        <v>3</v>
      </c>
      <c r="B437">
        <v>133255</v>
      </c>
      <c r="C437" s="13" t="s">
        <v>1269</v>
      </c>
      <c r="D437" s="13"/>
      <c r="E437" s="13"/>
      <c r="F437" s="13"/>
      <c r="G437" s="13" t="s">
        <v>947</v>
      </c>
    </row>
    <row r="438" spans="1:7" x14ac:dyDescent="0.25">
      <c r="A438" s="13" t="s">
        <v>3</v>
      </c>
      <c r="B438">
        <v>201792</v>
      </c>
      <c r="C438" s="13"/>
      <c r="D438" s="13"/>
      <c r="E438" s="13"/>
      <c r="F438" s="13"/>
      <c r="G438" s="13" t="s">
        <v>947</v>
      </c>
    </row>
    <row r="439" spans="1:7" x14ac:dyDescent="0.25">
      <c r="A439" s="13" t="s">
        <v>3</v>
      </c>
      <c r="B439">
        <v>201752</v>
      </c>
      <c r="C439" s="13" t="s">
        <v>1269</v>
      </c>
      <c r="D439" s="13"/>
      <c r="E439" s="13"/>
      <c r="F439" s="13"/>
      <c r="G439" s="13" t="s">
        <v>947</v>
      </c>
    </row>
    <row r="440" spans="1:7" x14ac:dyDescent="0.25">
      <c r="A440" s="13" t="s">
        <v>3</v>
      </c>
      <c r="B440">
        <v>201791</v>
      </c>
      <c r="C440" s="13"/>
      <c r="D440" s="13"/>
      <c r="E440" s="13"/>
      <c r="F440" s="13"/>
      <c r="G440" s="13" t="s">
        <v>947</v>
      </c>
    </row>
    <row r="441" spans="1:7" x14ac:dyDescent="0.25">
      <c r="A441" s="13" t="s">
        <v>3</v>
      </c>
      <c r="B441">
        <v>211467</v>
      </c>
      <c r="C441" s="13" t="s">
        <v>1269</v>
      </c>
      <c r="D441" s="13"/>
      <c r="E441" s="13"/>
      <c r="F441" s="13"/>
      <c r="G441" s="13" t="s">
        <v>947</v>
      </c>
    </row>
    <row r="442" spans="1:7" x14ac:dyDescent="0.25">
      <c r="A442" s="13" t="s">
        <v>3</v>
      </c>
      <c r="B442">
        <v>201779</v>
      </c>
      <c r="C442" s="13"/>
      <c r="D442" s="13"/>
      <c r="E442" s="13"/>
      <c r="F442" s="13"/>
      <c r="G442" s="13" t="s">
        <v>947</v>
      </c>
    </row>
    <row r="443" spans="1:7" x14ac:dyDescent="0.25">
      <c r="A443" s="13" t="s">
        <v>3</v>
      </c>
      <c r="B443">
        <v>201798</v>
      </c>
      <c r="C443" s="13"/>
      <c r="D443" s="13"/>
      <c r="E443" s="13"/>
      <c r="F443" s="13"/>
      <c r="G443" s="13" t="s">
        <v>947</v>
      </c>
    </row>
    <row r="444" spans="1:7" x14ac:dyDescent="0.25">
      <c r="A444" s="13" t="s">
        <v>3</v>
      </c>
      <c r="B444">
        <v>133221</v>
      </c>
      <c r="C444" s="13" t="s">
        <v>1269</v>
      </c>
      <c r="D444" s="13"/>
      <c r="E444" s="13"/>
      <c r="F444" s="13"/>
      <c r="G444" s="13" t="s">
        <v>947</v>
      </c>
    </row>
    <row r="445" spans="1:7" x14ac:dyDescent="0.25">
      <c r="A445" s="13" t="s">
        <v>3</v>
      </c>
      <c r="B445">
        <v>211470</v>
      </c>
      <c r="C445" s="13"/>
      <c r="D445" s="13"/>
      <c r="E445" s="13"/>
      <c r="F445" s="13"/>
      <c r="G445" s="13" t="s">
        <v>947</v>
      </c>
    </row>
    <row r="446" spans="1:7" x14ac:dyDescent="0.25">
      <c r="A446" s="13" t="s">
        <v>3</v>
      </c>
      <c r="B446">
        <v>211433</v>
      </c>
      <c r="C446" s="13"/>
      <c r="D446" s="13"/>
      <c r="E446" s="13"/>
      <c r="F446" s="13"/>
      <c r="G446" s="13" t="s">
        <v>947</v>
      </c>
    </row>
    <row r="447" spans="1:7" x14ac:dyDescent="0.25">
      <c r="A447" s="13" t="s">
        <v>3</v>
      </c>
      <c r="B447">
        <v>211456</v>
      </c>
      <c r="C447" s="13"/>
      <c r="D447" s="13"/>
      <c r="E447" s="13"/>
      <c r="F447" s="13"/>
      <c r="G447" s="13" t="s">
        <v>947</v>
      </c>
    </row>
    <row r="448" spans="1:7" x14ac:dyDescent="0.25">
      <c r="A448" s="13" t="s">
        <v>3</v>
      </c>
      <c r="B448">
        <v>223075</v>
      </c>
      <c r="C448" s="13" t="s">
        <v>1269</v>
      </c>
      <c r="D448" s="13"/>
      <c r="E448" s="13"/>
      <c r="F448" s="13"/>
      <c r="G448" s="13" t="s">
        <v>947</v>
      </c>
    </row>
    <row r="449" spans="1:7" x14ac:dyDescent="0.25">
      <c r="A449" s="13" t="s">
        <v>3</v>
      </c>
      <c r="B449">
        <v>201807</v>
      </c>
      <c r="C449" s="13"/>
      <c r="D449" s="13"/>
      <c r="E449" s="13"/>
      <c r="F449" s="13"/>
      <c r="G449" s="13" t="s">
        <v>947</v>
      </c>
    </row>
    <row r="450" spans="1:7" x14ac:dyDescent="0.25">
      <c r="A450" s="13" t="s">
        <v>3</v>
      </c>
      <c r="B450">
        <v>201801</v>
      </c>
      <c r="C450" s="13">
        <v>1190</v>
      </c>
      <c r="D450" s="13" t="s">
        <v>837</v>
      </c>
      <c r="E450" s="13"/>
      <c r="F450" s="13"/>
      <c r="G450" s="13" t="s">
        <v>1295</v>
      </c>
    </row>
    <row r="451" spans="1:7" x14ac:dyDescent="0.25">
      <c r="A451" s="13" t="s">
        <v>3</v>
      </c>
      <c r="B451">
        <v>138546</v>
      </c>
      <c r="C451" s="13"/>
      <c r="D451" s="13"/>
      <c r="E451" s="13"/>
      <c r="F451" s="13"/>
      <c r="G451" s="13" t="s">
        <v>947</v>
      </c>
    </row>
    <row r="452" spans="1:7" x14ac:dyDescent="0.25">
      <c r="A452" s="13" t="s">
        <v>3</v>
      </c>
      <c r="B452">
        <v>137274</v>
      </c>
      <c r="C452" s="13"/>
      <c r="D452" s="13"/>
      <c r="E452" s="13"/>
      <c r="F452" s="13"/>
      <c r="G452" s="13" t="s">
        <v>947</v>
      </c>
    </row>
    <row r="453" spans="1:7" x14ac:dyDescent="0.25">
      <c r="A453" s="13" t="s">
        <v>3</v>
      </c>
      <c r="B453">
        <v>213625</v>
      </c>
      <c r="C453" s="13"/>
      <c r="D453" s="13"/>
      <c r="E453" s="13"/>
      <c r="F453" s="13"/>
      <c r="G453" s="13" t="s">
        <v>947</v>
      </c>
    </row>
    <row r="454" spans="1:7" x14ac:dyDescent="0.25">
      <c r="A454" s="13" t="s">
        <v>3</v>
      </c>
      <c r="B454">
        <v>211457</v>
      </c>
      <c r="C454" s="13"/>
      <c r="D454" s="13"/>
      <c r="E454" s="13"/>
      <c r="F454" s="13"/>
      <c r="G454" s="13" t="s">
        <v>947</v>
      </c>
    </row>
    <row r="455" spans="1:7" x14ac:dyDescent="0.25">
      <c r="A455" s="13" t="s">
        <v>3</v>
      </c>
      <c r="B455">
        <v>211413</v>
      </c>
      <c r="C455" s="13"/>
      <c r="D455" s="13"/>
      <c r="E455" s="13"/>
      <c r="F455" s="13"/>
      <c r="G455" s="13" t="s">
        <v>947</v>
      </c>
    </row>
    <row r="456" spans="1:7" x14ac:dyDescent="0.25">
      <c r="A456" s="13" t="s">
        <v>3</v>
      </c>
      <c r="B456">
        <v>201769</v>
      </c>
      <c r="C456" s="13"/>
      <c r="D456" s="13"/>
      <c r="E456" s="13"/>
      <c r="F456" s="13"/>
      <c r="G456" s="13" t="s">
        <v>947</v>
      </c>
    </row>
    <row r="457" spans="1:7" x14ac:dyDescent="0.25">
      <c r="A457" s="13" t="s">
        <v>3</v>
      </c>
      <c r="B457">
        <v>145549</v>
      </c>
      <c r="C457" s="13"/>
      <c r="D457" s="13"/>
      <c r="E457" s="13"/>
      <c r="F457" s="13"/>
      <c r="G457" s="13" t="s">
        <v>947</v>
      </c>
    </row>
    <row r="458" spans="1:7" x14ac:dyDescent="0.25">
      <c r="A458" s="13" t="s">
        <v>3</v>
      </c>
      <c r="B458">
        <v>211476</v>
      </c>
      <c r="C458" s="13"/>
      <c r="D458" s="13"/>
      <c r="E458" s="13"/>
      <c r="F458" s="13"/>
      <c r="G458" s="13" t="s">
        <v>947</v>
      </c>
    </row>
    <row r="459" spans="1:7" x14ac:dyDescent="0.25">
      <c r="A459" s="13" t="s">
        <v>3</v>
      </c>
      <c r="B459">
        <v>213484</v>
      </c>
      <c r="C459" s="13"/>
      <c r="D459" s="13"/>
      <c r="E459" s="13"/>
      <c r="F459" s="13"/>
      <c r="G459" s="13" t="s">
        <v>947</v>
      </c>
    </row>
    <row r="460" spans="1:7" x14ac:dyDescent="0.25">
      <c r="A460" s="13" t="s">
        <v>3</v>
      </c>
      <c r="B460">
        <v>213485</v>
      </c>
      <c r="C460" s="13"/>
      <c r="D460" s="13"/>
      <c r="E460" s="13"/>
      <c r="F460" s="13"/>
      <c r="G460" s="13" t="s">
        <v>947</v>
      </c>
    </row>
    <row r="461" spans="1:7" x14ac:dyDescent="0.25">
      <c r="A461" s="13" t="s">
        <v>3</v>
      </c>
      <c r="B461">
        <v>145567</v>
      </c>
      <c r="C461" s="13"/>
      <c r="D461" s="13"/>
      <c r="E461" s="13"/>
      <c r="F461" s="13"/>
      <c r="G461" s="13" t="s">
        <v>947</v>
      </c>
    </row>
    <row r="462" spans="1:7" x14ac:dyDescent="0.25">
      <c r="A462" s="13" t="s">
        <v>3</v>
      </c>
      <c r="B462">
        <v>211477</v>
      </c>
      <c r="C462" s="13"/>
      <c r="D462" s="13"/>
      <c r="E462" s="13"/>
      <c r="F462" s="13"/>
      <c r="G462" s="13" t="s">
        <v>947</v>
      </c>
    </row>
    <row r="463" spans="1:7" x14ac:dyDescent="0.25">
      <c r="A463" s="13" t="s">
        <v>3</v>
      </c>
      <c r="B463">
        <v>211479</v>
      </c>
      <c r="C463" s="13"/>
      <c r="D463" s="13"/>
      <c r="E463" s="13"/>
      <c r="F463" s="13"/>
      <c r="G463" s="13" t="s">
        <v>947</v>
      </c>
    </row>
    <row r="464" spans="1:7" x14ac:dyDescent="0.25">
      <c r="A464" s="13" t="s">
        <v>3</v>
      </c>
      <c r="B464">
        <v>138410</v>
      </c>
      <c r="C464" s="13"/>
      <c r="D464" s="13"/>
      <c r="E464" s="13"/>
      <c r="F464" s="13"/>
      <c r="G464" s="13" t="s">
        <v>947</v>
      </c>
    </row>
    <row r="465" spans="1:7" x14ac:dyDescent="0.25">
      <c r="A465" s="13" t="s">
        <v>3</v>
      </c>
      <c r="B465">
        <v>211468</v>
      </c>
      <c r="C465" s="13"/>
      <c r="D465" s="13"/>
      <c r="E465" s="13"/>
      <c r="F465" s="13"/>
      <c r="G465" s="13" t="s">
        <v>947</v>
      </c>
    </row>
    <row r="466" spans="1:7" x14ac:dyDescent="0.25">
      <c r="A466" s="13" t="s">
        <v>3</v>
      </c>
      <c r="B466">
        <v>211415</v>
      </c>
      <c r="C466" s="13"/>
      <c r="D466" s="13"/>
      <c r="E466" s="13"/>
      <c r="F466" s="13"/>
      <c r="G466" s="13" t="s">
        <v>947</v>
      </c>
    </row>
    <row r="467" spans="1:7" x14ac:dyDescent="0.25">
      <c r="A467" s="13" t="s">
        <v>3</v>
      </c>
      <c r="B467">
        <v>211410</v>
      </c>
      <c r="C467" s="13"/>
      <c r="D467" s="13"/>
      <c r="E467" s="13"/>
      <c r="F467" s="13"/>
      <c r="G467" s="13" t="s">
        <v>947</v>
      </c>
    </row>
    <row r="468" spans="1:7" x14ac:dyDescent="0.25">
      <c r="A468" s="13" t="s">
        <v>3</v>
      </c>
      <c r="B468">
        <v>211452</v>
      </c>
      <c r="C468" s="13"/>
      <c r="D468" s="13"/>
      <c r="E468" s="13"/>
      <c r="F468" s="13"/>
      <c r="G468" s="13" t="s">
        <v>947</v>
      </c>
    </row>
    <row r="469" spans="1:7" x14ac:dyDescent="0.25">
      <c r="A469" s="13" t="s">
        <v>3</v>
      </c>
      <c r="B469">
        <v>211420</v>
      </c>
      <c r="C469" s="13"/>
      <c r="D469" s="13"/>
      <c r="E469" s="13"/>
      <c r="F469" s="13"/>
      <c r="G469" s="13" t="s">
        <v>947</v>
      </c>
    </row>
    <row r="470" spans="1:7" x14ac:dyDescent="0.25">
      <c r="A470" s="13" t="s">
        <v>3</v>
      </c>
      <c r="B470">
        <v>201776</v>
      </c>
      <c r="C470" s="13"/>
      <c r="D470" s="13"/>
      <c r="E470" s="13"/>
      <c r="F470" s="13"/>
      <c r="G470" s="13" t="s">
        <v>947</v>
      </c>
    </row>
    <row r="471" spans="1:7" x14ac:dyDescent="0.25">
      <c r="A471" s="13" t="s">
        <v>3</v>
      </c>
      <c r="B471">
        <v>213664</v>
      </c>
      <c r="C471" s="13"/>
      <c r="D471" s="13"/>
      <c r="E471" s="13"/>
      <c r="F471" s="13"/>
      <c r="G471" s="13" t="s">
        <v>947</v>
      </c>
    </row>
    <row r="472" spans="1:7" x14ac:dyDescent="0.25">
      <c r="A472" s="13" t="s">
        <v>3</v>
      </c>
      <c r="B472">
        <v>201809</v>
      </c>
      <c r="C472" s="13"/>
      <c r="D472" s="13"/>
      <c r="E472" s="13"/>
      <c r="F472" s="13"/>
      <c r="G472" s="13" t="s">
        <v>947</v>
      </c>
    </row>
    <row r="473" spans="1:7" x14ac:dyDescent="0.25">
      <c r="A473" s="13" t="s">
        <v>3</v>
      </c>
      <c r="B473">
        <v>211454</v>
      </c>
      <c r="C473" s="13"/>
      <c r="D473" s="13"/>
      <c r="E473" s="13"/>
      <c r="F473" s="13"/>
      <c r="G473" s="13" t="s">
        <v>947</v>
      </c>
    </row>
    <row r="474" spans="1:7" x14ac:dyDescent="0.25">
      <c r="A474" s="13" t="s">
        <v>3</v>
      </c>
      <c r="B474">
        <v>211461</v>
      </c>
      <c r="C474" s="13" t="s">
        <v>1269</v>
      </c>
      <c r="D474" s="13"/>
      <c r="E474" s="13"/>
      <c r="F474" s="13"/>
      <c r="G474" s="13" t="s">
        <v>947</v>
      </c>
    </row>
    <row r="475" spans="1:7" x14ac:dyDescent="0.25">
      <c r="A475" s="13" t="s">
        <v>3</v>
      </c>
      <c r="B475">
        <v>211455</v>
      </c>
      <c r="C475" s="13"/>
      <c r="D475" s="13"/>
      <c r="E475" s="13"/>
      <c r="F475" s="13"/>
      <c r="G475" s="13" t="s">
        <v>947</v>
      </c>
    </row>
    <row r="476" spans="1:7" x14ac:dyDescent="0.25">
      <c r="A476" s="13" t="s">
        <v>3</v>
      </c>
      <c r="B476">
        <v>145576</v>
      </c>
      <c r="C476" s="13"/>
      <c r="D476" s="13"/>
      <c r="E476" s="13"/>
      <c r="F476" s="13"/>
      <c r="G476" s="13" t="s">
        <v>947</v>
      </c>
    </row>
    <row r="477" spans="1:7" x14ac:dyDescent="0.25">
      <c r="A477" s="13" t="s">
        <v>3</v>
      </c>
      <c r="B477">
        <v>145578</v>
      </c>
      <c r="C477" s="13"/>
      <c r="D477" s="13"/>
      <c r="E477" s="13"/>
      <c r="F477" s="13"/>
      <c r="G477" s="13" t="s">
        <v>947</v>
      </c>
    </row>
    <row r="478" spans="1:7" x14ac:dyDescent="0.25">
      <c r="A478" s="13" t="s">
        <v>3</v>
      </c>
      <c r="B478">
        <v>187496</v>
      </c>
      <c r="C478" s="13"/>
      <c r="D478" s="13"/>
      <c r="E478" s="13"/>
      <c r="F478" s="13"/>
      <c r="G478" s="13" t="s">
        <v>947</v>
      </c>
    </row>
    <row r="479" spans="1:7" x14ac:dyDescent="0.25">
      <c r="A479" s="13" t="s">
        <v>3</v>
      </c>
      <c r="B479">
        <v>211443</v>
      </c>
      <c r="C479" s="13"/>
      <c r="D479" s="13"/>
      <c r="E479" s="13"/>
      <c r="F479" s="13"/>
      <c r="G479" s="13" t="s">
        <v>947</v>
      </c>
    </row>
    <row r="480" spans="1:7" x14ac:dyDescent="0.25">
      <c r="A480" s="13" t="s">
        <v>3</v>
      </c>
      <c r="B480">
        <v>145526</v>
      </c>
      <c r="C480" s="13"/>
      <c r="D480" s="13"/>
      <c r="E480" s="13"/>
      <c r="F480" s="13"/>
      <c r="G480" s="13" t="s">
        <v>947</v>
      </c>
    </row>
    <row r="481" spans="1:7" x14ac:dyDescent="0.25">
      <c r="A481" s="13" t="s">
        <v>3</v>
      </c>
      <c r="B481">
        <v>145560</v>
      </c>
      <c r="C481" s="13"/>
      <c r="D481" s="13"/>
      <c r="E481" s="13"/>
      <c r="F481" s="13"/>
      <c r="G481" s="13" t="s">
        <v>947</v>
      </c>
    </row>
    <row r="482" spans="1:7" x14ac:dyDescent="0.25">
      <c r="A482" s="13" t="s">
        <v>3</v>
      </c>
      <c r="B482">
        <v>138548</v>
      </c>
      <c r="C482" s="13"/>
      <c r="D482" s="13"/>
      <c r="E482" s="13"/>
      <c r="F482" s="13"/>
      <c r="G482" s="13" t="s">
        <v>947</v>
      </c>
    </row>
    <row r="483" spans="1:7" x14ac:dyDescent="0.25">
      <c r="A483" s="13" t="s">
        <v>3</v>
      </c>
      <c r="B483">
        <v>165550</v>
      </c>
      <c r="C483" s="13"/>
      <c r="D483" s="13"/>
      <c r="E483" s="13"/>
      <c r="F483" s="13"/>
      <c r="G483" s="13" t="s">
        <v>947</v>
      </c>
    </row>
    <row r="484" spans="1:7" x14ac:dyDescent="0.25">
      <c r="A484" s="13" t="s">
        <v>3</v>
      </c>
      <c r="B484">
        <v>213591</v>
      </c>
      <c r="C484" s="13"/>
      <c r="D484" s="13"/>
      <c r="E484" s="13"/>
      <c r="F484" s="13"/>
      <c r="G484" s="13" t="s">
        <v>947</v>
      </c>
    </row>
    <row r="485" spans="1:7" x14ac:dyDescent="0.25">
      <c r="A485" s="13" t="s">
        <v>3</v>
      </c>
      <c r="B485">
        <v>145558</v>
      </c>
      <c r="C485" s="13"/>
      <c r="D485" s="13"/>
      <c r="E485" s="13"/>
      <c r="F485" s="13"/>
      <c r="G485" s="13" t="s">
        <v>947</v>
      </c>
    </row>
    <row r="486" spans="1:7" x14ac:dyDescent="0.25">
      <c r="A486" s="13" t="s">
        <v>3</v>
      </c>
      <c r="B486">
        <v>211426</v>
      </c>
      <c r="C486" s="13"/>
      <c r="D486" s="13"/>
      <c r="E486" s="13"/>
      <c r="F486" s="13"/>
      <c r="G486" s="13" t="s">
        <v>947</v>
      </c>
    </row>
    <row r="487" spans="1:7" x14ac:dyDescent="0.25">
      <c r="A487" s="13" t="s">
        <v>3</v>
      </c>
      <c r="B487">
        <v>213718</v>
      </c>
      <c r="C487" s="13"/>
      <c r="D487" s="13"/>
      <c r="E487" s="13"/>
      <c r="F487" s="13"/>
      <c r="G487" s="13" t="s">
        <v>947</v>
      </c>
    </row>
    <row r="488" spans="1:7" x14ac:dyDescent="0.25">
      <c r="A488" s="13" t="s">
        <v>3</v>
      </c>
      <c r="B488">
        <v>145566</v>
      </c>
      <c r="C488" s="13"/>
      <c r="D488" s="13"/>
      <c r="E488" s="13"/>
      <c r="F488" s="13"/>
      <c r="G488" s="13" t="s">
        <v>947</v>
      </c>
    </row>
    <row r="489" spans="1:7" x14ac:dyDescent="0.25">
      <c r="A489" s="13" t="s">
        <v>3</v>
      </c>
      <c r="B489">
        <v>213724</v>
      </c>
      <c r="C489" s="13"/>
      <c r="D489" s="13"/>
      <c r="E489" s="13"/>
      <c r="F489" s="13"/>
      <c r="G489" s="13" t="s">
        <v>947</v>
      </c>
    </row>
    <row r="490" spans="1:7" x14ac:dyDescent="0.25">
      <c r="A490" s="13" t="s">
        <v>3</v>
      </c>
      <c r="B490">
        <v>187495</v>
      </c>
      <c r="C490" s="13"/>
      <c r="D490" s="13"/>
      <c r="E490" s="13"/>
      <c r="F490" s="13"/>
      <c r="G490" s="13" t="s">
        <v>947</v>
      </c>
    </row>
    <row r="491" spans="1:7" x14ac:dyDescent="0.25">
      <c r="A491" s="13" t="s">
        <v>3</v>
      </c>
      <c r="B491">
        <v>137264</v>
      </c>
      <c r="C491" s="13"/>
      <c r="D491" s="13"/>
      <c r="E491" s="13"/>
      <c r="F491" s="13"/>
      <c r="G491" s="13" t="s">
        <v>947</v>
      </c>
    </row>
    <row r="492" spans="1:7" x14ac:dyDescent="0.25">
      <c r="A492" s="13" t="s">
        <v>3</v>
      </c>
      <c r="B492">
        <v>145532</v>
      </c>
      <c r="C492" s="13"/>
      <c r="D492" s="13"/>
      <c r="E492" s="13"/>
      <c r="F492" s="13"/>
      <c r="G492" s="13" t="s">
        <v>947</v>
      </c>
    </row>
    <row r="493" spans="1:7" x14ac:dyDescent="0.25">
      <c r="A493" s="13" t="s">
        <v>3</v>
      </c>
      <c r="B493">
        <v>117032</v>
      </c>
      <c r="C493" s="13"/>
      <c r="D493" s="13"/>
      <c r="E493" s="13"/>
      <c r="F493" s="13"/>
      <c r="G493" s="13" t="s">
        <v>947</v>
      </c>
    </row>
    <row r="494" spans="1:7" x14ac:dyDescent="0.25">
      <c r="A494" s="13" t="s">
        <v>3</v>
      </c>
      <c r="B494">
        <v>213719</v>
      </c>
      <c r="C494" s="13"/>
      <c r="D494" s="13"/>
      <c r="E494" s="13"/>
      <c r="F494" s="13"/>
      <c r="G494" s="13" t="s">
        <v>947</v>
      </c>
    </row>
    <row r="495" spans="1:7" x14ac:dyDescent="0.25">
      <c r="A495" s="13" t="s">
        <v>3</v>
      </c>
      <c r="B495">
        <v>187497</v>
      </c>
      <c r="C495" s="13"/>
      <c r="D495" s="13"/>
      <c r="E495" s="13"/>
      <c r="F495" s="13"/>
      <c r="G495" s="13" t="s">
        <v>947</v>
      </c>
    </row>
    <row r="496" spans="1:7" x14ac:dyDescent="0.25">
      <c r="A496" s="13" t="s">
        <v>3</v>
      </c>
      <c r="B496">
        <v>223951</v>
      </c>
      <c r="C496" s="13"/>
      <c r="D496" s="13"/>
      <c r="E496" s="13"/>
      <c r="F496" s="13"/>
      <c r="G496" s="13" t="s">
        <v>947</v>
      </c>
    </row>
    <row r="497" spans="1:7" x14ac:dyDescent="0.25">
      <c r="A497" s="13" t="s">
        <v>3</v>
      </c>
      <c r="B497">
        <v>222870</v>
      </c>
      <c r="C497" s="13"/>
      <c r="D497" s="13"/>
      <c r="E497" s="13"/>
      <c r="F497" s="13"/>
      <c r="G497" s="13" t="s">
        <v>947</v>
      </c>
    </row>
    <row r="498" spans="1:7" x14ac:dyDescent="0.25">
      <c r="A498" s="13" t="s">
        <v>3</v>
      </c>
      <c r="B498">
        <v>187492</v>
      </c>
      <c r="C498" s="13"/>
      <c r="D498" s="13"/>
      <c r="E498" s="13"/>
      <c r="F498" s="13"/>
      <c r="G498" s="13" t="s">
        <v>947</v>
      </c>
    </row>
    <row r="499" spans="1:7" x14ac:dyDescent="0.25">
      <c r="A499" s="13" t="s">
        <v>3</v>
      </c>
      <c r="B499">
        <v>187498</v>
      </c>
      <c r="C499" s="13"/>
      <c r="D499" s="13"/>
      <c r="E499" s="13"/>
      <c r="F499" s="13"/>
      <c r="G499" s="13" t="s">
        <v>947</v>
      </c>
    </row>
    <row r="500" spans="1:7" x14ac:dyDescent="0.25">
      <c r="A500" s="13" t="s">
        <v>3</v>
      </c>
      <c r="B500">
        <v>164909</v>
      </c>
      <c r="C500" s="13"/>
      <c r="D500" s="13"/>
      <c r="E500" s="13"/>
      <c r="F500" s="13"/>
      <c r="G500" s="13" t="s">
        <v>947</v>
      </c>
    </row>
    <row r="501" spans="1:7" x14ac:dyDescent="0.25">
      <c r="A501" s="13" t="s">
        <v>3</v>
      </c>
      <c r="B501">
        <v>164907</v>
      </c>
      <c r="C501" s="13"/>
      <c r="D501" s="13"/>
      <c r="E501" s="13"/>
      <c r="F501" s="13"/>
      <c r="G501" s="13" t="s">
        <v>947</v>
      </c>
    </row>
    <row r="502" spans="1:7" x14ac:dyDescent="0.25">
      <c r="A502" s="13" t="s">
        <v>3</v>
      </c>
      <c r="B502">
        <v>226472</v>
      </c>
      <c r="C502" s="13"/>
      <c r="D502" s="13"/>
      <c r="E502" s="13"/>
      <c r="F502" s="13"/>
      <c r="G502" s="13" t="s">
        <v>947</v>
      </c>
    </row>
    <row r="503" spans="1:7" x14ac:dyDescent="0.25">
      <c r="A503" s="13" t="s">
        <v>3</v>
      </c>
      <c r="B503">
        <v>164908</v>
      </c>
      <c r="C503" s="13"/>
      <c r="D503" s="13"/>
      <c r="E503" s="13"/>
      <c r="F503" s="13"/>
      <c r="G503" s="13" t="s">
        <v>947</v>
      </c>
    </row>
    <row r="504" spans="1:7" x14ac:dyDescent="0.25">
      <c r="A504" s="13" t="s">
        <v>3</v>
      </c>
      <c r="B504">
        <v>226469</v>
      </c>
      <c r="C504" s="13"/>
      <c r="D504" s="13"/>
      <c r="E504" s="13"/>
      <c r="F504" s="13"/>
      <c r="G504" s="13" t="s">
        <v>947</v>
      </c>
    </row>
    <row r="505" spans="1:7" x14ac:dyDescent="0.25">
      <c r="A505" s="13" t="s">
        <v>3</v>
      </c>
      <c r="B505">
        <v>223963</v>
      </c>
      <c r="C505" s="13"/>
      <c r="D505" s="13"/>
      <c r="E505" s="13"/>
      <c r="F505" s="13"/>
      <c r="G505" s="13" t="s">
        <v>947</v>
      </c>
    </row>
    <row r="506" spans="1:7" x14ac:dyDescent="0.25">
      <c r="A506" s="13" t="s">
        <v>3</v>
      </c>
      <c r="B506">
        <v>222871</v>
      </c>
      <c r="C506" s="13">
        <v>8190</v>
      </c>
      <c r="D506" s="13" t="s">
        <v>1237</v>
      </c>
      <c r="E506" s="13"/>
      <c r="F506" s="13"/>
      <c r="G506" s="13" t="s">
        <v>1345</v>
      </c>
    </row>
    <row r="507" spans="1:7" x14ac:dyDescent="0.25">
      <c r="A507" s="13" t="s">
        <v>3</v>
      </c>
      <c r="B507">
        <v>213720</v>
      </c>
      <c r="C507" s="13"/>
      <c r="D507" s="13"/>
      <c r="E507" s="13"/>
      <c r="F507" s="13"/>
      <c r="G507" s="13" t="s">
        <v>947</v>
      </c>
    </row>
    <row r="508" spans="1:7" x14ac:dyDescent="0.25">
      <c r="A508" s="13" t="s">
        <v>3</v>
      </c>
      <c r="B508">
        <v>223945</v>
      </c>
      <c r="C508" s="13">
        <v>11290</v>
      </c>
      <c r="D508" s="13" t="s">
        <v>892</v>
      </c>
      <c r="E508" s="13"/>
      <c r="F508" s="13"/>
      <c r="G508" s="13" t="s">
        <v>1346</v>
      </c>
    </row>
    <row r="509" spans="1:7" x14ac:dyDescent="0.25">
      <c r="A509" s="13" t="s">
        <v>3</v>
      </c>
      <c r="B509">
        <v>164903</v>
      </c>
      <c r="C509" s="13"/>
      <c r="D509" s="13"/>
      <c r="E509" s="13"/>
      <c r="F509" s="13"/>
      <c r="G509" s="13" t="s">
        <v>947</v>
      </c>
    </row>
    <row r="510" spans="1:7" x14ac:dyDescent="0.25">
      <c r="A510" s="13" t="s">
        <v>3</v>
      </c>
      <c r="B510">
        <v>145571</v>
      </c>
      <c r="C510" s="13"/>
      <c r="D510" s="13"/>
      <c r="E510" s="13"/>
      <c r="F510" s="13"/>
      <c r="G510" s="13" t="s">
        <v>947</v>
      </c>
    </row>
    <row r="511" spans="1:7" x14ac:dyDescent="0.25">
      <c r="A511" s="13" t="s">
        <v>3</v>
      </c>
      <c r="B511">
        <v>201782</v>
      </c>
      <c r="C511" s="13"/>
      <c r="D511" s="13"/>
      <c r="E511" s="13"/>
      <c r="F511" s="13"/>
      <c r="G511" s="13" t="s">
        <v>947</v>
      </c>
    </row>
    <row r="512" spans="1:7" x14ac:dyDescent="0.25">
      <c r="A512" s="13" t="s">
        <v>3</v>
      </c>
      <c r="B512">
        <v>201790</v>
      </c>
      <c r="C512" s="13"/>
      <c r="D512" s="13"/>
      <c r="E512" s="13"/>
      <c r="F512" s="13"/>
      <c r="G512" s="13" t="s">
        <v>947</v>
      </c>
    </row>
    <row r="513" spans="1:7" x14ac:dyDescent="0.25">
      <c r="A513" s="13" t="s">
        <v>3</v>
      </c>
      <c r="B513">
        <v>223102</v>
      </c>
      <c r="C513" s="13" t="s">
        <v>1269</v>
      </c>
      <c r="D513" s="13"/>
      <c r="E513" s="13"/>
      <c r="F513" s="13"/>
      <c r="G513" s="13" t="s">
        <v>947</v>
      </c>
    </row>
    <row r="514" spans="1:7" x14ac:dyDescent="0.25">
      <c r="A514" s="13" t="s">
        <v>3</v>
      </c>
      <c r="B514">
        <v>132853</v>
      </c>
      <c r="C514" s="13"/>
      <c r="D514" s="13"/>
      <c r="E514" s="13"/>
      <c r="F514" s="13"/>
      <c r="G514" s="13" t="s">
        <v>947</v>
      </c>
    </row>
    <row r="515" spans="1:7" x14ac:dyDescent="0.25">
      <c r="A515" s="13" t="s">
        <v>3</v>
      </c>
      <c r="B515">
        <v>201789</v>
      </c>
      <c r="C515" s="13"/>
      <c r="D515" s="13"/>
      <c r="E515" s="13"/>
      <c r="F515" s="13"/>
      <c r="G515" s="13" t="s">
        <v>947</v>
      </c>
    </row>
    <row r="516" spans="1:7" x14ac:dyDescent="0.25">
      <c r="A516" s="13" t="s">
        <v>3</v>
      </c>
      <c r="B516">
        <v>169756</v>
      </c>
      <c r="C516" s="13"/>
      <c r="D516" s="13"/>
      <c r="E516" s="13"/>
      <c r="F516" s="13"/>
      <c r="G516" s="13" t="s">
        <v>947</v>
      </c>
    </row>
    <row r="517" spans="1:7" x14ac:dyDescent="0.25">
      <c r="A517" s="13" t="s">
        <v>3</v>
      </c>
      <c r="B517">
        <v>169753</v>
      </c>
      <c r="C517" s="13"/>
      <c r="D517" s="13"/>
      <c r="E517" s="13"/>
      <c r="F517" s="13"/>
      <c r="G517" s="13" t="s">
        <v>947</v>
      </c>
    </row>
    <row r="518" spans="1:7" x14ac:dyDescent="0.25">
      <c r="A518" s="13" t="s">
        <v>3</v>
      </c>
      <c r="B518">
        <v>169750</v>
      </c>
      <c r="C518" s="13"/>
      <c r="D518" s="13"/>
      <c r="E518" s="13"/>
      <c r="F518" s="13"/>
      <c r="G518" s="13" t="s">
        <v>947</v>
      </c>
    </row>
    <row r="519" spans="1:7" x14ac:dyDescent="0.25">
      <c r="A519" s="13" t="s">
        <v>3</v>
      </c>
      <c r="B519">
        <v>224464</v>
      </c>
      <c r="C519" s="13"/>
      <c r="D519" s="13"/>
      <c r="E519" s="13"/>
      <c r="F519" s="13"/>
      <c r="G519" s="13" t="s">
        <v>947</v>
      </c>
    </row>
    <row r="520" spans="1:7" x14ac:dyDescent="0.25">
      <c r="A520" s="13" t="s">
        <v>3</v>
      </c>
      <c r="B520">
        <v>169759</v>
      </c>
      <c r="C520" s="13"/>
      <c r="D520" s="13"/>
      <c r="E520" s="13"/>
      <c r="F520" s="13"/>
      <c r="G520" s="13" t="s">
        <v>947</v>
      </c>
    </row>
    <row r="521" spans="1:7" x14ac:dyDescent="0.25">
      <c r="A521" s="13" t="s">
        <v>3</v>
      </c>
      <c r="B521">
        <v>211475</v>
      </c>
      <c r="C521" s="13"/>
      <c r="D521" s="13"/>
      <c r="E521" s="13"/>
      <c r="F521" s="13"/>
      <c r="G521" s="13" t="s">
        <v>947</v>
      </c>
    </row>
    <row r="522" spans="1:7" x14ac:dyDescent="0.25">
      <c r="A522" s="13" t="s">
        <v>3</v>
      </c>
      <c r="B522">
        <v>202707</v>
      </c>
      <c r="C522" s="13"/>
      <c r="D522" s="13"/>
      <c r="E522" s="13"/>
      <c r="F522" s="13"/>
      <c r="G522" s="13" t="s">
        <v>947</v>
      </c>
    </row>
    <row r="523" spans="1:7" x14ac:dyDescent="0.25">
      <c r="A523" s="13" t="s">
        <v>3</v>
      </c>
      <c r="B523">
        <v>202709</v>
      </c>
      <c r="C523" s="13"/>
      <c r="D523" s="13"/>
      <c r="E523" s="13"/>
      <c r="F523" s="13"/>
      <c r="G523" s="13" t="s">
        <v>947</v>
      </c>
    </row>
    <row r="524" spans="1:7" x14ac:dyDescent="0.25">
      <c r="A524" s="13" t="s">
        <v>3</v>
      </c>
      <c r="B524">
        <v>202710</v>
      </c>
      <c r="C524" s="13"/>
      <c r="D524" s="13"/>
      <c r="E524" s="13"/>
      <c r="F524" s="13"/>
      <c r="G524" s="13" t="s">
        <v>947</v>
      </c>
    </row>
    <row r="525" spans="1:7" x14ac:dyDescent="0.25">
      <c r="A525" s="13" t="s">
        <v>3</v>
      </c>
      <c r="B525">
        <v>222851</v>
      </c>
      <c r="C525" s="13"/>
      <c r="D525" s="13"/>
      <c r="E525" s="13"/>
      <c r="F525" s="13"/>
      <c r="G525" s="13" t="s">
        <v>947</v>
      </c>
    </row>
    <row r="526" spans="1:7" x14ac:dyDescent="0.25">
      <c r="A526" s="13" t="s">
        <v>3</v>
      </c>
      <c r="B526">
        <v>226470</v>
      </c>
      <c r="C526" s="13"/>
      <c r="D526" s="13"/>
      <c r="E526" s="13"/>
      <c r="F526" s="13"/>
      <c r="G526" s="13" t="s">
        <v>947</v>
      </c>
    </row>
    <row r="527" spans="1:7" x14ac:dyDescent="0.25">
      <c r="A527" s="13" t="s">
        <v>3</v>
      </c>
      <c r="B527">
        <v>223955</v>
      </c>
      <c r="C527" s="13"/>
      <c r="D527" s="13"/>
      <c r="E527" s="13"/>
      <c r="F527" s="13"/>
      <c r="G527" s="13" t="s">
        <v>947</v>
      </c>
    </row>
    <row r="528" spans="1:7" x14ac:dyDescent="0.25">
      <c r="A528" s="13" t="s">
        <v>3</v>
      </c>
      <c r="B528">
        <v>145577</v>
      </c>
      <c r="C528" s="13"/>
      <c r="D528" s="13"/>
      <c r="E528" s="13"/>
      <c r="F528" s="13"/>
      <c r="G528" s="13" t="s">
        <v>947</v>
      </c>
    </row>
    <row r="529" spans="1:7" x14ac:dyDescent="0.25">
      <c r="A529" s="13" t="s">
        <v>3</v>
      </c>
      <c r="B529">
        <v>145522</v>
      </c>
      <c r="C529" s="13"/>
      <c r="D529" s="13"/>
      <c r="E529" s="13"/>
      <c r="F529" s="13"/>
      <c r="G529" s="13" t="s">
        <v>947</v>
      </c>
    </row>
    <row r="530" spans="1:7" x14ac:dyDescent="0.25">
      <c r="A530" s="13" t="s">
        <v>3</v>
      </c>
      <c r="B530">
        <v>187494</v>
      </c>
      <c r="C530" s="13"/>
      <c r="D530" s="13"/>
      <c r="E530" s="13"/>
      <c r="F530" s="13"/>
      <c r="G530" s="13" t="s">
        <v>947</v>
      </c>
    </row>
    <row r="531" spans="1:7" x14ac:dyDescent="0.25">
      <c r="A531" s="13" t="s">
        <v>3</v>
      </c>
      <c r="B531">
        <v>187499</v>
      </c>
      <c r="C531" s="13"/>
      <c r="D531" s="13"/>
      <c r="E531" s="13"/>
      <c r="F531" s="13"/>
      <c r="G531" s="13" t="s">
        <v>947</v>
      </c>
    </row>
    <row r="532" spans="1:7" x14ac:dyDescent="0.25">
      <c r="A532" s="13" t="s">
        <v>3</v>
      </c>
      <c r="B532">
        <v>145531</v>
      </c>
      <c r="C532" s="13"/>
      <c r="D532" s="13"/>
      <c r="E532" s="13"/>
      <c r="F532" s="13"/>
      <c r="G532" s="13" t="s">
        <v>947</v>
      </c>
    </row>
    <row r="533" spans="1:7" x14ac:dyDescent="0.25">
      <c r="A533" s="13" t="s">
        <v>3</v>
      </c>
      <c r="B533">
        <v>145533</v>
      </c>
      <c r="C533" s="13"/>
      <c r="D533" s="13"/>
      <c r="E533" s="13"/>
      <c r="F533" s="13"/>
      <c r="G533" s="13" t="s">
        <v>947</v>
      </c>
    </row>
    <row r="534" spans="1:7" x14ac:dyDescent="0.25">
      <c r="A534" s="13" t="s">
        <v>3</v>
      </c>
      <c r="B534">
        <v>145528</v>
      </c>
      <c r="C534" s="13"/>
      <c r="D534" s="13"/>
      <c r="E534" s="13"/>
      <c r="F534" s="13"/>
      <c r="G534" s="13" t="s">
        <v>947</v>
      </c>
    </row>
    <row r="535" spans="1:7" x14ac:dyDescent="0.25">
      <c r="A535" s="13" t="s">
        <v>3</v>
      </c>
      <c r="B535">
        <v>145561</v>
      </c>
      <c r="C535" s="13"/>
      <c r="D535" s="13"/>
      <c r="E535" s="13"/>
      <c r="F535" s="13"/>
      <c r="G535" s="13" t="s">
        <v>947</v>
      </c>
    </row>
    <row r="536" spans="1:7" x14ac:dyDescent="0.25">
      <c r="A536" s="13" t="s">
        <v>3</v>
      </c>
      <c r="B536">
        <v>145574</v>
      </c>
      <c r="C536" s="13"/>
      <c r="D536" s="13"/>
      <c r="E536" s="13"/>
      <c r="F536" s="13"/>
      <c r="G536" s="13" t="s">
        <v>947</v>
      </c>
    </row>
    <row r="537" spans="1:7" x14ac:dyDescent="0.25">
      <c r="A537" s="13" t="s">
        <v>3</v>
      </c>
      <c r="B537">
        <v>187491</v>
      </c>
      <c r="C537" s="13"/>
      <c r="D537" s="13"/>
      <c r="E537" s="13"/>
      <c r="F537" s="13"/>
      <c r="G537" s="13" t="s">
        <v>947</v>
      </c>
    </row>
    <row r="538" spans="1:7" x14ac:dyDescent="0.25">
      <c r="A538" s="13" t="s">
        <v>3</v>
      </c>
      <c r="B538">
        <v>187493</v>
      </c>
      <c r="C538" s="13"/>
      <c r="D538" s="13"/>
      <c r="E538" s="13"/>
      <c r="F538" s="13"/>
      <c r="G538" s="13" t="s">
        <v>947</v>
      </c>
    </row>
    <row r="539" spans="1:7" x14ac:dyDescent="0.25">
      <c r="A539" s="13" t="s">
        <v>3</v>
      </c>
      <c r="B539">
        <v>145580</v>
      </c>
      <c r="C539" s="13"/>
      <c r="D539" s="13"/>
      <c r="E539" s="13"/>
      <c r="F539" s="13"/>
      <c r="G539" s="13" t="s">
        <v>947</v>
      </c>
    </row>
    <row r="540" spans="1:7" x14ac:dyDescent="0.25">
      <c r="A540" s="13" t="s">
        <v>3</v>
      </c>
      <c r="B540">
        <v>162827</v>
      </c>
      <c r="C540" s="13"/>
      <c r="D540" s="13"/>
      <c r="E540" s="13"/>
      <c r="F540" s="13"/>
      <c r="G540" s="13" t="s">
        <v>947</v>
      </c>
    </row>
    <row r="541" spans="1:7" x14ac:dyDescent="0.25">
      <c r="A541" s="13" t="s">
        <v>3</v>
      </c>
      <c r="B541">
        <v>223119</v>
      </c>
      <c r="C541" s="13" t="s">
        <v>1269</v>
      </c>
      <c r="D541" s="13"/>
      <c r="E541" s="13"/>
      <c r="F541" s="13"/>
      <c r="G541" s="13" t="s">
        <v>947</v>
      </c>
    </row>
    <row r="542" spans="1:7" x14ac:dyDescent="0.25">
      <c r="A542" s="13" t="s">
        <v>3</v>
      </c>
      <c r="B542">
        <v>138537</v>
      </c>
      <c r="C542" s="13"/>
      <c r="D542" s="13"/>
      <c r="E542" s="13"/>
      <c r="F542" s="13"/>
      <c r="G542" s="13" t="s">
        <v>947</v>
      </c>
    </row>
    <row r="543" spans="1:7" x14ac:dyDescent="0.25">
      <c r="A543" s="13" t="s">
        <v>3</v>
      </c>
      <c r="B543">
        <v>138485</v>
      </c>
      <c r="C543" s="13"/>
      <c r="D543" s="13"/>
      <c r="E543" s="13"/>
      <c r="F543" s="13"/>
      <c r="G543" s="13" t="s">
        <v>947</v>
      </c>
    </row>
    <row r="544" spans="1:7" x14ac:dyDescent="0.25">
      <c r="A544" s="13" t="s">
        <v>3</v>
      </c>
      <c r="B544">
        <v>138489</v>
      </c>
      <c r="C544" s="13"/>
      <c r="D544" s="13"/>
      <c r="E544" s="13"/>
      <c r="F544" s="13"/>
      <c r="G544" s="13" t="s">
        <v>947</v>
      </c>
    </row>
    <row r="545" spans="1:7" x14ac:dyDescent="0.25">
      <c r="A545" s="13" t="s">
        <v>3</v>
      </c>
      <c r="B545">
        <v>138488</v>
      </c>
      <c r="C545" s="13"/>
      <c r="D545" s="13"/>
      <c r="E545" s="13"/>
      <c r="F545" s="13"/>
      <c r="G545" s="13" t="s">
        <v>947</v>
      </c>
    </row>
    <row r="546" spans="1:7" x14ac:dyDescent="0.25">
      <c r="A546" s="13" t="s">
        <v>3</v>
      </c>
      <c r="B546">
        <v>138491</v>
      </c>
      <c r="C546" s="13"/>
      <c r="D546" s="13"/>
      <c r="E546" s="13"/>
      <c r="F546" s="13"/>
      <c r="G546" s="13" t="s">
        <v>947</v>
      </c>
    </row>
    <row r="547" spans="1:7" x14ac:dyDescent="0.25">
      <c r="A547" s="13" t="s">
        <v>3</v>
      </c>
      <c r="B547">
        <v>143818</v>
      </c>
      <c r="C547" s="13"/>
      <c r="D547" s="13"/>
      <c r="E547" s="13"/>
      <c r="F547" s="13"/>
      <c r="G547" s="13" t="s">
        <v>947</v>
      </c>
    </row>
    <row r="548" spans="1:7" x14ac:dyDescent="0.25">
      <c r="A548" s="13" t="s">
        <v>3</v>
      </c>
      <c r="B548">
        <v>133345</v>
      </c>
      <c r="C548" s="13"/>
      <c r="D548" s="13"/>
      <c r="E548" s="13"/>
      <c r="F548" s="13"/>
      <c r="G548" s="13" t="s">
        <v>947</v>
      </c>
    </row>
    <row r="549" spans="1:7" x14ac:dyDescent="0.25">
      <c r="A549" s="13" t="s">
        <v>3</v>
      </c>
      <c r="B549">
        <v>133346</v>
      </c>
      <c r="C549" s="13"/>
      <c r="D549" s="13"/>
      <c r="E549" s="13"/>
      <c r="F549" s="13"/>
      <c r="G549" s="13" t="s">
        <v>947</v>
      </c>
    </row>
    <row r="550" spans="1:7" x14ac:dyDescent="0.25">
      <c r="A550" s="13" t="s">
        <v>3</v>
      </c>
      <c r="B550">
        <v>223082</v>
      </c>
      <c r="C550" s="13" t="s">
        <v>1269</v>
      </c>
      <c r="D550" s="13"/>
      <c r="E550" s="13"/>
      <c r="F550" s="13"/>
      <c r="G550" s="13" t="s">
        <v>947</v>
      </c>
    </row>
    <row r="551" spans="1:7" x14ac:dyDescent="0.25">
      <c r="A551" s="13" t="s">
        <v>3</v>
      </c>
      <c r="B551">
        <v>223081</v>
      </c>
      <c r="C551" s="13" t="s">
        <v>1269</v>
      </c>
      <c r="D551" s="13"/>
      <c r="E551" s="13"/>
      <c r="F551" s="13"/>
      <c r="G551" s="13" t="s">
        <v>947</v>
      </c>
    </row>
    <row r="552" spans="1:7" x14ac:dyDescent="0.25">
      <c r="A552" s="13" t="s">
        <v>3</v>
      </c>
      <c r="B552">
        <v>223084</v>
      </c>
      <c r="C552" s="13" t="s">
        <v>1269</v>
      </c>
      <c r="D552" s="13"/>
      <c r="E552" s="13"/>
      <c r="F552" s="13"/>
      <c r="G552" s="13" t="s">
        <v>947</v>
      </c>
    </row>
    <row r="553" spans="1:7" x14ac:dyDescent="0.25">
      <c r="A553" s="13" t="s">
        <v>3</v>
      </c>
      <c r="B553">
        <v>223071</v>
      </c>
      <c r="C553" s="13" t="s">
        <v>1269</v>
      </c>
      <c r="D553" s="13"/>
      <c r="E553" s="13"/>
      <c r="F553" s="13"/>
      <c r="G553" s="13" t="s">
        <v>947</v>
      </c>
    </row>
    <row r="554" spans="1:7" x14ac:dyDescent="0.25">
      <c r="A554" s="13" t="s">
        <v>3</v>
      </c>
      <c r="B554">
        <v>223087</v>
      </c>
      <c r="C554" s="13" t="s">
        <v>1269</v>
      </c>
      <c r="D554" s="13"/>
      <c r="E554" s="13"/>
      <c r="F554" s="13"/>
      <c r="G554" s="13" t="s">
        <v>947</v>
      </c>
    </row>
    <row r="555" spans="1:7" x14ac:dyDescent="0.25">
      <c r="A555" s="13" t="s">
        <v>3</v>
      </c>
      <c r="B555">
        <v>223092</v>
      </c>
      <c r="C555" s="13" t="s">
        <v>1269</v>
      </c>
      <c r="D555" s="13"/>
      <c r="E555" s="13"/>
      <c r="F555" s="13"/>
      <c r="G555" s="13" t="s">
        <v>947</v>
      </c>
    </row>
    <row r="556" spans="1:7" x14ac:dyDescent="0.25">
      <c r="A556" s="13" t="s">
        <v>3</v>
      </c>
      <c r="B556">
        <v>223097</v>
      </c>
      <c r="C556" s="13" t="s">
        <v>1269</v>
      </c>
      <c r="D556" s="13"/>
      <c r="E556" s="13"/>
      <c r="F556" s="13"/>
      <c r="G556" s="13" t="s">
        <v>947</v>
      </c>
    </row>
    <row r="557" spans="1:7" x14ac:dyDescent="0.25">
      <c r="A557" s="13" t="s">
        <v>3</v>
      </c>
      <c r="B557">
        <v>223098</v>
      </c>
      <c r="C557" s="13" t="s">
        <v>1269</v>
      </c>
      <c r="D557" s="13"/>
      <c r="E557" s="13"/>
      <c r="F557" s="13"/>
      <c r="G557" s="13" t="s">
        <v>947</v>
      </c>
    </row>
    <row r="558" spans="1:7" x14ac:dyDescent="0.25">
      <c r="A558" s="13" t="s">
        <v>3</v>
      </c>
      <c r="B558">
        <v>223107</v>
      </c>
      <c r="C558" s="13" t="s">
        <v>1269</v>
      </c>
      <c r="D558" s="13"/>
      <c r="E558" s="13"/>
      <c r="F558" s="13"/>
      <c r="G558" s="13" t="s">
        <v>947</v>
      </c>
    </row>
    <row r="559" spans="1:7" x14ac:dyDescent="0.25">
      <c r="A559" s="13" t="s">
        <v>3</v>
      </c>
      <c r="B559">
        <v>213482</v>
      </c>
      <c r="C559" s="13"/>
      <c r="D559" s="13"/>
      <c r="E559" s="13"/>
      <c r="F559" s="13"/>
      <c r="G559" s="13" t="s">
        <v>947</v>
      </c>
    </row>
    <row r="560" spans="1:7" x14ac:dyDescent="0.25">
      <c r="A560" s="13" t="s">
        <v>3</v>
      </c>
      <c r="B560">
        <v>164911</v>
      </c>
      <c r="C560" s="13"/>
      <c r="D560" s="13"/>
      <c r="E560" s="13"/>
      <c r="F560" s="13"/>
      <c r="G560" s="13" t="s">
        <v>947</v>
      </c>
    </row>
    <row r="561" spans="1:7" x14ac:dyDescent="0.25">
      <c r="A561" s="13" t="s">
        <v>3</v>
      </c>
      <c r="B561">
        <v>145530</v>
      </c>
      <c r="C561" s="13"/>
      <c r="D561" s="13"/>
      <c r="E561" s="13"/>
      <c r="F561" s="13"/>
      <c r="G561" s="13" t="s">
        <v>947</v>
      </c>
    </row>
    <row r="562" spans="1:7" x14ac:dyDescent="0.25">
      <c r="A562" s="13" t="s">
        <v>3</v>
      </c>
      <c r="B562">
        <v>217449</v>
      </c>
      <c r="C562" s="13"/>
      <c r="D562" s="13"/>
      <c r="E562" s="13"/>
      <c r="F562" s="13"/>
      <c r="G562" s="13" t="s">
        <v>947</v>
      </c>
    </row>
    <row r="563" spans="1:7" x14ac:dyDescent="0.25">
      <c r="A563" s="13" t="s">
        <v>3</v>
      </c>
      <c r="B563">
        <v>132854</v>
      </c>
      <c r="C563" s="13"/>
      <c r="D563" s="13"/>
      <c r="E563" s="13"/>
      <c r="F563" s="13"/>
      <c r="G563" s="13" t="s">
        <v>947</v>
      </c>
    </row>
    <row r="564" spans="1:7" x14ac:dyDescent="0.25">
      <c r="A564" s="13" t="s">
        <v>3</v>
      </c>
      <c r="B564">
        <v>132855</v>
      </c>
      <c r="C564" s="13"/>
      <c r="D564" s="13"/>
      <c r="E564" s="13"/>
      <c r="F564" s="13"/>
      <c r="G564" s="13" t="s">
        <v>947</v>
      </c>
    </row>
    <row r="565" spans="1:7" x14ac:dyDescent="0.25">
      <c r="A565" s="13" t="s">
        <v>3</v>
      </c>
      <c r="B565">
        <v>187500</v>
      </c>
      <c r="C565" s="13"/>
      <c r="D565" s="13"/>
      <c r="E565" s="13"/>
      <c r="F565" s="13"/>
      <c r="G565" s="13" t="s">
        <v>947</v>
      </c>
    </row>
    <row r="566" spans="1:7" x14ac:dyDescent="0.25">
      <c r="A566" s="13" t="s">
        <v>3</v>
      </c>
      <c r="B566">
        <v>141915</v>
      </c>
      <c r="C566" s="13"/>
      <c r="D566" s="13"/>
      <c r="E566" s="13"/>
      <c r="F566" s="13"/>
      <c r="G566" s="13" t="s">
        <v>947</v>
      </c>
    </row>
    <row r="567" spans="1:7" x14ac:dyDescent="0.25">
      <c r="A567" s="13" t="s">
        <v>3</v>
      </c>
      <c r="B567">
        <v>213595</v>
      </c>
      <c r="C567" s="13"/>
      <c r="D567" s="13"/>
      <c r="E567" s="13"/>
      <c r="F567" s="13"/>
      <c r="G567" s="13" t="s">
        <v>947</v>
      </c>
    </row>
    <row r="568" spans="1:7" x14ac:dyDescent="0.25">
      <c r="A568" s="13" t="s">
        <v>3</v>
      </c>
      <c r="B568">
        <v>213596</v>
      </c>
      <c r="C568" s="13"/>
      <c r="D568" s="13"/>
      <c r="E568" s="13"/>
      <c r="F568" s="13"/>
      <c r="G568" s="13" t="s">
        <v>947</v>
      </c>
    </row>
    <row r="569" spans="1:7" x14ac:dyDescent="0.25">
      <c r="A569" s="13" t="s">
        <v>3</v>
      </c>
      <c r="B569">
        <v>202704</v>
      </c>
      <c r="C569" s="13"/>
      <c r="D569" s="13"/>
      <c r="E569" s="13"/>
      <c r="F569" s="13"/>
      <c r="G569" s="13" t="s">
        <v>947</v>
      </c>
    </row>
    <row r="570" spans="1:7" x14ac:dyDescent="0.25">
      <c r="A570" s="13" t="s">
        <v>3</v>
      </c>
      <c r="B570">
        <v>145481</v>
      </c>
      <c r="C570" s="13"/>
      <c r="D570" s="13"/>
      <c r="E570" s="13"/>
      <c r="F570" s="13"/>
      <c r="G570" s="13" t="s">
        <v>947</v>
      </c>
    </row>
    <row r="571" spans="1:7" x14ac:dyDescent="0.25">
      <c r="A571" s="13" t="s">
        <v>3</v>
      </c>
      <c r="B571">
        <v>145482</v>
      </c>
      <c r="C571" s="13"/>
      <c r="D571" s="13"/>
      <c r="E571" s="13"/>
      <c r="F571" s="13"/>
      <c r="G571" s="13" t="s">
        <v>947</v>
      </c>
    </row>
    <row r="572" spans="1:7" x14ac:dyDescent="0.25">
      <c r="A572" s="13" t="s">
        <v>3</v>
      </c>
      <c r="B572">
        <v>145579</v>
      </c>
      <c r="C572" s="13"/>
      <c r="D572" s="13"/>
      <c r="E572" s="13"/>
      <c r="F572" s="13"/>
      <c r="G572" s="13" t="s">
        <v>947</v>
      </c>
    </row>
    <row r="573" spans="1:7" x14ac:dyDescent="0.25">
      <c r="A573" s="13" t="s">
        <v>3</v>
      </c>
      <c r="B573">
        <v>165551</v>
      </c>
      <c r="C573" s="13"/>
      <c r="D573" s="13"/>
      <c r="E573" s="13"/>
      <c r="F573" s="13"/>
      <c r="G573" s="13" t="s">
        <v>947</v>
      </c>
    </row>
    <row r="574" spans="1:7" x14ac:dyDescent="0.25">
      <c r="A574" s="13" t="s">
        <v>3</v>
      </c>
      <c r="B574">
        <v>211414</v>
      </c>
      <c r="C574" s="13"/>
      <c r="D574" s="13"/>
      <c r="E574" s="13"/>
      <c r="F574" s="13"/>
      <c r="G574" s="13" t="s">
        <v>947</v>
      </c>
    </row>
    <row r="575" spans="1:7" x14ac:dyDescent="0.25">
      <c r="A575" s="13" t="s">
        <v>3</v>
      </c>
      <c r="B575">
        <v>131448</v>
      </c>
      <c r="C575" s="13"/>
      <c r="D575" s="13"/>
      <c r="E575" s="13"/>
      <c r="F575" s="13"/>
      <c r="G575" s="13" t="s">
        <v>947</v>
      </c>
    </row>
    <row r="576" spans="1:7" x14ac:dyDescent="0.25">
      <c r="A576" s="13" t="s">
        <v>3</v>
      </c>
      <c r="B576">
        <v>187503</v>
      </c>
      <c r="C576" s="13"/>
      <c r="D576" s="13"/>
      <c r="E576" s="13"/>
      <c r="F576" s="13"/>
      <c r="G576" s="13" t="s">
        <v>947</v>
      </c>
    </row>
    <row r="577" spans="1:7" x14ac:dyDescent="0.25">
      <c r="A577" s="13" t="s">
        <v>3</v>
      </c>
      <c r="B577">
        <v>201810</v>
      </c>
      <c r="C577" s="13"/>
      <c r="D577" s="13"/>
      <c r="E577" s="13"/>
      <c r="F577" s="13"/>
      <c r="G577" s="13" t="s">
        <v>947</v>
      </c>
    </row>
    <row r="578" spans="1:7" x14ac:dyDescent="0.25">
      <c r="A578" s="13" t="s">
        <v>3</v>
      </c>
      <c r="B578">
        <v>117282</v>
      </c>
      <c r="C578" s="13"/>
      <c r="D578" s="13"/>
      <c r="E578" s="13"/>
      <c r="F578" s="13"/>
      <c r="G578" s="13" t="s">
        <v>947</v>
      </c>
    </row>
    <row r="579" spans="1:7" x14ac:dyDescent="0.25">
      <c r="A579" s="13" t="s">
        <v>3</v>
      </c>
      <c r="B579">
        <v>143742</v>
      </c>
      <c r="C579" s="13">
        <v>3990</v>
      </c>
      <c r="D579" s="13" t="s">
        <v>1423</v>
      </c>
      <c r="E579" s="13"/>
      <c r="F579" s="13"/>
      <c r="G579" s="13" t="s">
        <v>1313</v>
      </c>
    </row>
    <row r="580" spans="1:7" x14ac:dyDescent="0.25">
      <c r="A580" s="13" t="s">
        <v>3</v>
      </c>
      <c r="B580">
        <v>223117</v>
      </c>
      <c r="C580" s="13"/>
      <c r="D580" s="13"/>
      <c r="E580" s="13"/>
      <c r="F580" s="13"/>
      <c r="G580" s="13" t="s">
        <v>947</v>
      </c>
    </row>
    <row r="581" spans="1:7" x14ac:dyDescent="0.25">
      <c r="A581" s="13" t="s">
        <v>3</v>
      </c>
      <c r="B581">
        <v>223116</v>
      </c>
      <c r="C581" s="13"/>
      <c r="D581" s="13"/>
      <c r="E581" s="13"/>
      <c r="F581" s="13"/>
      <c r="G581" s="13" t="s">
        <v>947</v>
      </c>
    </row>
    <row r="582" spans="1:7" x14ac:dyDescent="0.25">
      <c r="A582" s="13" t="s">
        <v>3</v>
      </c>
      <c r="B582">
        <v>223118</v>
      </c>
      <c r="C582" s="13"/>
      <c r="D582" s="13"/>
      <c r="E582" s="13"/>
      <c r="F582" s="13"/>
      <c r="G582" s="13" t="s">
        <v>947</v>
      </c>
    </row>
    <row r="583" spans="1:7" x14ac:dyDescent="0.25">
      <c r="A583" s="13" t="s">
        <v>3</v>
      </c>
      <c r="B583">
        <v>169754</v>
      </c>
      <c r="C583" s="13"/>
      <c r="D583" s="13"/>
      <c r="E583" s="13"/>
      <c r="F583" s="13"/>
      <c r="G583" s="13" t="s">
        <v>947</v>
      </c>
    </row>
    <row r="584" spans="1:7" x14ac:dyDescent="0.25">
      <c r="A584" s="13" t="s">
        <v>3</v>
      </c>
      <c r="B584">
        <v>266407</v>
      </c>
      <c r="C584" s="13">
        <v>7190</v>
      </c>
      <c r="D584" s="13" t="s">
        <v>1164</v>
      </c>
      <c r="E584" s="13"/>
      <c r="F584" s="13"/>
      <c r="G584" s="13" t="s">
        <v>1333</v>
      </c>
    </row>
    <row r="585" spans="1:7" x14ac:dyDescent="0.25">
      <c r="A585" s="13" t="s">
        <v>3</v>
      </c>
      <c r="B585">
        <v>266408</v>
      </c>
      <c r="C585" s="13">
        <v>8690</v>
      </c>
      <c r="D585" s="13" t="s">
        <v>1165</v>
      </c>
      <c r="E585" s="13"/>
      <c r="F585" s="13"/>
      <c r="G585" s="13" t="s">
        <v>1495</v>
      </c>
    </row>
    <row r="586" spans="1:7" x14ac:dyDescent="0.25">
      <c r="A586" s="13" t="s">
        <v>3</v>
      </c>
      <c r="B586">
        <v>143811</v>
      </c>
      <c r="C586" s="13" t="s">
        <v>1269</v>
      </c>
      <c r="D586" s="13"/>
      <c r="E586" s="13"/>
      <c r="F586" s="13"/>
      <c r="G586" s="13" t="s">
        <v>947</v>
      </c>
    </row>
    <row r="587" spans="1:7" x14ac:dyDescent="0.25">
      <c r="A587" s="13" t="s">
        <v>3</v>
      </c>
      <c r="B587">
        <v>201786</v>
      </c>
      <c r="C587" s="13">
        <v>3990</v>
      </c>
      <c r="D587" s="13" t="s">
        <v>1419</v>
      </c>
      <c r="E587" s="13"/>
      <c r="F587" s="13"/>
      <c r="G587" s="13" t="s">
        <v>1313</v>
      </c>
    </row>
    <row r="588" spans="1:7" x14ac:dyDescent="0.25">
      <c r="A588" s="13" t="s">
        <v>3</v>
      </c>
      <c r="B588">
        <v>274102</v>
      </c>
      <c r="C588" s="13" t="s">
        <v>1269</v>
      </c>
      <c r="D588" s="13"/>
      <c r="E588" s="13"/>
      <c r="F588" s="13"/>
      <c r="G588" s="13" t="s">
        <v>947</v>
      </c>
    </row>
    <row r="589" spans="1:7" x14ac:dyDescent="0.25">
      <c r="A589" s="13" t="s">
        <v>3</v>
      </c>
      <c r="B589">
        <v>274103</v>
      </c>
      <c r="C589" s="13" t="s">
        <v>1269</v>
      </c>
      <c r="D589" s="13"/>
      <c r="E589" s="13"/>
      <c r="F589" s="13"/>
      <c r="G589" s="13" t="s">
        <v>947</v>
      </c>
    </row>
    <row r="590" spans="1:7" x14ac:dyDescent="0.25">
      <c r="A590" s="13" t="s">
        <v>3</v>
      </c>
      <c r="B590">
        <v>264884</v>
      </c>
      <c r="C590" s="13" t="s">
        <v>1269</v>
      </c>
      <c r="D590" s="13"/>
      <c r="E590" s="13"/>
      <c r="F590" s="13"/>
      <c r="G590" s="13" t="s">
        <v>947</v>
      </c>
    </row>
    <row r="591" spans="1:7" x14ac:dyDescent="0.25">
      <c r="A591" s="13" t="s">
        <v>3</v>
      </c>
      <c r="B591">
        <v>274200</v>
      </c>
      <c r="C591" s="13">
        <v>24390</v>
      </c>
      <c r="D591" s="13" t="s">
        <v>1273</v>
      </c>
      <c r="E591" s="13"/>
      <c r="F591" s="13"/>
      <c r="G591" s="13" t="s">
        <v>1347</v>
      </c>
    </row>
    <row r="592" spans="1:7" x14ac:dyDescent="0.25">
      <c r="A592" s="13" t="s">
        <v>3</v>
      </c>
      <c r="B592">
        <v>224256</v>
      </c>
      <c r="C592" s="13">
        <v>990</v>
      </c>
      <c r="D592" s="13" t="s">
        <v>1353</v>
      </c>
      <c r="E592" s="13"/>
      <c r="F592" s="13"/>
      <c r="G592" s="13" t="s">
        <v>1288</v>
      </c>
    </row>
    <row r="593" spans="1:7" x14ac:dyDescent="0.25">
      <c r="A593" s="13" t="s">
        <v>3</v>
      </c>
      <c r="B593">
        <v>274203</v>
      </c>
      <c r="C593" s="13">
        <v>3390</v>
      </c>
      <c r="D593" s="13" t="s">
        <v>1272</v>
      </c>
      <c r="E593" s="13"/>
      <c r="F593" s="13"/>
      <c r="G593" s="13" t="s">
        <v>1310</v>
      </c>
    </row>
    <row r="594" spans="1:7" x14ac:dyDescent="0.25">
      <c r="A594" s="13" t="s">
        <v>3</v>
      </c>
      <c r="B594">
        <v>345619</v>
      </c>
      <c r="C594" s="13">
        <v>2890</v>
      </c>
      <c r="D594" s="13" t="s">
        <v>1417</v>
      </c>
      <c r="E594" s="13"/>
      <c r="F594" s="13"/>
      <c r="G594" s="13" t="s">
        <v>1496</v>
      </c>
    </row>
    <row r="595" spans="1:7" x14ac:dyDescent="0.25">
      <c r="A595" s="13" t="s">
        <v>3</v>
      </c>
      <c r="B595">
        <v>345617</v>
      </c>
      <c r="C595" s="13">
        <v>2890</v>
      </c>
      <c r="D595" s="13" t="s">
        <v>1418</v>
      </c>
      <c r="E595" s="13"/>
      <c r="F595" s="13"/>
      <c r="G595" s="13" t="s">
        <v>1496</v>
      </c>
    </row>
    <row r="596" spans="1:7" x14ac:dyDescent="0.25">
      <c r="A596" s="13" t="s">
        <v>3</v>
      </c>
      <c r="B596">
        <v>345623</v>
      </c>
      <c r="C596" s="13">
        <v>8490</v>
      </c>
      <c r="D596" s="13" t="s">
        <v>1380</v>
      </c>
      <c r="E596" s="13"/>
      <c r="F596" s="13"/>
      <c r="G596" s="13" t="s">
        <v>1334</v>
      </c>
    </row>
    <row r="597" spans="1:7" x14ac:dyDescent="0.25">
      <c r="A597" s="13" t="s">
        <v>3</v>
      </c>
      <c r="B597" t="s">
        <v>0</v>
      </c>
      <c r="C597" s="13" t="s">
        <v>1144</v>
      </c>
      <c r="D597" s="13"/>
      <c r="E597" s="13"/>
      <c r="F597" s="13"/>
      <c r="G597" s="13" t="s">
        <v>814</v>
      </c>
    </row>
    <row r="598" spans="1:7" x14ac:dyDescent="0.25">
      <c r="A598" s="13" t="s">
        <v>3</v>
      </c>
      <c r="B598">
        <v>138535</v>
      </c>
      <c r="C598" s="13" t="s">
        <v>1270</v>
      </c>
      <c r="D598" s="13"/>
      <c r="E598" s="13"/>
      <c r="F598" s="13"/>
      <c r="G598" s="13" t="s">
        <v>947</v>
      </c>
    </row>
    <row r="599" spans="1:7" x14ac:dyDescent="0.25">
      <c r="A599" s="13" t="s">
        <v>3</v>
      </c>
      <c r="B599">
        <v>138536</v>
      </c>
      <c r="C599" s="13" t="s">
        <v>1270</v>
      </c>
      <c r="D599" s="13"/>
      <c r="E599" s="13"/>
      <c r="F599" s="13"/>
      <c r="G599" s="13" t="s">
        <v>947</v>
      </c>
    </row>
    <row r="600" spans="1:7" x14ac:dyDescent="0.25">
      <c r="A600" s="13" t="s">
        <v>3</v>
      </c>
      <c r="B600">
        <v>152891</v>
      </c>
      <c r="C600" s="13" t="s">
        <v>1269</v>
      </c>
      <c r="D600" s="13"/>
      <c r="E600" s="13"/>
      <c r="F600" s="13"/>
      <c r="G600" s="13" t="s">
        <v>947</v>
      </c>
    </row>
    <row r="601" spans="1:7" x14ac:dyDescent="0.25">
      <c r="A601" s="13" t="s">
        <v>3</v>
      </c>
      <c r="B601">
        <v>152892</v>
      </c>
      <c r="C601" s="13" t="s">
        <v>1269</v>
      </c>
      <c r="D601" s="13"/>
      <c r="E601" s="13"/>
      <c r="F601" s="13"/>
      <c r="G601" s="13" t="s">
        <v>947</v>
      </c>
    </row>
    <row r="602" spans="1:7" x14ac:dyDescent="0.25">
      <c r="A602" s="13" t="s">
        <v>3</v>
      </c>
      <c r="B602">
        <v>152893</v>
      </c>
      <c r="C602" s="13" t="s">
        <v>1269</v>
      </c>
      <c r="D602" s="13"/>
      <c r="E602" s="13"/>
      <c r="F602" s="13"/>
      <c r="G602" s="13" t="s">
        <v>947</v>
      </c>
    </row>
    <row r="603" spans="1:7" x14ac:dyDescent="0.25">
      <c r="A603" s="13" t="s">
        <v>3</v>
      </c>
      <c r="B603">
        <v>152894</v>
      </c>
      <c r="C603" s="13" t="s">
        <v>1269</v>
      </c>
      <c r="D603" s="13"/>
      <c r="E603" s="13"/>
      <c r="F603" s="13"/>
      <c r="G603" s="13" t="s">
        <v>947</v>
      </c>
    </row>
    <row r="604" spans="1:7" x14ac:dyDescent="0.25">
      <c r="A604" s="13" t="s">
        <v>3</v>
      </c>
      <c r="B604">
        <v>152895</v>
      </c>
      <c r="C604" s="13" t="s">
        <v>1269</v>
      </c>
      <c r="D604" s="13"/>
      <c r="E604" s="13"/>
      <c r="F604" s="13"/>
      <c r="G604" s="13" t="s">
        <v>947</v>
      </c>
    </row>
    <row r="605" spans="1:7" x14ac:dyDescent="0.25">
      <c r="A605" s="13" t="s">
        <v>3</v>
      </c>
      <c r="B605">
        <v>152896</v>
      </c>
      <c r="C605" s="13" t="s">
        <v>1269</v>
      </c>
      <c r="D605" s="13"/>
      <c r="E605" s="13"/>
      <c r="F605" s="13"/>
      <c r="G605" s="13" t="s">
        <v>947</v>
      </c>
    </row>
    <row r="606" spans="1:7" x14ac:dyDescent="0.25">
      <c r="A606" s="13" t="s">
        <v>3</v>
      </c>
      <c r="B606">
        <v>152897</v>
      </c>
      <c r="C606" s="13" t="s">
        <v>1269</v>
      </c>
      <c r="D606" s="13"/>
      <c r="E606" s="13"/>
      <c r="F606" s="13"/>
      <c r="G606" s="13" t="s">
        <v>947</v>
      </c>
    </row>
    <row r="607" spans="1:7" x14ac:dyDescent="0.25">
      <c r="A607" s="13" t="s">
        <v>3</v>
      </c>
      <c r="B607">
        <v>152898</v>
      </c>
      <c r="C607" s="13" t="s">
        <v>1269</v>
      </c>
      <c r="D607" s="13"/>
      <c r="E607" s="13"/>
      <c r="F607" s="13"/>
      <c r="G607" s="13" t="s">
        <v>947</v>
      </c>
    </row>
    <row r="608" spans="1:7" x14ac:dyDescent="0.25">
      <c r="A608" s="13" t="s">
        <v>3</v>
      </c>
      <c r="B608">
        <v>152899</v>
      </c>
      <c r="C608" s="13" t="s">
        <v>1269</v>
      </c>
      <c r="D608" s="13"/>
      <c r="E608" s="13"/>
      <c r="F608" s="13"/>
      <c r="G608" s="13" t="s">
        <v>947</v>
      </c>
    </row>
    <row r="609" spans="1:7" x14ac:dyDescent="0.25">
      <c r="A609" s="13" t="s">
        <v>3</v>
      </c>
      <c r="B609">
        <v>152900</v>
      </c>
      <c r="C609" s="13" t="s">
        <v>1269</v>
      </c>
      <c r="D609" s="13"/>
      <c r="E609" s="13"/>
      <c r="F609" s="13"/>
      <c r="G609" s="13" t="s">
        <v>947</v>
      </c>
    </row>
    <row r="610" spans="1:7" x14ac:dyDescent="0.25">
      <c r="A610" s="13" t="s">
        <v>3</v>
      </c>
      <c r="B610">
        <v>152901</v>
      </c>
      <c r="C610" s="13" t="s">
        <v>1269</v>
      </c>
      <c r="D610" s="13"/>
      <c r="E610" s="13"/>
      <c r="F610" s="13"/>
      <c r="G610" s="13" t="s">
        <v>947</v>
      </c>
    </row>
    <row r="611" spans="1:7" x14ac:dyDescent="0.25">
      <c r="A611" s="13" t="s">
        <v>3</v>
      </c>
      <c r="B611">
        <v>152902</v>
      </c>
      <c r="C611" s="13" t="s">
        <v>1269</v>
      </c>
      <c r="D611" s="13"/>
      <c r="E611" s="13"/>
      <c r="F611" s="13"/>
      <c r="G611" s="13" t="s">
        <v>947</v>
      </c>
    </row>
    <row r="612" spans="1:7" x14ac:dyDescent="0.25">
      <c r="A612" s="13" t="s">
        <v>3</v>
      </c>
      <c r="B612">
        <v>152903</v>
      </c>
      <c r="C612" s="13" t="s">
        <v>1269</v>
      </c>
      <c r="D612" s="13"/>
      <c r="E612" s="13"/>
      <c r="F612" s="13"/>
      <c r="G612" s="13" t="s">
        <v>947</v>
      </c>
    </row>
    <row r="613" spans="1:7" x14ac:dyDescent="0.25">
      <c r="A613" s="13" t="s">
        <v>3</v>
      </c>
      <c r="B613">
        <v>152904</v>
      </c>
      <c r="C613" s="13" t="s">
        <v>1269</v>
      </c>
      <c r="D613" s="13"/>
      <c r="E613" s="13"/>
      <c r="F613" s="13"/>
      <c r="G613" s="13" t="s">
        <v>947</v>
      </c>
    </row>
    <row r="614" spans="1:7" x14ac:dyDescent="0.25">
      <c r="A614" s="13" t="s">
        <v>3</v>
      </c>
      <c r="B614">
        <v>152905</v>
      </c>
      <c r="C614" s="13" t="s">
        <v>1269</v>
      </c>
      <c r="D614" s="13"/>
      <c r="E614" s="13"/>
      <c r="F614" s="13"/>
      <c r="G614" s="13" t="s">
        <v>947</v>
      </c>
    </row>
    <row r="615" spans="1:7" x14ac:dyDescent="0.25">
      <c r="A615" s="13" t="s">
        <v>3</v>
      </c>
      <c r="B615">
        <v>152907</v>
      </c>
      <c r="C615" s="13">
        <v>8490</v>
      </c>
      <c r="D615" s="13" t="s">
        <v>1350</v>
      </c>
      <c r="E615" s="13"/>
      <c r="F615" s="13"/>
      <c r="G615" s="13" t="s">
        <v>1334</v>
      </c>
    </row>
    <row r="616" spans="1:7" x14ac:dyDescent="0.25">
      <c r="A616" s="13" t="s">
        <v>3</v>
      </c>
      <c r="B616">
        <v>152908</v>
      </c>
      <c r="C616" s="13">
        <v>9090</v>
      </c>
      <c r="D616" s="13" t="s">
        <v>1350</v>
      </c>
      <c r="E616" s="13"/>
      <c r="F616" s="13"/>
      <c r="G616" s="13" t="s">
        <v>1334</v>
      </c>
    </row>
    <row r="617" spans="1:7" x14ac:dyDescent="0.25">
      <c r="A617" s="13" t="s">
        <v>3</v>
      </c>
      <c r="B617">
        <v>335658</v>
      </c>
      <c r="C617" s="13">
        <v>9090</v>
      </c>
      <c r="D617" s="13" t="s">
        <v>1350</v>
      </c>
      <c r="E617" s="13"/>
      <c r="F617" s="13"/>
      <c r="G617" s="13" t="s">
        <v>1334</v>
      </c>
    </row>
    <row r="618" spans="1:7" x14ac:dyDescent="0.25">
      <c r="A618" s="13" t="s">
        <v>3</v>
      </c>
      <c r="B618">
        <v>152909</v>
      </c>
      <c r="C618" s="13">
        <v>9090</v>
      </c>
      <c r="D618" s="13" t="s">
        <v>1350</v>
      </c>
      <c r="E618" s="13"/>
      <c r="F618" s="13"/>
      <c r="G618" s="13" t="s">
        <v>1334</v>
      </c>
    </row>
    <row r="619" spans="1:7" x14ac:dyDescent="0.25">
      <c r="A619" s="13" t="s">
        <v>3</v>
      </c>
      <c r="B619">
        <v>152910</v>
      </c>
      <c r="C619" s="13">
        <v>9090</v>
      </c>
      <c r="D619" s="13" t="s">
        <v>1350</v>
      </c>
      <c r="E619" s="13"/>
      <c r="F619" s="13"/>
      <c r="G619" s="13" t="s">
        <v>1334</v>
      </c>
    </row>
    <row r="620" spans="1:7" x14ac:dyDescent="0.25">
      <c r="A620" s="13" t="s">
        <v>3</v>
      </c>
      <c r="B620">
        <v>152911</v>
      </c>
      <c r="C620" s="13">
        <v>9090</v>
      </c>
      <c r="D620" s="13" t="s">
        <v>1350</v>
      </c>
      <c r="E620" s="13"/>
      <c r="F620" s="13"/>
      <c r="G620" s="13" t="s">
        <v>1334</v>
      </c>
    </row>
    <row r="621" spans="1:7" x14ac:dyDescent="0.25">
      <c r="A621" s="13" t="s">
        <v>3</v>
      </c>
      <c r="B621">
        <v>152912</v>
      </c>
      <c r="C621" s="13">
        <v>9090</v>
      </c>
      <c r="D621" s="13" t="s">
        <v>1350</v>
      </c>
      <c r="E621" s="13"/>
      <c r="F621" s="13"/>
      <c r="G621" s="13" t="s">
        <v>1334</v>
      </c>
    </row>
    <row r="622" spans="1:7" x14ac:dyDescent="0.25">
      <c r="A622" s="13" t="s">
        <v>3</v>
      </c>
      <c r="B622">
        <v>152913</v>
      </c>
      <c r="C622" s="13">
        <v>9090</v>
      </c>
      <c r="D622" s="13" t="s">
        <v>1350</v>
      </c>
      <c r="E622" s="13"/>
      <c r="F622" s="13"/>
      <c r="G622" s="13" t="s">
        <v>1334</v>
      </c>
    </row>
    <row r="623" spans="1:7" x14ac:dyDescent="0.25">
      <c r="A623" s="13" t="s">
        <v>3</v>
      </c>
      <c r="B623">
        <v>152914</v>
      </c>
      <c r="C623" s="13">
        <v>9090</v>
      </c>
      <c r="D623" s="13" t="s">
        <v>1350</v>
      </c>
      <c r="E623" s="13"/>
      <c r="F623" s="13"/>
      <c r="G623" s="13" t="s">
        <v>1334</v>
      </c>
    </row>
    <row r="624" spans="1:7" x14ac:dyDescent="0.25">
      <c r="A624" s="13" t="s">
        <v>3</v>
      </c>
      <c r="B624">
        <v>152915</v>
      </c>
      <c r="C624" s="13">
        <v>9090</v>
      </c>
      <c r="D624" s="13" t="s">
        <v>1350</v>
      </c>
      <c r="E624" s="13"/>
      <c r="F624" s="13"/>
      <c r="G624" s="13" t="s">
        <v>1334</v>
      </c>
    </row>
    <row r="625" spans="1:7" x14ac:dyDescent="0.25">
      <c r="A625" s="13" t="s">
        <v>3</v>
      </c>
      <c r="B625">
        <v>152916</v>
      </c>
      <c r="C625" s="13">
        <v>9090</v>
      </c>
      <c r="D625" s="13" t="s">
        <v>1350</v>
      </c>
      <c r="E625" s="13"/>
      <c r="F625" s="13"/>
      <c r="G625" s="13" t="s">
        <v>1334</v>
      </c>
    </row>
    <row r="626" spans="1:7" x14ac:dyDescent="0.25">
      <c r="A626" s="13" t="s">
        <v>3</v>
      </c>
      <c r="B626">
        <v>152917</v>
      </c>
      <c r="C626" s="13">
        <v>9090</v>
      </c>
      <c r="D626" s="13" t="s">
        <v>1350</v>
      </c>
      <c r="E626" s="13"/>
      <c r="F626" s="13"/>
      <c r="G626" s="13" t="s">
        <v>1334</v>
      </c>
    </row>
    <row r="627" spans="1:7" x14ac:dyDescent="0.25">
      <c r="A627" s="13" t="s">
        <v>3</v>
      </c>
      <c r="B627">
        <v>152918</v>
      </c>
      <c r="C627" s="13">
        <v>9090</v>
      </c>
      <c r="D627" s="13" t="s">
        <v>1350</v>
      </c>
      <c r="E627" s="13"/>
      <c r="F627" s="13"/>
      <c r="G627" s="13" t="s">
        <v>1334</v>
      </c>
    </row>
    <row r="628" spans="1:7" x14ac:dyDescent="0.25">
      <c r="A628" s="13" t="s">
        <v>3</v>
      </c>
      <c r="B628">
        <v>152919</v>
      </c>
      <c r="C628" s="13">
        <v>9090</v>
      </c>
      <c r="D628" s="13" t="s">
        <v>1350</v>
      </c>
      <c r="E628" s="13"/>
      <c r="F628" s="13"/>
      <c r="G628" s="13" t="s">
        <v>1334</v>
      </c>
    </row>
    <row r="629" spans="1:7" x14ac:dyDescent="0.25">
      <c r="A629" s="13" t="s">
        <v>3</v>
      </c>
      <c r="B629">
        <v>152920</v>
      </c>
      <c r="C629" s="13">
        <v>9090</v>
      </c>
      <c r="D629" s="13" t="s">
        <v>1350</v>
      </c>
      <c r="E629" s="13"/>
      <c r="F629" s="13"/>
      <c r="G629" s="13" t="s">
        <v>1334</v>
      </c>
    </row>
    <row r="630" spans="1:7" x14ac:dyDescent="0.25">
      <c r="A630" s="13" t="s">
        <v>3</v>
      </c>
      <c r="B630">
        <v>152921</v>
      </c>
      <c r="C630" s="13">
        <v>9090</v>
      </c>
      <c r="D630" s="13" t="s">
        <v>1350</v>
      </c>
      <c r="E630" s="13"/>
      <c r="F630" s="13"/>
      <c r="G630" s="13" t="s">
        <v>1334</v>
      </c>
    </row>
    <row r="631" spans="1:7" x14ac:dyDescent="0.25">
      <c r="A631" s="13" t="s">
        <v>3</v>
      </c>
      <c r="B631">
        <v>169224</v>
      </c>
      <c r="C631" s="13">
        <v>2990</v>
      </c>
      <c r="D631" s="13" t="s">
        <v>1282</v>
      </c>
      <c r="E631" s="13"/>
      <c r="F631" s="13"/>
      <c r="G631" s="13" t="s">
        <v>1304</v>
      </c>
    </row>
    <row r="632" spans="1:7" x14ac:dyDescent="0.25">
      <c r="A632" s="13" t="s">
        <v>3</v>
      </c>
      <c r="B632">
        <v>169225</v>
      </c>
      <c r="C632" s="13">
        <v>3590</v>
      </c>
      <c r="D632" s="13" t="s">
        <v>1282</v>
      </c>
      <c r="E632" s="13"/>
      <c r="F632" s="13"/>
      <c r="G632" s="13" t="s">
        <v>1304</v>
      </c>
    </row>
    <row r="633" spans="1:7" x14ac:dyDescent="0.25">
      <c r="A633" s="13" t="s">
        <v>3</v>
      </c>
      <c r="B633">
        <v>348048</v>
      </c>
      <c r="C633" s="13">
        <v>3590</v>
      </c>
      <c r="D633" s="13" t="s">
        <v>1282</v>
      </c>
      <c r="E633" s="13"/>
      <c r="F633" s="13"/>
      <c r="G633" s="13" t="s">
        <v>1304</v>
      </c>
    </row>
    <row r="634" spans="1:7" x14ac:dyDescent="0.25">
      <c r="A634" s="13" t="s">
        <v>3</v>
      </c>
      <c r="B634">
        <v>169226</v>
      </c>
      <c r="C634" s="13">
        <v>3590</v>
      </c>
      <c r="D634" s="13" t="s">
        <v>1282</v>
      </c>
      <c r="E634" s="13"/>
      <c r="F634" s="13"/>
      <c r="G634" s="13" t="s">
        <v>1304</v>
      </c>
    </row>
    <row r="635" spans="1:7" x14ac:dyDescent="0.25">
      <c r="A635" s="13" t="s">
        <v>3</v>
      </c>
      <c r="B635">
        <v>169227</v>
      </c>
      <c r="C635" s="13">
        <v>3590</v>
      </c>
      <c r="D635" s="13" t="s">
        <v>1282</v>
      </c>
      <c r="E635" s="13"/>
      <c r="F635" s="13"/>
      <c r="G635" s="13" t="s">
        <v>1304</v>
      </c>
    </row>
    <row r="636" spans="1:7" x14ac:dyDescent="0.25">
      <c r="A636" s="13" t="s">
        <v>3</v>
      </c>
      <c r="B636">
        <v>169228</v>
      </c>
      <c r="C636" s="13">
        <v>3590</v>
      </c>
      <c r="D636" s="13" t="s">
        <v>1282</v>
      </c>
      <c r="E636" s="13"/>
      <c r="F636" s="13"/>
      <c r="G636" s="13" t="s">
        <v>1304</v>
      </c>
    </row>
    <row r="637" spans="1:7" x14ac:dyDescent="0.25">
      <c r="A637" s="13" t="s">
        <v>3</v>
      </c>
      <c r="B637">
        <v>169229</v>
      </c>
      <c r="C637" s="13">
        <v>3590</v>
      </c>
      <c r="D637" s="13" t="s">
        <v>1282</v>
      </c>
      <c r="E637" s="13"/>
      <c r="F637" s="13"/>
      <c r="G637" s="13" t="s">
        <v>1304</v>
      </c>
    </row>
    <row r="638" spans="1:7" x14ac:dyDescent="0.25">
      <c r="A638" s="13" t="s">
        <v>3</v>
      </c>
      <c r="B638">
        <v>169230</v>
      </c>
      <c r="C638" s="13">
        <v>3590</v>
      </c>
      <c r="D638" s="13" t="s">
        <v>1282</v>
      </c>
      <c r="E638" s="13"/>
      <c r="F638" s="13"/>
      <c r="G638" s="13" t="s">
        <v>1304</v>
      </c>
    </row>
    <row r="639" spans="1:7" x14ac:dyDescent="0.25">
      <c r="A639" s="13" t="s">
        <v>3</v>
      </c>
      <c r="B639">
        <v>169231</v>
      </c>
      <c r="C639" s="13">
        <v>3590</v>
      </c>
      <c r="D639" s="13" t="s">
        <v>1282</v>
      </c>
      <c r="E639" s="13"/>
      <c r="F639" s="13"/>
      <c r="G639" s="13" t="s">
        <v>1304</v>
      </c>
    </row>
    <row r="640" spans="1:7" x14ac:dyDescent="0.25">
      <c r="A640" s="13" t="s">
        <v>3</v>
      </c>
      <c r="B640">
        <v>169232</v>
      </c>
      <c r="C640" s="13">
        <v>3590</v>
      </c>
      <c r="D640" s="13" t="s">
        <v>1282</v>
      </c>
      <c r="E640" s="13"/>
      <c r="F640" s="13"/>
      <c r="G640" s="13" t="s">
        <v>1304</v>
      </c>
    </row>
    <row r="641" spans="1:7" x14ac:dyDescent="0.25">
      <c r="A641" s="13" t="s">
        <v>3</v>
      </c>
      <c r="B641">
        <v>169233</v>
      </c>
      <c r="C641" s="13">
        <v>3590</v>
      </c>
      <c r="D641" s="13" t="s">
        <v>1282</v>
      </c>
      <c r="E641" s="13"/>
      <c r="F641" s="13"/>
      <c r="G641" s="13" t="s">
        <v>1304</v>
      </c>
    </row>
    <row r="642" spans="1:7" x14ac:dyDescent="0.25">
      <c r="A642" s="13" t="s">
        <v>3</v>
      </c>
      <c r="B642">
        <v>169234</v>
      </c>
      <c r="C642" s="13">
        <v>3590</v>
      </c>
      <c r="D642" s="13" t="s">
        <v>1282</v>
      </c>
      <c r="E642" s="13"/>
      <c r="F642" s="13"/>
      <c r="G642" s="13" t="s">
        <v>1304</v>
      </c>
    </row>
    <row r="643" spans="1:7" x14ac:dyDescent="0.25">
      <c r="A643" s="13" t="s">
        <v>3</v>
      </c>
      <c r="B643">
        <v>169235</v>
      </c>
      <c r="C643" s="13">
        <v>3590</v>
      </c>
      <c r="D643" s="13" t="s">
        <v>1282</v>
      </c>
      <c r="E643" s="13"/>
      <c r="F643" s="13"/>
      <c r="G643" s="13" t="s">
        <v>1304</v>
      </c>
    </row>
    <row r="644" spans="1:7" x14ac:dyDescent="0.25">
      <c r="A644" s="13" t="s">
        <v>3</v>
      </c>
      <c r="B644">
        <v>169236</v>
      </c>
      <c r="C644" s="13">
        <v>3590</v>
      </c>
      <c r="D644" s="13" t="s">
        <v>1282</v>
      </c>
      <c r="E644" s="13"/>
      <c r="F644" s="13"/>
      <c r="G644" s="13" t="s">
        <v>1304</v>
      </c>
    </row>
    <row r="645" spans="1:7" x14ac:dyDescent="0.25">
      <c r="A645" s="13" t="s">
        <v>3</v>
      </c>
      <c r="B645">
        <v>169237</v>
      </c>
      <c r="C645" s="13">
        <v>3590</v>
      </c>
      <c r="D645" s="13" t="s">
        <v>1282</v>
      </c>
      <c r="E645" s="13"/>
      <c r="F645" s="13"/>
      <c r="G645" s="13" t="s">
        <v>1304</v>
      </c>
    </row>
    <row r="646" spans="1:7" x14ac:dyDescent="0.25">
      <c r="A646" s="13" t="s">
        <v>3</v>
      </c>
      <c r="B646">
        <v>169238</v>
      </c>
      <c r="C646" s="13">
        <v>3590</v>
      </c>
      <c r="D646" s="13" t="s">
        <v>1282</v>
      </c>
      <c r="E646" s="13"/>
      <c r="F646" s="13"/>
      <c r="G646" s="13" t="s">
        <v>1304</v>
      </c>
    </row>
    <row r="647" spans="1:7" x14ac:dyDescent="0.25">
      <c r="A647" s="13" t="s">
        <v>3</v>
      </c>
      <c r="B647">
        <v>194418</v>
      </c>
      <c r="C647" s="13" t="s">
        <v>1269</v>
      </c>
      <c r="D647" s="13"/>
      <c r="E647" s="13"/>
      <c r="F647" s="13"/>
      <c r="G647" s="13" t="s">
        <v>947</v>
      </c>
    </row>
    <row r="648" spans="1:7" x14ac:dyDescent="0.25">
      <c r="A648" s="13" t="s">
        <v>3</v>
      </c>
      <c r="B648">
        <v>194419</v>
      </c>
      <c r="C648" s="13" t="s">
        <v>1269</v>
      </c>
      <c r="D648" s="13"/>
      <c r="E648" s="13"/>
      <c r="F648" s="13"/>
      <c r="G648" s="13" t="s">
        <v>947</v>
      </c>
    </row>
    <row r="649" spans="1:7" x14ac:dyDescent="0.25">
      <c r="A649" s="13" t="s">
        <v>3</v>
      </c>
      <c r="B649">
        <v>207590</v>
      </c>
      <c r="C649" s="13">
        <v>12490</v>
      </c>
      <c r="D649" s="13" t="s">
        <v>1351</v>
      </c>
      <c r="E649" s="13"/>
      <c r="F649" s="13"/>
      <c r="G649" s="13" t="s">
        <v>1337</v>
      </c>
    </row>
    <row r="650" spans="1:7" x14ac:dyDescent="0.25">
      <c r="A650" s="13" t="s">
        <v>3</v>
      </c>
      <c r="B650">
        <v>207591</v>
      </c>
      <c r="C650" s="13">
        <v>11290</v>
      </c>
      <c r="D650" s="13" t="s">
        <v>1352</v>
      </c>
      <c r="E650" s="13"/>
      <c r="F650" s="13"/>
      <c r="G650" s="13" t="s">
        <v>1346</v>
      </c>
    </row>
    <row r="651" spans="1:7" x14ac:dyDescent="0.25">
      <c r="A651" s="13" t="s">
        <v>3</v>
      </c>
      <c r="B651">
        <v>243499</v>
      </c>
      <c r="C651" s="13" t="s">
        <v>1269</v>
      </c>
      <c r="D651" s="13"/>
      <c r="E651" s="13"/>
      <c r="F651" s="13"/>
      <c r="G651" s="13" t="s">
        <v>947</v>
      </c>
    </row>
    <row r="652" spans="1:7" x14ac:dyDescent="0.25">
      <c r="A652" s="13" t="s">
        <v>3</v>
      </c>
      <c r="B652">
        <v>243500</v>
      </c>
      <c r="C652" s="13" t="s">
        <v>1269</v>
      </c>
      <c r="D652" s="13"/>
      <c r="E652" s="13"/>
      <c r="F652" s="13"/>
      <c r="G652" s="13" t="s">
        <v>947</v>
      </c>
    </row>
    <row r="653" spans="1:7" x14ac:dyDescent="0.25">
      <c r="A653" s="13" t="s">
        <v>3</v>
      </c>
      <c r="B653">
        <v>243501</v>
      </c>
      <c r="C653" s="13" t="s">
        <v>1269</v>
      </c>
      <c r="D653" s="13"/>
      <c r="E653" s="13"/>
      <c r="F653" s="13"/>
      <c r="G653" s="13" t="s">
        <v>947</v>
      </c>
    </row>
    <row r="654" spans="1:7" x14ac:dyDescent="0.25">
      <c r="A654" s="13" t="s">
        <v>3</v>
      </c>
      <c r="B654">
        <v>243502</v>
      </c>
      <c r="C654" s="13" t="s">
        <v>1269</v>
      </c>
      <c r="D654" s="13"/>
      <c r="E654" s="13"/>
      <c r="F654" s="13"/>
      <c r="G654" s="13" t="s">
        <v>947</v>
      </c>
    </row>
    <row r="655" spans="1:7" x14ac:dyDescent="0.25">
      <c r="A655" s="13" t="s">
        <v>3</v>
      </c>
      <c r="B655">
        <v>243503</v>
      </c>
      <c r="C655" s="13" t="s">
        <v>1269</v>
      </c>
      <c r="D655" s="13"/>
      <c r="E655" s="13"/>
      <c r="F655" s="13"/>
      <c r="G655" s="13" t="s">
        <v>947</v>
      </c>
    </row>
    <row r="656" spans="1:7" x14ac:dyDescent="0.25">
      <c r="A656" s="13" t="s">
        <v>3</v>
      </c>
      <c r="B656">
        <v>243504</v>
      </c>
      <c r="C656" s="13" t="s">
        <v>1269</v>
      </c>
      <c r="D656" s="13"/>
      <c r="E656" s="13"/>
      <c r="F656" s="13"/>
      <c r="G656" s="13" t="s">
        <v>947</v>
      </c>
    </row>
    <row r="657" spans="1:7" x14ac:dyDescent="0.25">
      <c r="A657" s="13" t="s">
        <v>3</v>
      </c>
      <c r="B657">
        <v>243505</v>
      </c>
      <c r="C657" s="13" t="s">
        <v>1269</v>
      </c>
      <c r="D657" s="13"/>
      <c r="E657" s="13"/>
      <c r="F657" s="13"/>
      <c r="G657" s="13" t="s">
        <v>947</v>
      </c>
    </row>
    <row r="658" spans="1:7" x14ac:dyDescent="0.25">
      <c r="A658" s="13" t="s">
        <v>3</v>
      </c>
      <c r="B658">
        <v>243506</v>
      </c>
      <c r="C658" s="13" t="s">
        <v>1269</v>
      </c>
      <c r="D658" s="13"/>
      <c r="E658" s="13"/>
      <c r="F658" s="13"/>
      <c r="G658" s="13" t="s">
        <v>947</v>
      </c>
    </row>
    <row r="659" spans="1:7" x14ac:dyDescent="0.25">
      <c r="A659" s="13" t="s">
        <v>3</v>
      </c>
      <c r="B659">
        <v>243507</v>
      </c>
      <c r="C659" s="13" t="s">
        <v>1269</v>
      </c>
      <c r="D659" s="13"/>
      <c r="E659" s="13"/>
      <c r="F659" s="13"/>
      <c r="G659" s="13" t="s">
        <v>947</v>
      </c>
    </row>
    <row r="660" spans="1:7" x14ac:dyDescent="0.25">
      <c r="A660" s="13" t="s">
        <v>3</v>
      </c>
      <c r="B660">
        <v>243508</v>
      </c>
      <c r="C660" s="13" t="s">
        <v>1269</v>
      </c>
      <c r="D660" s="13"/>
      <c r="E660" s="13"/>
      <c r="F660" s="13"/>
      <c r="G660" s="13" t="s">
        <v>947</v>
      </c>
    </row>
    <row r="661" spans="1:7" x14ac:dyDescent="0.25">
      <c r="A661" s="13" t="s">
        <v>3</v>
      </c>
      <c r="B661">
        <v>243509</v>
      </c>
      <c r="C661" s="13" t="s">
        <v>1269</v>
      </c>
      <c r="D661" s="13"/>
      <c r="E661" s="13"/>
      <c r="F661" s="13"/>
      <c r="G661" s="13" t="s">
        <v>947</v>
      </c>
    </row>
    <row r="662" spans="1:7" x14ac:dyDescent="0.25">
      <c r="A662" s="13" t="s">
        <v>3</v>
      </c>
      <c r="B662">
        <v>243510</v>
      </c>
      <c r="C662" s="13" t="s">
        <v>1269</v>
      </c>
      <c r="D662" s="13"/>
      <c r="E662" s="13"/>
      <c r="F662" s="13"/>
      <c r="G662" s="13" t="s">
        <v>947</v>
      </c>
    </row>
    <row r="663" spans="1:7" x14ac:dyDescent="0.25">
      <c r="A663" s="13" t="s">
        <v>3</v>
      </c>
      <c r="B663">
        <v>243511</v>
      </c>
      <c r="C663" s="13" t="s">
        <v>1269</v>
      </c>
      <c r="D663" s="13"/>
      <c r="E663" s="13"/>
      <c r="F663" s="13"/>
      <c r="G663" s="13" t="s">
        <v>947</v>
      </c>
    </row>
    <row r="664" spans="1:7" x14ac:dyDescent="0.25">
      <c r="A664" s="13" t="s">
        <v>3</v>
      </c>
      <c r="B664">
        <v>243512</v>
      </c>
      <c r="C664" s="13" t="s">
        <v>1269</v>
      </c>
      <c r="D664" s="13"/>
      <c r="E664" s="13"/>
      <c r="F664" s="13"/>
      <c r="G664" s="13" t="s">
        <v>947</v>
      </c>
    </row>
    <row r="665" spans="1:7" x14ac:dyDescent="0.25">
      <c r="A665" s="13" t="s">
        <v>3</v>
      </c>
      <c r="B665">
        <v>243513</v>
      </c>
      <c r="C665" s="13" t="s">
        <v>1269</v>
      </c>
      <c r="D665" s="13"/>
      <c r="E665" s="13"/>
      <c r="F665" s="13"/>
      <c r="G665" s="13" t="s">
        <v>947</v>
      </c>
    </row>
    <row r="666" spans="1:7" x14ac:dyDescent="0.25">
      <c r="A666" s="13" t="s">
        <v>3</v>
      </c>
      <c r="B666">
        <v>243514</v>
      </c>
      <c r="C666" s="13" t="s">
        <v>1269</v>
      </c>
      <c r="D666" s="13"/>
      <c r="E666" s="13"/>
      <c r="F666" s="13"/>
      <c r="G666" s="13" t="s">
        <v>947</v>
      </c>
    </row>
    <row r="667" spans="1:7" x14ac:dyDescent="0.25">
      <c r="A667" s="13" t="s">
        <v>3</v>
      </c>
      <c r="B667">
        <v>243515</v>
      </c>
      <c r="C667" s="13" t="s">
        <v>1269</v>
      </c>
      <c r="D667" s="13"/>
      <c r="E667" s="13"/>
      <c r="F667" s="13"/>
      <c r="G667" s="13" t="s">
        <v>947</v>
      </c>
    </row>
    <row r="668" spans="1:7" x14ac:dyDescent="0.25">
      <c r="A668" s="13" t="s">
        <v>3</v>
      </c>
      <c r="B668">
        <v>243516</v>
      </c>
      <c r="C668" s="13" t="s">
        <v>1269</v>
      </c>
      <c r="D668" s="13"/>
      <c r="E668" s="13"/>
      <c r="F668" s="13"/>
      <c r="G668" s="13" t="s">
        <v>947</v>
      </c>
    </row>
    <row r="669" spans="1:7" x14ac:dyDescent="0.25">
      <c r="A669" s="13" t="s">
        <v>3</v>
      </c>
      <c r="B669">
        <v>243517</v>
      </c>
      <c r="C669" s="13" t="s">
        <v>1269</v>
      </c>
      <c r="D669" s="13"/>
      <c r="E669" s="13"/>
      <c r="F669" s="13"/>
      <c r="G669" s="13" t="s">
        <v>947</v>
      </c>
    </row>
    <row r="670" spans="1:7" x14ac:dyDescent="0.25">
      <c r="A670" s="13" t="s">
        <v>3</v>
      </c>
      <c r="B670">
        <v>243518</v>
      </c>
      <c r="C670" s="13" t="s">
        <v>1269</v>
      </c>
      <c r="D670" s="13"/>
      <c r="E670" s="13"/>
      <c r="F670" s="13"/>
      <c r="G670" s="13" t="s">
        <v>947</v>
      </c>
    </row>
    <row r="671" spans="1:7" x14ac:dyDescent="0.25">
      <c r="A671" s="13" t="s">
        <v>3</v>
      </c>
      <c r="B671">
        <v>243519</v>
      </c>
      <c r="C671" s="13" t="s">
        <v>1269</v>
      </c>
      <c r="D671" s="13"/>
      <c r="E671" s="13"/>
      <c r="F671" s="13"/>
      <c r="G671" s="13" t="s">
        <v>947</v>
      </c>
    </row>
    <row r="672" spans="1:7" x14ac:dyDescent="0.25">
      <c r="A672" s="13" t="s">
        <v>3</v>
      </c>
      <c r="B672">
        <v>243520</v>
      </c>
      <c r="C672" s="13" t="s">
        <v>1269</v>
      </c>
      <c r="D672" s="13"/>
      <c r="E672" s="13"/>
      <c r="F672" s="13"/>
      <c r="G672" s="13" t="s">
        <v>947</v>
      </c>
    </row>
    <row r="673" spans="1:7" x14ac:dyDescent="0.25">
      <c r="A673" s="13" t="s">
        <v>3</v>
      </c>
      <c r="B673">
        <v>243521</v>
      </c>
      <c r="C673" s="13" t="s">
        <v>1269</v>
      </c>
      <c r="D673" s="13"/>
      <c r="E673" s="13"/>
      <c r="F673" s="13"/>
      <c r="G673" s="13" t="s">
        <v>947</v>
      </c>
    </row>
    <row r="674" spans="1:7" x14ac:dyDescent="0.25">
      <c r="A674" s="13" t="s">
        <v>3</v>
      </c>
      <c r="B674">
        <v>243522</v>
      </c>
      <c r="C674" s="13" t="s">
        <v>1269</v>
      </c>
      <c r="D674" s="13"/>
      <c r="E674" s="13"/>
      <c r="F674" s="13"/>
      <c r="G674" s="13" t="s">
        <v>947</v>
      </c>
    </row>
    <row r="675" spans="1:7" x14ac:dyDescent="0.25">
      <c r="A675" s="13" t="s">
        <v>3</v>
      </c>
      <c r="B675">
        <v>243523</v>
      </c>
      <c r="C675" s="13" t="s">
        <v>1269</v>
      </c>
      <c r="D675" s="13"/>
      <c r="E675" s="13"/>
      <c r="F675" s="13"/>
      <c r="G675" s="13" t="s">
        <v>947</v>
      </c>
    </row>
    <row r="676" spans="1:7" x14ac:dyDescent="0.25">
      <c r="A676" s="13" t="s">
        <v>3</v>
      </c>
      <c r="B676">
        <v>243524</v>
      </c>
      <c r="C676" s="13" t="s">
        <v>1269</v>
      </c>
      <c r="D676" s="13"/>
      <c r="E676" s="13"/>
      <c r="F676" s="13"/>
      <c r="G676" s="13" t="s">
        <v>947</v>
      </c>
    </row>
    <row r="677" spans="1:7" x14ac:dyDescent="0.25">
      <c r="A677" s="13" t="s">
        <v>3</v>
      </c>
      <c r="B677">
        <v>243525</v>
      </c>
      <c r="C677" s="13" t="s">
        <v>1269</v>
      </c>
      <c r="D677" s="13"/>
      <c r="E677" s="13"/>
      <c r="F677" s="13"/>
      <c r="G677" s="13" t="s">
        <v>947</v>
      </c>
    </row>
    <row r="678" spans="1:7" x14ac:dyDescent="0.25">
      <c r="A678" s="13" t="s">
        <v>3</v>
      </c>
      <c r="B678">
        <v>243526</v>
      </c>
      <c r="C678" s="13" t="s">
        <v>1269</v>
      </c>
      <c r="D678" s="13"/>
      <c r="E678" s="13"/>
      <c r="F678" s="13"/>
      <c r="G678" s="13" t="s">
        <v>947</v>
      </c>
    </row>
    <row r="679" spans="1:7" x14ac:dyDescent="0.25">
      <c r="A679" s="13" t="s">
        <v>3</v>
      </c>
      <c r="B679">
        <v>243527</v>
      </c>
      <c r="C679" s="13" t="s">
        <v>1269</v>
      </c>
      <c r="D679" s="13"/>
      <c r="E679" s="13"/>
      <c r="F679" s="13"/>
      <c r="G679" s="13" t="s">
        <v>947</v>
      </c>
    </row>
    <row r="680" spans="1:7" x14ac:dyDescent="0.25">
      <c r="A680" s="13" t="s">
        <v>3</v>
      </c>
      <c r="B680">
        <v>243528</v>
      </c>
      <c r="C680" s="13" t="s">
        <v>1269</v>
      </c>
      <c r="D680" s="13"/>
      <c r="E680" s="13"/>
      <c r="F680" s="13"/>
      <c r="G680" s="13" t="s">
        <v>947</v>
      </c>
    </row>
    <row r="681" spans="1:7" x14ac:dyDescent="0.25">
      <c r="A681" s="13" t="s">
        <v>3</v>
      </c>
      <c r="B681">
        <v>243529</v>
      </c>
      <c r="C681" s="13" t="s">
        <v>1269</v>
      </c>
      <c r="D681" s="13"/>
      <c r="E681" s="13"/>
      <c r="F681" s="13"/>
      <c r="G681" s="13" t="s">
        <v>947</v>
      </c>
    </row>
    <row r="682" spans="1:7" x14ac:dyDescent="0.25">
      <c r="A682" s="13" t="s">
        <v>3</v>
      </c>
      <c r="B682">
        <v>243530</v>
      </c>
      <c r="C682" s="13" t="s">
        <v>1269</v>
      </c>
      <c r="D682" s="13"/>
      <c r="E682" s="13"/>
      <c r="F682" s="13"/>
      <c r="G682" s="13" t="s">
        <v>947</v>
      </c>
    </row>
    <row r="683" spans="1:7" x14ac:dyDescent="0.25">
      <c r="A683" s="13" t="s">
        <v>3</v>
      </c>
      <c r="B683">
        <v>243531</v>
      </c>
      <c r="C683" s="13" t="s">
        <v>1269</v>
      </c>
      <c r="D683" s="13"/>
      <c r="E683" s="13"/>
      <c r="F683" s="13"/>
      <c r="G683" s="13" t="s">
        <v>947</v>
      </c>
    </row>
    <row r="684" spans="1:7" x14ac:dyDescent="0.25">
      <c r="A684" s="13" t="s">
        <v>3</v>
      </c>
      <c r="B684">
        <v>243532</v>
      </c>
      <c r="C684" s="13" t="s">
        <v>1269</v>
      </c>
      <c r="D684" s="13"/>
      <c r="E684" s="13"/>
      <c r="F684" s="13"/>
      <c r="G684" s="13" t="s">
        <v>947</v>
      </c>
    </row>
    <row r="685" spans="1:7" x14ac:dyDescent="0.25">
      <c r="A685" s="13" t="s">
        <v>3</v>
      </c>
      <c r="B685">
        <v>243533</v>
      </c>
      <c r="C685" s="13" t="s">
        <v>1269</v>
      </c>
      <c r="D685" s="13"/>
      <c r="E685" s="13"/>
      <c r="F685" s="13"/>
      <c r="G685" s="13" t="s">
        <v>947</v>
      </c>
    </row>
    <row r="686" spans="1:7" x14ac:dyDescent="0.25">
      <c r="A686" s="13" t="s">
        <v>3</v>
      </c>
      <c r="B686">
        <v>243534</v>
      </c>
      <c r="C686" s="13" t="s">
        <v>1269</v>
      </c>
      <c r="D686" s="13"/>
      <c r="E686" s="13"/>
      <c r="F686" s="13"/>
      <c r="G686" s="13" t="s">
        <v>947</v>
      </c>
    </row>
    <row r="687" spans="1:7" x14ac:dyDescent="0.25">
      <c r="A687" s="13" t="s">
        <v>3</v>
      </c>
      <c r="B687">
        <v>267808</v>
      </c>
      <c r="C687" s="13">
        <v>490</v>
      </c>
      <c r="D687" s="13" t="s">
        <v>750</v>
      </c>
      <c r="E687" s="13"/>
      <c r="F687" s="13"/>
      <c r="G687" s="13" t="s">
        <v>1348</v>
      </c>
    </row>
    <row r="688" spans="1:7" x14ac:dyDescent="0.25">
      <c r="A688" s="13" t="s">
        <v>3</v>
      </c>
      <c r="B688">
        <v>358195</v>
      </c>
      <c r="C688" s="13">
        <v>479</v>
      </c>
      <c r="D688" s="13" t="s">
        <v>1416</v>
      </c>
      <c r="E688" s="13"/>
      <c r="F688" s="13"/>
      <c r="G688" s="13" t="s">
        <v>1497</v>
      </c>
    </row>
    <row r="689" spans="1:7" x14ac:dyDescent="0.25">
      <c r="A689" s="13" t="s">
        <v>3</v>
      </c>
      <c r="B689">
        <v>267809</v>
      </c>
      <c r="C689" s="13">
        <v>390</v>
      </c>
      <c r="D689" s="13" t="s">
        <v>910</v>
      </c>
      <c r="E689" s="13"/>
      <c r="F689" s="13"/>
      <c r="G689" s="13" t="s">
        <v>1349</v>
      </c>
    </row>
    <row r="690" spans="1:7" x14ac:dyDescent="0.25">
      <c r="A690" s="13" t="s">
        <v>3</v>
      </c>
      <c r="B690">
        <v>267810</v>
      </c>
      <c r="C690" s="13">
        <v>390</v>
      </c>
      <c r="D690" s="13" t="s">
        <v>909</v>
      </c>
      <c r="E690" s="13"/>
      <c r="F690" s="13"/>
      <c r="G690" s="13" t="s">
        <v>1349</v>
      </c>
    </row>
    <row r="691" spans="1:7" x14ac:dyDescent="0.25">
      <c r="A691" s="13" t="s">
        <v>3</v>
      </c>
      <c r="B691">
        <v>267811</v>
      </c>
      <c r="C691" s="13">
        <v>490</v>
      </c>
      <c r="D691" s="13" t="s">
        <v>1274</v>
      </c>
      <c r="E691" s="13"/>
      <c r="F691" s="13"/>
      <c r="G691" s="13" t="s">
        <v>1348</v>
      </c>
    </row>
    <row r="692" spans="1:7" x14ac:dyDescent="0.25">
      <c r="A692" s="13" t="s">
        <v>3</v>
      </c>
      <c r="B692">
        <v>267812</v>
      </c>
      <c r="C692" s="13">
        <v>490</v>
      </c>
      <c r="D692" s="13" t="s">
        <v>908</v>
      </c>
      <c r="E692" s="13"/>
      <c r="F692" s="13"/>
      <c r="G692" s="13" t="s">
        <v>1348</v>
      </c>
    </row>
    <row r="693" spans="1:7" x14ac:dyDescent="0.25">
      <c r="A693" s="13" t="s">
        <v>3</v>
      </c>
      <c r="B693">
        <v>263212</v>
      </c>
      <c r="C693" s="13" t="s">
        <v>1269</v>
      </c>
      <c r="D693" s="13"/>
      <c r="E693" s="13"/>
      <c r="F693" s="13"/>
      <c r="G693" s="13" t="s">
        <v>947</v>
      </c>
    </row>
    <row r="694" spans="1:7" x14ac:dyDescent="0.25">
      <c r="A694" s="13" t="s">
        <v>3</v>
      </c>
      <c r="B694">
        <v>263213</v>
      </c>
      <c r="C694" s="13" t="s">
        <v>1269</v>
      </c>
      <c r="D694" s="13"/>
      <c r="E694" s="13"/>
      <c r="F694" s="13"/>
      <c r="G694" s="13" t="s">
        <v>947</v>
      </c>
    </row>
    <row r="695" spans="1:7" x14ac:dyDescent="0.25">
      <c r="A695" s="13" t="s">
        <v>3</v>
      </c>
      <c r="B695">
        <v>263214</v>
      </c>
      <c r="C695" s="13" t="s">
        <v>1269</v>
      </c>
      <c r="D695" s="13"/>
      <c r="E695" s="13"/>
      <c r="F695" s="13"/>
      <c r="G695" s="13" t="s">
        <v>947</v>
      </c>
    </row>
    <row r="696" spans="1:7" x14ac:dyDescent="0.25">
      <c r="A696" s="13" t="s">
        <v>3</v>
      </c>
      <c r="B696">
        <v>263215</v>
      </c>
      <c r="C696" s="13" t="s">
        <v>1269</v>
      </c>
      <c r="D696" s="13"/>
      <c r="E696" s="13"/>
      <c r="F696" s="13"/>
      <c r="G696" s="13" t="s">
        <v>947</v>
      </c>
    </row>
    <row r="697" spans="1:7" x14ac:dyDescent="0.25">
      <c r="A697" s="13" t="s">
        <v>3</v>
      </c>
      <c r="B697">
        <v>263216</v>
      </c>
      <c r="C697" s="13" t="s">
        <v>1269</v>
      </c>
      <c r="D697" s="13"/>
      <c r="E697" s="13"/>
      <c r="F697" s="13"/>
      <c r="G697" s="13" t="s">
        <v>947</v>
      </c>
    </row>
    <row r="698" spans="1:7" x14ac:dyDescent="0.25">
      <c r="A698" s="13" t="s">
        <v>3</v>
      </c>
      <c r="B698">
        <v>263217</v>
      </c>
      <c r="C698" s="13" t="s">
        <v>1269</v>
      </c>
      <c r="D698" s="13"/>
      <c r="E698" s="13"/>
      <c r="F698" s="13"/>
      <c r="G698" s="13" t="s">
        <v>947</v>
      </c>
    </row>
    <row r="699" spans="1:7" x14ac:dyDescent="0.25">
      <c r="A699" s="13" t="s">
        <v>3</v>
      </c>
      <c r="B699">
        <v>263218</v>
      </c>
      <c r="C699" s="13" t="s">
        <v>1269</v>
      </c>
      <c r="D699" s="13"/>
      <c r="E699" s="13"/>
      <c r="F699" s="13"/>
      <c r="G699" s="13" t="s">
        <v>947</v>
      </c>
    </row>
    <row r="700" spans="1:7" x14ac:dyDescent="0.25">
      <c r="A700" s="13" t="s">
        <v>3</v>
      </c>
      <c r="B700">
        <v>263219</v>
      </c>
      <c r="C700" s="13" t="s">
        <v>1269</v>
      </c>
      <c r="D700" s="13"/>
      <c r="E700" s="13"/>
      <c r="F700" s="13"/>
      <c r="G700" s="13" t="s">
        <v>947</v>
      </c>
    </row>
    <row r="701" spans="1:7" x14ac:dyDescent="0.25">
      <c r="A701" s="13" t="s">
        <v>3</v>
      </c>
      <c r="B701">
        <v>315543</v>
      </c>
      <c r="C701" s="13" t="s">
        <v>1269</v>
      </c>
      <c r="D701" s="13"/>
      <c r="E701" s="13"/>
      <c r="F701" s="13"/>
      <c r="G701" s="13" t="s">
        <v>947</v>
      </c>
    </row>
    <row r="702" spans="1:7" x14ac:dyDescent="0.25">
      <c r="A702" s="13" t="s">
        <v>3</v>
      </c>
      <c r="B702">
        <v>315540</v>
      </c>
      <c r="C702" s="13" t="s">
        <v>1269</v>
      </c>
      <c r="D702" s="13"/>
      <c r="E702" s="13"/>
      <c r="F702" s="13"/>
      <c r="G702" s="13" t="s">
        <v>947</v>
      </c>
    </row>
    <row r="703" spans="1:7" x14ac:dyDescent="0.25">
      <c r="A703" s="13" t="s">
        <v>3</v>
      </c>
      <c r="B703">
        <v>315542</v>
      </c>
      <c r="C703" s="13" t="s">
        <v>1269</v>
      </c>
      <c r="D703" s="13"/>
      <c r="E703" s="13"/>
      <c r="F703" s="13"/>
      <c r="G703" s="13" t="s">
        <v>947</v>
      </c>
    </row>
    <row r="704" spans="1:7" x14ac:dyDescent="0.25">
      <c r="A704" s="13" t="s">
        <v>3</v>
      </c>
      <c r="B704">
        <v>315537</v>
      </c>
      <c r="C704" s="13" t="s">
        <v>1269</v>
      </c>
      <c r="D704" s="13"/>
      <c r="E704" s="13"/>
      <c r="F704" s="13"/>
      <c r="G704" s="13" t="s">
        <v>947</v>
      </c>
    </row>
    <row r="705" spans="1:7" x14ac:dyDescent="0.25">
      <c r="A705" s="13" t="s">
        <v>3</v>
      </c>
      <c r="B705">
        <v>315541</v>
      </c>
      <c r="C705" s="13" t="s">
        <v>1269</v>
      </c>
      <c r="D705" s="13"/>
      <c r="E705" s="13"/>
      <c r="F705" s="13"/>
      <c r="G705" s="13" t="s">
        <v>947</v>
      </c>
    </row>
    <row r="706" spans="1:7" x14ac:dyDescent="0.25">
      <c r="A706" s="13" t="s">
        <v>3</v>
      </c>
      <c r="B706">
        <v>315538</v>
      </c>
      <c r="C706" s="13" t="s">
        <v>1269</v>
      </c>
      <c r="D706" s="13"/>
      <c r="E706" s="13"/>
      <c r="F706" s="13"/>
      <c r="G706" s="13" t="s">
        <v>947</v>
      </c>
    </row>
    <row r="707" spans="1:7" x14ac:dyDescent="0.25">
      <c r="A707" s="13" t="s">
        <v>3</v>
      </c>
      <c r="B707">
        <v>315539</v>
      </c>
      <c r="C707" s="13" t="s">
        <v>1269</v>
      </c>
      <c r="D707" s="13"/>
      <c r="E707" s="13"/>
      <c r="F707" s="13"/>
      <c r="G707" s="13" t="s">
        <v>947</v>
      </c>
    </row>
    <row r="708" spans="1:7" x14ac:dyDescent="0.25">
      <c r="A708" s="13" t="s">
        <v>3</v>
      </c>
      <c r="B708">
        <v>357798</v>
      </c>
      <c r="C708" s="13" t="s">
        <v>1269</v>
      </c>
      <c r="D708" s="13"/>
      <c r="E708" s="13"/>
      <c r="F708" s="13"/>
      <c r="G708" s="13" t="s">
        <v>947</v>
      </c>
    </row>
    <row r="709" spans="1:7" x14ac:dyDescent="0.25">
      <c r="A709" s="13" t="s">
        <v>3</v>
      </c>
      <c r="B709">
        <v>357795</v>
      </c>
      <c r="C709" s="13" t="s">
        <v>1269</v>
      </c>
      <c r="D709" s="13"/>
      <c r="E709" s="13"/>
      <c r="F709" s="13"/>
      <c r="G709" s="13" t="s">
        <v>947</v>
      </c>
    </row>
    <row r="710" spans="1:7" x14ac:dyDescent="0.25">
      <c r="A710" s="13" t="s">
        <v>3</v>
      </c>
      <c r="B710">
        <v>357797</v>
      </c>
      <c r="C710" s="13" t="s">
        <v>1269</v>
      </c>
      <c r="D710" s="13"/>
      <c r="E710" s="13"/>
      <c r="F710" s="13"/>
      <c r="G710" s="13" t="s">
        <v>947</v>
      </c>
    </row>
    <row r="711" spans="1:7" x14ac:dyDescent="0.25">
      <c r="A711" s="13" t="s">
        <v>3</v>
      </c>
      <c r="B711">
        <v>357796</v>
      </c>
      <c r="C711" s="13" t="s">
        <v>1269</v>
      </c>
      <c r="D711" s="13"/>
      <c r="E711" s="13"/>
      <c r="F711" s="13"/>
      <c r="G711" s="13" t="s">
        <v>947</v>
      </c>
    </row>
    <row r="712" spans="1:7" x14ac:dyDescent="0.25">
      <c r="A712" s="13" t="s">
        <v>3</v>
      </c>
      <c r="B712">
        <v>361699</v>
      </c>
      <c r="C712" s="13" t="s">
        <v>1269</v>
      </c>
      <c r="D712" s="13"/>
      <c r="E712" s="13"/>
      <c r="F712" s="13"/>
      <c r="G712" s="13" t="s">
        <v>947</v>
      </c>
    </row>
    <row r="713" spans="1:7" x14ac:dyDescent="0.25">
      <c r="A713" s="13" t="s">
        <v>3</v>
      </c>
      <c r="B713">
        <v>361700</v>
      </c>
      <c r="C713" s="13" t="s">
        <v>1269</v>
      </c>
      <c r="D713" s="13"/>
      <c r="E713" s="13"/>
      <c r="F713" s="13"/>
      <c r="G713" s="13" t="s">
        <v>947</v>
      </c>
    </row>
    <row r="714" spans="1:7" x14ac:dyDescent="0.25">
      <c r="A714" s="13" t="s">
        <v>3</v>
      </c>
      <c r="B714">
        <v>361701</v>
      </c>
      <c r="C714" s="13" t="s">
        <v>1269</v>
      </c>
      <c r="D714" s="13"/>
      <c r="E714" s="13"/>
      <c r="F714" s="13"/>
      <c r="G714" s="13" t="s">
        <v>947</v>
      </c>
    </row>
    <row r="715" spans="1:7" x14ac:dyDescent="0.25">
      <c r="A715" s="13" t="s">
        <v>3</v>
      </c>
      <c r="B715">
        <v>361702</v>
      </c>
      <c r="C715" s="13" t="s">
        <v>1269</v>
      </c>
      <c r="D715" s="13"/>
      <c r="E715" s="13"/>
      <c r="F715" s="13"/>
      <c r="G715" s="13" t="s">
        <v>947</v>
      </c>
    </row>
    <row r="716" spans="1:7" x14ac:dyDescent="0.25">
      <c r="A716" s="13" t="s">
        <v>3</v>
      </c>
      <c r="B716">
        <v>361703</v>
      </c>
      <c r="C716" s="13" t="s">
        <v>1269</v>
      </c>
      <c r="D716" s="13"/>
      <c r="E716" s="13"/>
      <c r="F716" s="13"/>
      <c r="G716" s="13" t="s">
        <v>947</v>
      </c>
    </row>
    <row r="717" spans="1:7" x14ac:dyDescent="0.25">
      <c r="A717" s="13" t="s">
        <v>3</v>
      </c>
      <c r="B717">
        <v>361704</v>
      </c>
      <c r="C717" s="13" t="s">
        <v>1269</v>
      </c>
      <c r="D717" s="13"/>
      <c r="E717" s="13"/>
      <c r="F717" s="13"/>
      <c r="G717" s="13" t="s">
        <v>947</v>
      </c>
    </row>
    <row r="718" spans="1:7" x14ac:dyDescent="0.25">
      <c r="A718" s="13" t="s">
        <v>3</v>
      </c>
      <c r="B718">
        <v>361705</v>
      </c>
      <c r="C718" s="13" t="s">
        <v>1269</v>
      </c>
      <c r="D718" s="13"/>
      <c r="E718" s="13"/>
      <c r="F718" s="13"/>
      <c r="G718" s="13" t="s">
        <v>947</v>
      </c>
    </row>
    <row r="719" spans="1:7" x14ac:dyDescent="0.25">
      <c r="A719" s="13" t="s">
        <v>3</v>
      </c>
      <c r="B719">
        <v>357809</v>
      </c>
      <c r="C719" s="13" t="s">
        <v>1269</v>
      </c>
      <c r="D719" s="13"/>
      <c r="E719" s="13"/>
      <c r="F719" s="13"/>
      <c r="G719" s="13" t="s">
        <v>947</v>
      </c>
    </row>
    <row r="720" spans="1:7" x14ac:dyDescent="0.25">
      <c r="A720" s="13" t="s">
        <v>3</v>
      </c>
      <c r="B720">
        <v>357808</v>
      </c>
      <c r="C720" s="13" t="s">
        <v>1269</v>
      </c>
      <c r="D720" s="13"/>
      <c r="E720" s="13"/>
      <c r="F720" s="13"/>
      <c r="G720" s="13" t="s">
        <v>947</v>
      </c>
    </row>
    <row r="721" spans="1:7" x14ac:dyDescent="0.25">
      <c r="A721" s="13" t="s">
        <v>3</v>
      </c>
      <c r="B721">
        <v>357807</v>
      </c>
      <c r="C721" s="13" t="s">
        <v>1269</v>
      </c>
      <c r="D721" s="13"/>
      <c r="E721" s="13"/>
      <c r="F721" s="13"/>
      <c r="G721" s="13" t="s">
        <v>947</v>
      </c>
    </row>
    <row r="722" spans="1:7" x14ac:dyDescent="0.25">
      <c r="A722" s="13" t="s">
        <v>3</v>
      </c>
      <c r="B722">
        <v>357507</v>
      </c>
      <c r="C722" s="13" t="s">
        <v>1269</v>
      </c>
      <c r="D722" s="13"/>
      <c r="E722" s="13"/>
      <c r="F722" s="13"/>
      <c r="G722" s="13" t="s">
        <v>947</v>
      </c>
    </row>
    <row r="723" spans="1:7" x14ac:dyDescent="0.25">
      <c r="A723" s="13" t="s">
        <v>3</v>
      </c>
      <c r="B723">
        <v>357508</v>
      </c>
      <c r="C723" s="13" t="s">
        <v>1269</v>
      </c>
      <c r="D723" s="13"/>
      <c r="E723" s="13"/>
      <c r="F723" s="13"/>
      <c r="G723" s="13" t="s">
        <v>947</v>
      </c>
    </row>
    <row r="724" spans="1:7" x14ac:dyDescent="0.25">
      <c r="A724" s="13" t="s">
        <v>3</v>
      </c>
      <c r="B724">
        <v>357574</v>
      </c>
      <c r="C724" s="13" t="s">
        <v>1269</v>
      </c>
      <c r="D724" s="13"/>
      <c r="E724" s="13"/>
      <c r="F724" s="13"/>
      <c r="G724" s="13" t="s">
        <v>947</v>
      </c>
    </row>
    <row r="725" spans="1:7" x14ac:dyDescent="0.25">
      <c r="A725" s="13" t="s">
        <v>3</v>
      </c>
      <c r="B725">
        <v>357575</v>
      </c>
      <c r="C725" s="13" t="s">
        <v>1269</v>
      </c>
      <c r="D725" s="13"/>
      <c r="E725" s="13"/>
      <c r="F725" s="13"/>
      <c r="G725" s="13" t="s">
        <v>947</v>
      </c>
    </row>
    <row r="726" spans="1:7" x14ac:dyDescent="0.25">
      <c r="A726" s="13" t="s">
        <v>3</v>
      </c>
      <c r="B726">
        <v>357440</v>
      </c>
      <c r="C726" s="13">
        <v>1099</v>
      </c>
      <c r="D726" s="13" t="s">
        <v>1477</v>
      </c>
      <c r="E726" s="13"/>
      <c r="F726" s="13"/>
      <c r="G726" s="13" t="s">
        <v>947</v>
      </c>
    </row>
    <row r="727" spans="1:7" x14ac:dyDescent="0.25">
      <c r="A727" s="13" t="s">
        <v>3</v>
      </c>
      <c r="B727">
        <v>357442</v>
      </c>
      <c r="C727" s="13">
        <v>1099</v>
      </c>
      <c r="D727" s="13" t="s">
        <v>1498</v>
      </c>
      <c r="E727" s="13"/>
      <c r="F727" s="13"/>
      <c r="G727" s="13" t="s">
        <v>947</v>
      </c>
    </row>
    <row r="728" spans="1:7" x14ac:dyDescent="0.25">
      <c r="A728" s="13" t="s">
        <v>3</v>
      </c>
      <c r="B728">
        <v>357452</v>
      </c>
      <c r="C728" s="13">
        <v>1099</v>
      </c>
      <c r="D728" s="13" t="s">
        <v>1499</v>
      </c>
      <c r="E728" s="13"/>
      <c r="F728" s="13"/>
      <c r="G728" s="13" t="s">
        <v>947</v>
      </c>
    </row>
    <row r="729" spans="1:7" x14ac:dyDescent="0.25">
      <c r="A729" s="13" t="s">
        <v>3</v>
      </c>
      <c r="B729">
        <v>357439</v>
      </c>
      <c r="C729" s="13">
        <v>1299</v>
      </c>
      <c r="D729" s="13" t="s">
        <v>1500</v>
      </c>
      <c r="E729" s="13"/>
      <c r="F729" s="13"/>
      <c r="G729" s="13" t="s">
        <v>947</v>
      </c>
    </row>
    <row r="730" spans="1:7" x14ac:dyDescent="0.25">
      <c r="A730" s="13" t="s">
        <v>3</v>
      </c>
      <c r="B730">
        <v>357441</v>
      </c>
      <c r="C730" s="13">
        <v>1299</v>
      </c>
      <c r="D730" s="13" t="s">
        <v>1501</v>
      </c>
      <c r="E730" s="13"/>
      <c r="F730" s="13"/>
      <c r="G730" s="13" t="s">
        <v>947</v>
      </c>
    </row>
    <row r="731" spans="1:7" x14ac:dyDescent="0.25">
      <c r="A731" s="13" t="s">
        <v>3</v>
      </c>
      <c r="B731">
        <v>357428</v>
      </c>
      <c r="C731" s="13" t="s">
        <v>1269</v>
      </c>
      <c r="D731" s="13"/>
      <c r="E731" s="13"/>
      <c r="F731" s="13"/>
      <c r="G731" s="13" t="s">
        <v>947</v>
      </c>
    </row>
    <row r="732" spans="1:7" x14ac:dyDescent="0.25">
      <c r="A732" s="13" t="s">
        <v>3</v>
      </c>
      <c r="B732">
        <v>357427</v>
      </c>
      <c r="C732" s="13" t="s">
        <v>1269</v>
      </c>
      <c r="D732" s="13"/>
      <c r="E732" s="13"/>
      <c r="F732" s="13"/>
      <c r="G732" s="13" t="s">
        <v>947</v>
      </c>
    </row>
    <row r="733" spans="1:7" x14ac:dyDescent="0.25">
      <c r="A733" s="13" t="s">
        <v>3</v>
      </c>
      <c r="B733">
        <v>357429</v>
      </c>
      <c r="C733" s="13" t="s">
        <v>1269</v>
      </c>
      <c r="D733" s="13"/>
      <c r="E733" s="13"/>
      <c r="F733" s="13"/>
      <c r="G733" s="13" t="s">
        <v>947</v>
      </c>
    </row>
    <row r="734" spans="1:7" x14ac:dyDescent="0.25">
      <c r="A734" s="13" t="s">
        <v>3</v>
      </c>
      <c r="B734">
        <v>357426</v>
      </c>
      <c r="C734" s="13" t="s">
        <v>1269</v>
      </c>
      <c r="D734" s="13"/>
      <c r="E734" s="13"/>
      <c r="F734" s="13"/>
      <c r="G734" s="13" t="s">
        <v>947</v>
      </c>
    </row>
    <row r="735" spans="1:7" x14ac:dyDescent="0.25">
      <c r="C735" s="13"/>
      <c r="D735" s="13"/>
      <c r="F735" s="13"/>
    </row>
  </sheetData>
  <phoneticPr fontId="31" type="noConversion"/>
  <pageMargins left="0.7" right="0.7" top="0.75" bottom="0.75" header="0.3" footer="0.3"/>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FDE8C4F8-26DC-48B3-817E-73FC5AD7547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Листы</vt:lpstr>
      </vt:variant>
      <vt:variant>
        <vt:i4>7</vt:i4>
      </vt:variant>
    </vt:vector>
  </HeadingPairs>
  <TitlesOfParts>
    <vt:vector size="7" baseType="lpstr">
      <vt:lpstr>Кат</vt:lpstr>
      <vt:lpstr>Торг</vt:lpstr>
      <vt:lpstr>Наценка</vt:lpstr>
      <vt:lpstr>Выгр Кат</vt:lpstr>
      <vt:lpstr>Выгр Торг</vt:lpstr>
      <vt:lpstr>ссылки</vt:lpstr>
      <vt:lpstr>Из Гугла</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creator>Admin</dc:creator>
  <cp:lastModifiedBy>Snab TimeTurbo</cp:lastModifiedBy>
  <dcterms:created xsi:type="dcterms:W3CDTF">2022-11-03T15:06:13Z</dcterms:created>
  <dcterms:modified xsi:type="dcterms:W3CDTF">2024-07-02T12:52:05Z</dcterms:modified>
</cp:coreProperties>
</file>